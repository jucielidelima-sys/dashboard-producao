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E73958C8-EC4A-458A-91CF-39D13E39AC71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LANC.!$A$1:$K$163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<sst xmlns="http://schemas.openxmlformats.org/spreadsheetml/2006/main" count="335" uniqueCount="21">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</sst>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63" totalsRowShown="0" headerRowDxfId="13" dataDxfId="12" tableBorderDxfId="11">
  <autoFilter ref="A1:K16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1" activePane="bottomLeft" state="frozen"/>
      <selection pane="bottomLeft" activeCell="C64" sqref="C64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26">
        <v>46027</v>
      </c>
      <c r="B53" s="27" t="str">
        <f>UPPER(TEXT(A53,"MMMM"))</f>
        <v>JANEIRO</v>
      </c>
      <c r="C53" s="30" t="s">
        <v>15</v>
      </c>
      <c r="D53" s="12" t="s">
        <v>12</v>
      </c>
      <c r="E53" s="28">
        <v>50</v>
      </c>
      <c r="F53" s="28">
        <v>104</v>
      </c>
      <c r="G53" s="27">
        <v>4</v>
      </c>
      <c r="H53" s="27">
        <v>4</v>
      </c>
      <c r="I53" s="27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12.5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26">
        <v>46027</v>
      </c>
      <c r="B54" s="27" t="str">
        <f>UPPER(TEXT(A54,"MMMM"))</f>
        <v>JANEIRO</v>
      </c>
      <c r="C54" s="30" t="s">
        <v>16</v>
      </c>
      <c r="D54" s="12" t="s">
        <v>12</v>
      </c>
      <c r="E54" s="28">
        <v>204</v>
      </c>
      <c r="F54" s="28">
        <v>182</v>
      </c>
      <c r="G54" s="27">
        <v>7</v>
      </c>
      <c r="H54" s="27">
        <v>7</v>
      </c>
      <c r="I54" s="27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29.142857142857142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26">
        <v>46027</v>
      </c>
      <c r="B55" s="27" t="str">
        <f>UPPER(TEXT(A55,"MMMM"))</f>
        <v>JANEIRO</v>
      </c>
      <c r="C55" s="30" t="s">
        <v>17</v>
      </c>
      <c r="D55" s="12" t="s">
        <v>12</v>
      </c>
      <c r="E55" s="28">
        <v>32</v>
      </c>
      <c r="F55" s="28">
        <v>0</v>
      </c>
      <c r="G55" s="27">
        <v>2</v>
      </c>
      <c r="H55" s="27">
        <v>2</v>
      </c>
      <c r="I55" s="27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26">
        <v>46027</v>
      </c>
      <c r="B56" s="27" t="str">
        <f>UPPER(TEXT(A56,"MMMM"))</f>
        <v>JANEIRO</v>
      </c>
      <c r="C56" s="30" t="s">
        <v>18</v>
      </c>
      <c r="D56" s="12" t="s">
        <v>12</v>
      </c>
      <c r="E56" s="28">
        <v>100</v>
      </c>
      <c r="F56" s="28">
        <v>0</v>
      </c>
      <c r="G56" s="27">
        <v>3</v>
      </c>
      <c r="H56" s="27">
        <v>3</v>
      </c>
      <c r="I56" s="27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26">
        <v>46027</v>
      </c>
      <c r="B57" s="27" t="str">
        <f>UPPER(TEXT(A57,"MMMM"))</f>
        <v>JANEIRO</v>
      </c>
      <c r="C57" s="30" t="s">
        <v>19</v>
      </c>
      <c r="D57" s="12" t="s">
        <v>12</v>
      </c>
      <c r="E57" s="28">
        <v>100</v>
      </c>
      <c r="F57" s="28">
        <v>1</v>
      </c>
      <c r="G57" s="27">
        <v>11</v>
      </c>
      <c r="H57" s="27">
        <v>11</v>
      </c>
      <c r="I57" s="27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26">
        <v>46027</v>
      </c>
      <c r="B58" s="27" t="str">
        <f>UPPER(TEXT(A58,"MMMM"))</f>
        <v>JANEIRO</v>
      </c>
      <c r="C58" s="30" t="s">
        <v>20</v>
      </c>
      <c r="D58" s="12" t="s">
        <v>12</v>
      </c>
      <c r="E58" s="28">
        <v>486</v>
      </c>
      <c r="F58" s="28">
        <v>287</v>
      </c>
      <c r="G58" s="27">
        <v>87</v>
      </c>
      <c r="H58" s="27">
        <v>87</v>
      </c>
      <c r="I58" s="27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26">
        <v>46028</v>
      </c>
      <c r="B59" s="27" t="str">
        <f>UPPER(TEXT(A59,"MMMM"))</f>
        <v>JANEIRO</v>
      </c>
      <c r="C59" s="30" t="s">
        <v>15</v>
      </c>
      <c r="D59" s="12" t="s">
        <v>12</v>
      </c>
      <c r="E59" s="28">
        <v>50</v>
      </c>
      <c r="F59" s="28">
        <v>30</v>
      </c>
      <c r="G59" s="27">
        <v>4</v>
      </c>
      <c r="H59" s="27">
        <v>4</v>
      </c>
      <c r="I59" s="27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12.5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26">
        <v>46028</v>
      </c>
      <c r="B60" s="27" t="str">
        <f>UPPER(TEXT(A60,"MMMM"))</f>
        <v>JANEIRO</v>
      </c>
      <c r="C60" s="30" t="s">
        <v>16</v>
      </c>
      <c r="D60" s="12" t="s">
        <v>12</v>
      </c>
      <c r="E60" s="28">
        <v>204</v>
      </c>
      <c r="F60" s="28">
        <v>200</v>
      </c>
      <c r="G60" s="27">
        <v>7</v>
      </c>
      <c r="H60" s="27">
        <v>7</v>
      </c>
      <c r="I60" s="27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29.142857142857142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26">
        <v>46028</v>
      </c>
      <c r="B61" s="27" t="str">
        <f>UPPER(TEXT(A61,"MMMM"))</f>
        <v>JANEIRO</v>
      </c>
      <c r="C61" s="30" t="s">
        <v>17</v>
      </c>
      <c r="D61" s="12" t="s">
        <v>12</v>
      </c>
      <c r="E61" s="28">
        <v>32</v>
      </c>
      <c r="F61" s="28">
        <v>62</v>
      </c>
      <c r="G61" s="27">
        <v>2</v>
      </c>
      <c r="H61" s="27">
        <v>2</v>
      </c>
      <c r="I61" s="27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26">
        <v>46028</v>
      </c>
      <c r="B62" s="27" t="str">
        <f>UPPER(TEXT(A62,"MMMM"))</f>
        <v>JANEIRO</v>
      </c>
      <c r="C62" s="30" t="s">
        <v>18</v>
      </c>
      <c r="D62" s="12" t="s">
        <v>12</v>
      </c>
      <c r="E62" s="28">
        <v>100</v>
      </c>
      <c r="F62" s="28">
        <v>0</v>
      </c>
      <c r="G62" s="27">
        <v>3</v>
      </c>
      <c r="H62" s="27">
        <v>3</v>
      </c>
      <c r="I62" s="27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26">
        <v>46028</v>
      </c>
      <c r="B63" s="27" t="str">
        <f>UPPER(TEXT(A63,"MMMM"))</f>
        <v>JANEIRO</v>
      </c>
      <c r="C63" s="30" t="s">
        <v>19</v>
      </c>
      <c r="D63" s="12" t="s">
        <v>12</v>
      </c>
      <c r="E63" s="28">
        <v>100</v>
      </c>
      <c r="F63" s="28">
        <v>113</v>
      </c>
      <c r="G63" s="27">
        <v>11</v>
      </c>
      <c r="H63" s="27">
        <v>11</v>
      </c>
      <c r="I63" s="27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26">
        <v>46028</v>
      </c>
      <c r="B64" s="27" t="str">
        <f>UPPER(TEXT(A64,"MMMM"))</f>
        <v>JANEIRO</v>
      </c>
      <c r="C64" s="30" t="s">
        <v>20</v>
      </c>
      <c r="D64" s="12" t="s">
        <v>12</v>
      </c>
      <c r="E64" s="28">
        <v>486</v>
      </c>
      <c r="F64" s="28">
        <v>405</v>
      </c>
      <c r="G64" s="27">
        <v>87</v>
      </c>
      <c r="H64" s="27">
        <v>87</v>
      </c>
      <c r="I64" s="27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26">
        <v>46029</v>
      </c>
      <c r="B65" s="27" t="str">
        <f>UPPER(TEXT(A65,"MMMM"))</f>
        <v>JANEIRO</v>
      </c>
      <c r="C65" s="30" t="s">
        <v>15</v>
      </c>
      <c r="D65" s="12" t="s">
        <v>12</v>
      </c>
      <c r="E65" s="28">
        <v>50</v>
      </c>
      <c r="F65" s="28">
        <v>40</v>
      </c>
      <c r="G65" s="27">
        <v>4</v>
      </c>
      <c r="H65" s="27">
        <v>4</v>
      </c>
      <c r="I65" s="27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12.5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26">
        <v>46029</v>
      </c>
      <c r="B66" s="27" t="str">
        <f>UPPER(TEXT(A66,"MMMM"))</f>
        <v>JANEIRO</v>
      </c>
      <c r="C66" s="30" t="s">
        <v>16</v>
      </c>
      <c r="D66" s="12" t="s">
        <v>12</v>
      </c>
      <c r="E66" s="28">
        <v>204</v>
      </c>
      <c r="F66" s="28">
        <v>179</v>
      </c>
      <c r="G66" s="27">
        <v>7</v>
      </c>
      <c r="H66" s="27">
        <v>7</v>
      </c>
      <c r="I66" s="27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29.142857142857142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26">
        <v>46029</v>
      </c>
      <c r="B67" s="27" t="str">
        <f>UPPER(TEXT(A67,"MMMM"))</f>
        <v>JANEIRO</v>
      </c>
      <c r="C67" s="30" t="s">
        <v>17</v>
      </c>
      <c r="D67" s="12" t="s">
        <v>12</v>
      </c>
      <c r="E67" s="28">
        <v>32</v>
      </c>
      <c r="F67" s="28">
        <v>25</v>
      </c>
      <c r="G67" s="27">
        <v>2</v>
      </c>
      <c r="H67" s="27">
        <v>2</v>
      </c>
      <c r="I67" s="27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26">
        <v>46029</v>
      </c>
      <c r="B68" s="27" t="str">
        <f>UPPER(TEXT(A68,"MMMM"))</f>
        <v>JANEIRO</v>
      </c>
      <c r="C68" s="30" t="s">
        <v>18</v>
      </c>
      <c r="D68" s="12" t="s">
        <v>12</v>
      </c>
      <c r="E68" s="28">
        <v>100</v>
      </c>
      <c r="F68" s="28">
        <v>0</v>
      </c>
      <c r="G68" s="27">
        <v>3</v>
      </c>
      <c r="H68" s="27">
        <v>3</v>
      </c>
      <c r="I68" s="27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26">
        <v>46029</v>
      </c>
      <c r="B69" s="27" t="str">
        <f>UPPER(TEXT(A69,"MMMM"))</f>
        <v>JANEIRO</v>
      </c>
      <c r="C69" s="30" t="s">
        <v>19</v>
      </c>
      <c r="D69" s="12" t="s">
        <v>12</v>
      </c>
      <c r="E69" s="28">
        <v>100</v>
      </c>
      <c r="F69" s="28">
        <v>96</v>
      </c>
      <c r="G69" s="27">
        <v>11</v>
      </c>
      <c r="H69" s="27">
        <v>11</v>
      </c>
      <c r="I69" s="27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26">
        <v>46029</v>
      </c>
      <c r="B70" s="27" t="str">
        <f>UPPER(TEXT(A70,"MMMM"))</f>
        <v>JANEIRO</v>
      </c>
      <c r="C70" s="30" t="s">
        <v>20</v>
      </c>
      <c r="D70" s="12" t="s">
        <v>12</v>
      </c>
      <c r="E70" s="28">
        <v>486</v>
      </c>
      <c r="F70" s="28">
        <v>340</v>
      </c>
      <c r="G70" s="27">
        <v>87</v>
      </c>
      <c r="H70" s="27">
        <v>87</v>
      </c>
      <c r="I70" s="27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26">
        <v>46030</v>
      </c>
      <c r="B71" s="27" t="str">
        <f t="shared" ref="B71:B76" si="2">UPPER(TEXT(A71,"MMMM"))</f>
        <v>JANEIRO</v>
      </c>
      <c r="C71" s="27" t="s">
        <v>15</v>
      </c>
      <c r="D71" s="27" t="s">
        <v>12</v>
      </c>
      <c r="E71" s="28">
        <v>50</v>
      </c>
      <c r="F71" s="28">
        <v>73</v>
      </c>
      <c r="G71" s="27">
        <v>4</v>
      </c>
      <c r="H71" s="27">
        <v>4</v>
      </c>
      <c r="I71" s="27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12.5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26">
        <v>46030</v>
      </c>
      <c r="B72" s="27" t="str">
        <f t="shared" si="2"/>
        <v>JANEIRO</v>
      </c>
      <c r="C72" s="27" t="s">
        <v>16</v>
      </c>
      <c r="D72" s="27" t="s">
        <v>12</v>
      </c>
      <c r="E72" s="28">
        <v>204</v>
      </c>
      <c r="F72" s="28">
        <v>195</v>
      </c>
      <c r="G72" s="27">
        <v>7</v>
      </c>
      <c r="H72" s="27">
        <v>7</v>
      </c>
      <c r="I72" s="27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29.142857142857142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26">
        <v>46030</v>
      </c>
      <c r="B73" s="27" t="str">
        <f t="shared" si="2"/>
        <v>JANEIRO</v>
      </c>
      <c r="C73" s="27" t="s">
        <v>17</v>
      </c>
      <c r="D73" s="27" t="s">
        <v>12</v>
      </c>
      <c r="E73" s="28">
        <v>32</v>
      </c>
      <c r="F73" s="28">
        <v>0</v>
      </c>
      <c r="G73" s="27">
        <v>2</v>
      </c>
      <c r="H73" s="27">
        <v>2</v>
      </c>
      <c r="I73" s="27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26">
        <v>46030</v>
      </c>
      <c r="B74" s="27" t="str">
        <f t="shared" si="2"/>
        <v>JANEIRO</v>
      </c>
      <c r="C74" s="27" t="s">
        <v>18</v>
      </c>
      <c r="D74" s="27" t="s">
        <v>12</v>
      </c>
      <c r="E74" s="28">
        <v>100</v>
      </c>
      <c r="F74" s="28">
        <v>0</v>
      </c>
      <c r="G74" s="27">
        <v>3</v>
      </c>
      <c r="H74" s="27">
        <v>3</v>
      </c>
      <c r="I74" s="27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26">
        <v>46030</v>
      </c>
      <c r="B75" s="27" t="str">
        <f t="shared" si="2"/>
        <v>JANEIRO</v>
      </c>
      <c r="C75" s="27" t="s">
        <v>19</v>
      </c>
      <c r="D75" s="27" t="s">
        <v>12</v>
      </c>
      <c r="E75" s="28">
        <v>100</v>
      </c>
      <c r="F75" s="28">
        <v>76</v>
      </c>
      <c r="G75" s="27">
        <v>11</v>
      </c>
      <c r="H75" s="27">
        <v>11</v>
      </c>
      <c r="I75" s="27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26">
        <v>46030</v>
      </c>
      <c r="B76" s="27" t="str">
        <f t="shared" si="2"/>
        <v>JANEIRO</v>
      </c>
      <c r="C76" s="27" t="s">
        <v>20</v>
      </c>
      <c r="D76" s="27" t="s">
        <v>12</v>
      </c>
      <c r="E76" s="28">
        <v>486</v>
      </c>
      <c r="F76" s="28">
        <v>344</v>
      </c>
      <c r="G76" s="27">
        <v>87</v>
      </c>
      <c r="H76" s="27">
        <v>87</v>
      </c>
      <c r="I76" s="27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26">
        <v>46031</v>
      </c>
      <c r="B77" s="27" t="str">
        <f t="shared" ref="B77:B82" si="3">UPPER(TEXT(A77,"MMMM"))</f>
        <v>JANEIRO</v>
      </c>
      <c r="C77" s="27" t="s">
        <v>15</v>
      </c>
      <c r="D77" s="27" t="s">
        <v>12</v>
      </c>
      <c r="E77" s="28">
        <v>50</v>
      </c>
      <c r="F77" s="28">
        <v>40</v>
      </c>
      <c r="G77" s="27">
        <v>4</v>
      </c>
      <c r="H77" s="27">
        <v>4</v>
      </c>
      <c r="I77" s="27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12.5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26">
        <v>46031</v>
      </c>
      <c r="B78" s="27" t="str">
        <f t="shared" si="3"/>
        <v>JANEIRO</v>
      </c>
      <c r="C78" s="27" t="s">
        <v>16</v>
      </c>
      <c r="D78" s="27" t="s">
        <v>12</v>
      </c>
      <c r="E78" s="28">
        <v>204</v>
      </c>
      <c r="F78" s="28">
        <v>146</v>
      </c>
      <c r="G78" s="27">
        <v>7</v>
      </c>
      <c r="H78" s="27">
        <v>7</v>
      </c>
      <c r="I78" s="27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29.142857142857142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26">
        <v>46031</v>
      </c>
      <c r="B79" s="27" t="str">
        <f t="shared" si="3"/>
        <v>JANEIRO</v>
      </c>
      <c r="C79" s="27" t="s">
        <v>17</v>
      </c>
      <c r="D79" s="27" t="s">
        <v>12</v>
      </c>
      <c r="E79" s="28">
        <v>32</v>
      </c>
      <c r="F79" s="28">
        <v>0</v>
      </c>
      <c r="G79" s="27">
        <v>2</v>
      </c>
      <c r="H79" s="27">
        <v>2</v>
      </c>
      <c r="I79" s="27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26">
        <v>46031</v>
      </c>
      <c r="B80" s="27" t="str">
        <f t="shared" si="3"/>
        <v>JANEIRO</v>
      </c>
      <c r="C80" s="27" t="s">
        <v>18</v>
      </c>
      <c r="D80" s="27" t="s">
        <v>12</v>
      </c>
      <c r="E80" s="28">
        <v>100</v>
      </c>
      <c r="F80" s="28">
        <v>0</v>
      </c>
      <c r="G80" s="27">
        <v>3</v>
      </c>
      <c r="H80" s="27">
        <v>3</v>
      </c>
      <c r="I80" s="27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26">
        <v>46031</v>
      </c>
      <c r="B81" s="27" t="str">
        <f t="shared" si="3"/>
        <v>JANEIRO</v>
      </c>
      <c r="C81" s="27" t="s">
        <v>19</v>
      </c>
      <c r="D81" s="27" t="s">
        <v>12</v>
      </c>
      <c r="E81" s="28">
        <v>100</v>
      </c>
      <c r="F81" s="28">
        <v>42</v>
      </c>
      <c r="G81" s="27">
        <v>11</v>
      </c>
      <c r="H81" s="27">
        <v>11</v>
      </c>
      <c r="I81" s="27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26">
        <v>46031</v>
      </c>
      <c r="B82" s="27" t="str">
        <f t="shared" si="3"/>
        <v>JANEIRO</v>
      </c>
      <c r="C82" s="27" t="s">
        <v>20</v>
      </c>
      <c r="D82" s="27" t="s">
        <v>12</v>
      </c>
      <c r="E82" s="28">
        <v>486</v>
      </c>
      <c r="F82" s="28">
        <v>228</v>
      </c>
      <c r="G82" s="27">
        <v>87</v>
      </c>
      <c r="H82" s="27">
        <v>87</v>
      </c>
      <c r="I82" s="27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26">
        <v>46034</v>
      </c>
      <c r="B83" s="27" t="str">
        <f t="shared" ref="B83:B88" si="4">UPPER(TEXT(A83,"MMMM"))</f>
        <v>JANEIRO</v>
      </c>
      <c r="C83" s="27" t="s">
        <v>15</v>
      </c>
      <c r="D83" s="27" t="s">
        <v>12</v>
      </c>
      <c r="E83" s="28">
        <v>50</v>
      </c>
      <c r="F83" s="28">
        <v>28</v>
      </c>
      <c r="G83" s="27">
        <v>4</v>
      </c>
      <c r="H83" s="27">
        <v>4</v>
      </c>
      <c r="I83" s="27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12.5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26">
        <v>46034</v>
      </c>
      <c r="B84" s="27" t="str">
        <f t="shared" si="4"/>
        <v>JANEIRO</v>
      </c>
      <c r="C84" s="27" t="s">
        <v>16</v>
      </c>
      <c r="D84" s="27" t="s">
        <v>12</v>
      </c>
      <c r="E84" s="28">
        <v>204</v>
      </c>
      <c r="F84" s="28">
        <v>216</v>
      </c>
      <c r="G84" s="27">
        <v>7</v>
      </c>
      <c r="H84" s="27">
        <v>7</v>
      </c>
      <c r="I84" s="27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29.142857142857142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26">
        <v>46034</v>
      </c>
      <c r="B85" s="27" t="str">
        <f t="shared" si="4"/>
        <v>JANEIRO</v>
      </c>
      <c r="C85" s="27" t="s">
        <v>17</v>
      </c>
      <c r="D85" s="27" t="s">
        <v>12</v>
      </c>
      <c r="E85" s="28">
        <v>32</v>
      </c>
      <c r="F85" s="28">
        <v>0</v>
      </c>
      <c r="G85" s="27">
        <v>2</v>
      </c>
      <c r="H85" s="27">
        <v>2</v>
      </c>
      <c r="I85" s="27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26">
        <v>46034</v>
      </c>
      <c r="B86" s="27" t="str">
        <f t="shared" si="4"/>
        <v>JANEIRO</v>
      </c>
      <c r="C86" s="27" t="s">
        <v>18</v>
      </c>
      <c r="D86" s="27" t="s">
        <v>12</v>
      </c>
      <c r="E86" s="28">
        <v>100</v>
      </c>
      <c r="F86" s="28">
        <v>0</v>
      </c>
      <c r="G86" s="27">
        <v>3</v>
      </c>
      <c r="H86" s="27">
        <v>3</v>
      </c>
      <c r="I86" s="27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26">
        <v>46034</v>
      </c>
      <c r="B87" s="27" t="str">
        <f t="shared" si="4"/>
        <v>JANEIRO</v>
      </c>
      <c r="C87" s="27" t="s">
        <v>19</v>
      </c>
      <c r="D87" s="27" t="s">
        <v>12</v>
      </c>
      <c r="E87" s="28">
        <v>100</v>
      </c>
      <c r="F87" s="28">
        <v>71</v>
      </c>
      <c r="G87" s="27">
        <v>11</v>
      </c>
      <c r="H87" s="27">
        <v>11</v>
      </c>
      <c r="I87" s="27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26">
        <v>46034</v>
      </c>
      <c r="B88" s="27" t="str">
        <f t="shared" si="4"/>
        <v>JANEIRO</v>
      </c>
      <c r="C88" s="27" t="s">
        <v>20</v>
      </c>
      <c r="D88" s="27" t="s">
        <v>12</v>
      </c>
      <c r="E88" s="28">
        <v>486</v>
      </c>
      <c r="F88" s="28">
        <v>315</v>
      </c>
      <c r="G88" s="27">
        <v>87</v>
      </c>
      <c r="H88" s="27">
        <v>87</v>
      </c>
      <c r="I88" s="27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26">
        <v>46035</v>
      </c>
      <c r="B89" s="27" t="str">
        <f t="shared" ref="B89:B94" si="5">UPPER(TEXT(A89,"MMMM"))</f>
        <v>JANEIRO</v>
      </c>
      <c r="C89" s="27" t="s">
        <v>15</v>
      </c>
      <c r="D89" s="27" t="s">
        <v>12</v>
      </c>
      <c r="E89" s="28">
        <v>50</v>
      </c>
      <c r="F89" s="28">
        <v>60</v>
      </c>
      <c r="G89" s="27">
        <v>4</v>
      </c>
      <c r="H89" s="27">
        <v>4</v>
      </c>
      <c r="I89" s="27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12.5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26">
        <v>46035</v>
      </c>
      <c r="B90" s="27" t="str">
        <f t="shared" si="5"/>
        <v>JANEIRO</v>
      </c>
      <c r="C90" s="27" t="s">
        <v>16</v>
      </c>
      <c r="D90" s="27" t="s">
        <v>12</v>
      </c>
      <c r="E90" s="28">
        <v>204</v>
      </c>
      <c r="F90" s="28">
        <v>155</v>
      </c>
      <c r="G90" s="27">
        <v>7</v>
      </c>
      <c r="H90" s="27">
        <v>7</v>
      </c>
      <c r="I90" s="27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29.142857142857142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26">
        <v>46035</v>
      </c>
      <c r="B91" s="27" t="str">
        <f t="shared" si="5"/>
        <v>JANEIRO</v>
      </c>
      <c r="C91" s="27" t="s">
        <v>17</v>
      </c>
      <c r="D91" s="27" t="s">
        <v>12</v>
      </c>
      <c r="E91" s="28">
        <v>32</v>
      </c>
      <c r="F91" s="28">
        <v>200</v>
      </c>
      <c r="G91" s="27">
        <v>2</v>
      </c>
      <c r="H91" s="27">
        <v>2</v>
      </c>
      <c r="I91" s="27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26">
        <v>46035</v>
      </c>
      <c r="B92" s="27" t="str">
        <f t="shared" si="5"/>
        <v>JANEIRO</v>
      </c>
      <c r="C92" s="27" t="s">
        <v>18</v>
      </c>
      <c r="D92" s="27" t="s">
        <v>12</v>
      </c>
      <c r="E92" s="28">
        <v>100</v>
      </c>
      <c r="F92" s="28">
        <v>0</v>
      </c>
      <c r="G92" s="27">
        <v>3</v>
      </c>
      <c r="H92" s="27">
        <v>3</v>
      </c>
      <c r="I92" s="27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26">
        <v>46035</v>
      </c>
      <c r="B93" s="27" t="str">
        <f t="shared" si="5"/>
        <v>JANEIRO</v>
      </c>
      <c r="C93" s="27" t="s">
        <v>19</v>
      </c>
      <c r="D93" s="27" t="s">
        <v>12</v>
      </c>
      <c r="E93" s="28">
        <v>100</v>
      </c>
      <c r="F93" s="28">
        <v>18</v>
      </c>
      <c r="G93" s="27">
        <v>11</v>
      </c>
      <c r="H93" s="27">
        <v>11</v>
      </c>
      <c r="I93" s="27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26">
        <v>46035</v>
      </c>
      <c r="B94" s="27" t="str">
        <f t="shared" si="5"/>
        <v>JANEIRO</v>
      </c>
      <c r="C94" s="27" t="s">
        <v>20</v>
      </c>
      <c r="D94" s="27" t="s">
        <v>12</v>
      </c>
      <c r="E94" s="28">
        <v>486</v>
      </c>
      <c r="F94" s="28">
        <v>433</v>
      </c>
      <c r="G94" s="27">
        <v>87</v>
      </c>
      <c r="H94" s="27">
        <v>87</v>
      </c>
      <c r="I94" s="27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26">
        <v>46036</v>
      </c>
      <c r="B95" s="27" t="str">
        <f t="shared" ref="B95:B100" si="6">UPPER(TEXT(A95,"MMMM"))</f>
        <v>JANEIRO</v>
      </c>
      <c r="C95" s="27" t="s">
        <v>15</v>
      </c>
      <c r="D95" s="27" t="s">
        <v>12</v>
      </c>
      <c r="E95" s="28">
        <v>50</v>
      </c>
      <c r="F95" s="28">
        <v>30</v>
      </c>
      <c r="G95" s="27">
        <v>4</v>
      </c>
      <c r="H95" s="27">
        <v>4</v>
      </c>
      <c r="I95" s="27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12.5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26">
        <v>46036</v>
      </c>
      <c r="B96" s="27" t="str">
        <f t="shared" si="6"/>
        <v>JANEIRO</v>
      </c>
      <c r="C96" s="27" t="s">
        <v>16</v>
      </c>
      <c r="D96" s="27" t="s">
        <v>12</v>
      </c>
      <c r="E96" s="28">
        <v>204</v>
      </c>
      <c r="F96" s="28">
        <v>0</v>
      </c>
      <c r="G96" s="27">
        <v>7</v>
      </c>
      <c r="H96" s="27">
        <v>7</v>
      </c>
      <c r="I96" s="27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29.142857142857142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26">
        <v>46036</v>
      </c>
      <c r="B97" s="27" t="str">
        <f t="shared" si="6"/>
        <v>JANEIRO</v>
      </c>
      <c r="C97" s="27" t="s">
        <v>17</v>
      </c>
      <c r="D97" s="27" t="s">
        <v>12</v>
      </c>
      <c r="E97" s="28">
        <v>32</v>
      </c>
      <c r="F97" s="28">
        <v>0</v>
      </c>
      <c r="G97" s="27">
        <v>2</v>
      </c>
      <c r="H97" s="27">
        <v>2</v>
      </c>
      <c r="I97" s="27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26">
        <v>46036</v>
      </c>
      <c r="B98" s="27" t="str">
        <f t="shared" si="6"/>
        <v>JANEIRO</v>
      </c>
      <c r="C98" s="27" t="s">
        <v>18</v>
      </c>
      <c r="D98" s="27" t="s">
        <v>12</v>
      </c>
      <c r="E98" s="28">
        <v>100</v>
      </c>
      <c r="F98" s="28">
        <v>0</v>
      </c>
      <c r="G98" s="27">
        <v>3</v>
      </c>
      <c r="H98" s="27">
        <v>3</v>
      </c>
      <c r="I98" s="27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26">
        <v>46036</v>
      </c>
      <c r="B99" s="27" t="str">
        <f t="shared" si="6"/>
        <v>JANEIRO</v>
      </c>
      <c r="C99" s="27" t="s">
        <v>19</v>
      </c>
      <c r="D99" s="27" t="s">
        <v>12</v>
      </c>
      <c r="E99" s="28">
        <v>100</v>
      </c>
      <c r="F99" s="28">
        <v>108</v>
      </c>
      <c r="G99" s="27">
        <v>11</v>
      </c>
      <c r="H99" s="27">
        <v>11</v>
      </c>
      <c r="I99" s="27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26">
        <v>46036</v>
      </c>
      <c r="B100" s="27" t="str">
        <f t="shared" si="6"/>
        <v>JANEIRO</v>
      </c>
      <c r="C100" s="27" t="s">
        <v>20</v>
      </c>
      <c r="D100" s="27" t="s">
        <v>12</v>
      </c>
      <c r="E100" s="28">
        <v>486</v>
      </c>
      <c r="F100" s="28">
        <v>138</v>
      </c>
      <c r="G100" s="27">
        <v>87</v>
      </c>
      <c r="H100" s="27">
        <v>87</v>
      </c>
      <c r="I100" s="27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26">
        <v>46037</v>
      </c>
      <c r="B101" s="27" t="str">
        <f t="shared" ref="B101:B106" si="7">UPPER(TEXT(A101,"MMMM"))</f>
        <v>JANEIRO</v>
      </c>
      <c r="C101" s="27" t="s">
        <v>15</v>
      </c>
      <c r="D101" s="27" t="s">
        <v>12</v>
      </c>
      <c r="E101" s="28">
        <v>50</v>
      </c>
      <c r="F101" s="28">
        <v>41</v>
      </c>
      <c r="G101" s="27">
        <v>4</v>
      </c>
      <c r="H101" s="27">
        <v>4</v>
      </c>
      <c r="I101" s="27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12.5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26">
        <v>46037</v>
      </c>
      <c r="B102" s="27" t="str">
        <f t="shared" si="7"/>
        <v>JANEIRO</v>
      </c>
      <c r="C102" s="27" t="s">
        <v>16</v>
      </c>
      <c r="D102" s="27" t="s">
        <v>12</v>
      </c>
      <c r="E102" s="28">
        <v>204</v>
      </c>
      <c r="F102" s="28">
        <v>111</v>
      </c>
      <c r="G102" s="27">
        <v>7</v>
      </c>
      <c r="H102" s="27">
        <v>7</v>
      </c>
      <c r="I102" s="27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29.142857142857142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26">
        <v>46037</v>
      </c>
      <c r="B103" s="27" t="str">
        <f t="shared" si="7"/>
        <v>JANEIRO</v>
      </c>
      <c r="C103" s="27" t="s">
        <v>17</v>
      </c>
      <c r="D103" s="27" t="s">
        <v>12</v>
      </c>
      <c r="E103" s="28">
        <v>32</v>
      </c>
      <c r="F103" s="28">
        <v>0</v>
      </c>
      <c r="G103" s="27">
        <v>2</v>
      </c>
      <c r="H103" s="27">
        <v>2</v>
      </c>
      <c r="I103" s="27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26">
        <v>46037</v>
      </c>
      <c r="B104" s="27" t="str">
        <f t="shared" si="7"/>
        <v>JANEIRO</v>
      </c>
      <c r="C104" s="27" t="s">
        <v>18</v>
      </c>
      <c r="D104" s="27" t="s">
        <v>12</v>
      </c>
      <c r="E104" s="28">
        <v>100</v>
      </c>
      <c r="F104" s="28">
        <v>0</v>
      </c>
      <c r="G104" s="27">
        <v>3</v>
      </c>
      <c r="H104" s="27">
        <v>3</v>
      </c>
      <c r="I104" s="27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26">
        <v>46037</v>
      </c>
      <c r="B105" s="27" t="str">
        <f t="shared" si="7"/>
        <v>JANEIRO</v>
      </c>
      <c r="C105" s="27" t="s">
        <v>19</v>
      </c>
      <c r="D105" s="27" t="s">
        <v>12</v>
      </c>
      <c r="E105" s="28">
        <v>100</v>
      </c>
      <c r="F105" s="28">
        <v>21</v>
      </c>
      <c r="G105" s="27">
        <v>11</v>
      </c>
      <c r="H105" s="27">
        <v>11</v>
      </c>
      <c r="I105" s="27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26">
        <v>46037</v>
      </c>
      <c r="B106" s="27" t="str">
        <f t="shared" si="7"/>
        <v>JANEIRO</v>
      </c>
      <c r="C106" s="27" t="s">
        <v>20</v>
      </c>
      <c r="D106" s="27" t="s">
        <v>12</v>
      </c>
      <c r="E106" s="28">
        <v>486</v>
      </c>
      <c r="F106" s="28">
        <v>173</v>
      </c>
      <c r="G106" s="27">
        <v>87</v>
      </c>
      <c r="H106" s="27">
        <v>87</v>
      </c>
      <c r="I106" s="27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26">
        <v>46038</v>
      </c>
      <c r="B107" s="27" t="str">
        <f t="shared" ref="B107:B112" si="8">UPPER(TEXT(A107,"MMMM"))</f>
        <v>JANEIRO</v>
      </c>
      <c r="C107" s="27" t="s">
        <v>15</v>
      </c>
      <c r="D107" s="27" t="s">
        <v>12</v>
      </c>
      <c r="E107" s="28">
        <v>50</v>
      </c>
      <c r="F107" s="28">
        <v>25</v>
      </c>
      <c r="G107" s="27">
        <v>4</v>
      </c>
      <c r="H107" s="27">
        <v>4</v>
      </c>
      <c r="I107" s="27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12.5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26">
        <v>46038</v>
      </c>
      <c r="B108" s="27" t="str">
        <f t="shared" si="8"/>
        <v>JANEIRO</v>
      </c>
      <c r="C108" s="27" t="s">
        <v>16</v>
      </c>
      <c r="D108" s="27" t="s">
        <v>12</v>
      </c>
      <c r="E108" s="28">
        <v>204</v>
      </c>
      <c r="F108" s="28">
        <v>68</v>
      </c>
      <c r="G108" s="27">
        <v>7</v>
      </c>
      <c r="H108" s="27">
        <v>7</v>
      </c>
      <c r="I108" s="27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29.142857142857142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26">
        <v>46038</v>
      </c>
      <c r="B109" s="27" t="str">
        <f t="shared" si="8"/>
        <v>JANEIRO</v>
      </c>
      <c r="C109" s="27" t="s">
        <v>17</v>
      </c>
      <c r="D109" s="27" t="s">
        <v>12</v>
      </c>
      <c r="E109" s="28">
        <v>32</v>
      </c>
      <c r="F109" s="28">
        <v>0</v>
      </c>
      <c r="G109" s="27">
        <v>2</v>
      </c>
      <c r="H109" s="27">
        <v>2</v>
      </c>
      <c r="I109" s="27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26">
        <v>46038</v>
      </c>
      <c r="B110" s="27" t="str">
        <f t="shared" si="8"/>
        <v>JANEIRO</v>
      </c>
      <c r="C110" s="27" t="s">
        <v>18</v>
      </c>
      <c r="D110" s="27" t="s">
        <v>12</v>
      </c>
      <c r="E110" s="28">
        <v>100</v>
      </c>
      <c r="F110" s="28">
        <v>11</v>
      </c>
      <c r="G110" s="27">
        <v>3</v>
      </c>
      <c r="H110" s="27">
        <v>3</v>
      </c>
      <c r="I110" s="27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26">
        <v>46038</v>
      </c>
      <c r="B111" s="27" t="str">
        <f t="shared" si="8"/>
        <v>JANEIRO</v>
      </c>
      <c r="C111" s="27" t="s">
        <v>19</v>
      </c>
      <c r="D111" s="27" t="s">
        <v>12</v>
      </c>
      <c r="E111" s="28">
        <v>100</v>
      </c>
      <c r="F111" s="28">
        <v>32</v>
      </c>
      <c r="G111" s="27">
        <v>11</v>
      </c>
      <c r="H111" s="27">
        <v>11</v>
      </c>
      <c r="I111" s="27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26">
        <v>46038</v>
      </c>
      <c r="B112" s="27" t="str">
        <f t="shared" si="8"/>
        <v>JANEIRO</v>
      </c>
      <c r="C112" s="27" t="s">
        <v>20</v>
      </c>
      <c r="D112" s="27" t="s">
        <v>12</v>
      </c>
      <c r="E112" s="28">
        <v>486</v>
      </c>
      <c r="F112" s="28">
        <v>136</v>
      </c>
      <c r="G112" s="27">
        <v>87</v>
      </c>
      <c r="H112" s="27">
        <v>87</v>
      </c>
      <c r="I112" s="27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26">
        <v>46041</v>
      </c>
      <c r="B113" s="27" t="str">
        <f t="shared" ref="B113:B118" si="9">UPPER(TEXT(A113,"MMMM"))</f>
        <v>JANEIRO</v>
      </c>
      <c r="C113" s="27" t="s">
        <v>15</v>
      </c>
      <c r="D113" s="27" t="s">
        <v>12</v>
      </c>
      <c r="E113" s="28">
        <v>50</v>
      </c>
      <c r="F113" s="28">
        <v>28</v>
      </c>
      <c r="G113" s="27">
        <v>4</v>
      </c>
      <c r="H113" s="27">
        <v>4</v>
      </c>
      <c r="I113" s="27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12.5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26">
        <v>46041</v>
      </c>
      <c r="B114" s="27" t="str">
        <f t="shared" si="9"/>
        <v>JANEIRO</v>
      </c>
      <c r="C114" s="27" t="s">
        <v>16</v>
      </c>
      <c r="D114" s="27" t="s">
        <v>12</v>
      </c>
      <c r="E114" s="28">
        <v>204</v>
      </c>
      <c r="F114" s="28">
        <v>115</v>
      </c>
      <c r="G114" s="27">
        <v>7</v>
      </c>
      <c r="H114" s="27">
        <v>7</v>
      </c>
      <c r="I114" s="27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29.142857142857142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26">
        <v>46041</v>
      </c>
      <c r="B115" s="27" t="str">
        <f t="shared" si="9"/>
        <v>JANEIRO</v>
      </c>
      <c r="C115" s="27" t="s">
        <v>17</v>
      </c>
      <c r="D115" s="27" t="s">
        <v>12</v>
      </c>
      <c r="E115" s="28">
        <v>32</v>
      </c>
      <c r="F115" s="28">
        <v>0</v>
      </c>
      <c r="G115" s="27">
        <v>2</v>
      </c>
      <c r="H115" s="27">
        <v>2</v>
      </c>
      <c r="I115" s="27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26">
        <v>46041</v>
      </c>
      <c r="B116" s="27" t="str">
        <f t="shared" si="9"/>
        <v>JANEIRO</v>
      </c>
      <c r="C116" s="27" t="s">
        <v>18</v>
      </c>
      <c r="D116" s="27" t="s">
        <v>12</v>
      </c>
      <c r="E116" s="28">
        <v>100</v>
      </c>
      <c r="F116" s="28">
        <v>141</v>
      </c>
      <c r="G116" s="27">
        <v>3</v>
      </c>
      <c r="H116" s="27">
        <v>3</v>
      </c>
      <c r="I116" s="27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26">
        <v>46041</v>
      </c>
      <c r="B117" s="27" t="str">
        <f t="shared" si="9"/>
        <v>JANEIRO</v>
      </c>
      <c r="C117" s="27" t="s">
        <v>19</v>
      </c>
      <c r="D117" s="27" t="s">
        <v>12</v>
      </c>
      <c r="E117" s="28">
        <v>100</v>
      </c>
      <c r="F117" s="28">
        <v>0</v>
      </c>
      <c r="G117" s="27">
        <v>11</v>
      </c>
      <c r="H117" s="27">
        <v>11</v>
      </c>
      <c r="I117" s="27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26">
        <v>46041</v>
      </c>
      <c r="B118" s="27" t="str">
        <f t="shared" si="9"/>
        <v>JANEIRO</v>
      </c>
      <c r="C118" s="27" t="s">
        <v>20</v>
      </c>
      <c r="D118" s="27" t="s">
        <v>12</v>
      </c>
      <c r="E118" s="28">
        <v>486</v>
      </c>
      <c r="F118" s="28">
        <v>284</v>
      </c>
      <c r="G118" s="27">
        <v>87</v>
      </c>
      <c r="H118" s="27">
        <v>87</v>
      </c>
      <c r="I118" s="27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26">
        <v>46042</v>
      </c>
      <c r="B119" s="27" t="str">
        <f t="shared" ref="B119:B124" si="10">UPPER(TEXT(A119,"MMMM"))</f>
        <v>JANEIRO</v>
      </c>
      <c r="C119" s="27" t="s">
        <v>15</v>
      </c>
      <c r="D119" s="27" t="s">
        <v>12</v>
      </c>
      <c r="E119" s="28">
        <v>50</v>
      </c>
      <c r="F119" s="28">
        <v>22</v>
      </c>
      <c r="G119" s="27">
        <v>4</v>
      </c>
      <c r="H119" s="27">
        <v>4</v>
      </c>
      <c r="I119" s="27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12.5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26">
        <v>46042</v>
      </c>
      <c r="B120" s="27" t="str">
        <f t="shared" si="10"/>
        <v>JANEIRO</v>
      </c>
      <c r="C120" s="27" t="s">
        <v>16</v>
      </c>
      <c r="D120" s="27" t="s">
        <v>12</v>
      </c>
      <c r="E120" s="28">
        <v>204</v>
      </c>
      <c r="F120" s="28">
        <v>114</v>
      </c>
      <c r="G120" s="27">
        <v>7</v>
      </c>
      <c r="H120" s="27">
        <v>7</v>
      </c>
      <c r="I120" s="27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29.142857142857142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26">
        <v>46042</v>
      </c>
      <c r="B121" s="27" t="str">
        <f t="shared" si="10"/>
        <v>JANEIRO</v>
      </c>
      <c r="C121" s="27" t="s">
        <v>17</v>
      </c>
      <c r="D121" s="27" t="s">
        <v>12</v>
      </c>
      <c r="E121" s="28">
        <v>32</v>
      </c>
      <c r="F121" s="28">
        <v>0</v>
      </c>
      <c r="G121" s="27">
        <v>2</v>
      </c>
      <c r="H121" s="27">
        <v>2</v>
      </c>
      <c r="I121" s="27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26">
        <v>46042</v>
      </c>
      <c r="B122" s="27" t="str">
        <f t="shared" si="10"/>
        <v>JANEIRO</v>
      </c>
      <c r="C122" s="27" t="s">
        <v>18</v>
      </c>
      <c r="D122" s="27" t="s">
        <v>12</v>
      </c>
      <c r="E122" s="28">
        <v>100</v>
      </c>
      <c r="F122" s="28">
        <v>168</v>
      </c>
      <c r="G122" s="27">
        <v>3</v>
      </c>
      <c r="H122" s="27">
        <v>3</v>
      </c>
      <c r="I122" s="27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26">
        <v>46042</v>
      </c>
      <c r="B123" s="27" t="str">
        <f t="shared" si="10"/>
        <v>JANEIRO</v>
      </c>
      <c r="C123" s="27" t="s">
        <v>19</v>
      </c>
      <c r="D123" s="27" t="s">
        <v>12</v>
      </c>
      <c r="E123" s="28">
        <v>100</v>
      </c>
      <c r="F123" s="28">
        <v>9</v>
      </c>
      <c r="G123" s="27">
        <v>11</v>
      </c>
      <c r="H123" s="27">
        <v>11</v>
      </c>
      <c r="I123" s="27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26">
        <v>46042</v>
      </c>
      <c r="B124" s="27" t="str">
        <f t="shared" si="10"/>
        <v>JANEIRO</v>
      </c>
      <c r="C124" s="27" t="s">
        <v>20</v>
      </c>
      <c r="D124" s="27" t="s">
        <v>12</v>
      </c>
      <c r="E124" s="28">
        <v>486</v>
      </c>
      <c r="F124" s="28">
        <v>313</v>
      </c>
      <c r="G124" s="27">
        <v>87</v>
      </c>
      <c r="H124" s="27">
        <v>87</v>
      </c>
      <c r="I124" s="27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26">
        <v>46043</v>
      </c>
      <c r="B125" s="27" t="str">
        <f t="shared" ref="B125:B130" si="11">UPPER(TEXT(A125,"MMMM"))</f>
        <v>JANEIRO</v>
      </c>
      <c r="C125" s="27" t="s">
        <v>15</v>
      </c>
      <c r="D125" s="27" t="s">
        <v>12</v>
      </c>
      <c r="E125" s="28">
        <v>50</v>
      </c>
      <c r="F125" s="28">
        <v>45</v>
      </c>
      <c r="G125" s="27">
        <v>4</v>
      </c>
      <c r="H125" s="27">
        <v>4</v>
      </c>
      <c r="I125" s="27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12.5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26">
        <v>46043</v>
      </c>
      <c r="B126" s="27" t="str">
        <f t="shared" si="11"/>
        <v>JANEIRO</v>
      </c>
      <c r="C126" s="27" t="s">
        <v>16</v>
      </c>
      <c r="D126" s="27" t="s">
        <v>12</v>
      </c>
      <c r="E126" s="28">
        <v>204</v>
      </c>
      <c r="F126" s="28">
        <v>97</v>
      </c>
      <c r="G126" s="27">
        <v>7</v>
      </c>
      <c r="H126" s="27">
        <v>7</v>
      </c>
      <c r="I126" s="27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29.142857142857142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26">
        <v>46043</v>
      </c>
      <c r="B127" s="27" t="str">
        <f t="shared" si="11"/>
        <v>JANEIRO</v>
      </c>
      <c r="C127" s="27" t="s">
        <v>17</v>
      </c>
      <c r="D127" s="27" t="s">
        <v>12</v>
      </c>
      <c r="E127" s="28">
        <v>32</v>
      </c>
      <c r="F127" s="28">
        <v>0</v>
      </c>
      <c r="G127" s="27">
        <v>2</v>
      </c>
      <c r="H127" s="27">
        <v>2</v>
      </c>
      <c r="I127" s="27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26">
        <v>46043</v>
      </c>
      <c r="B128" s="27" t="str">
        <f t="shared" si="11"/>
        <v>JANEIRO</v>
      </c>
      <c r="C128" s="27" t="s">
        <v>18</v>
      </c>
      <c r="D128" s="27" t="s">
        <v>12</v>
      </c>
      <c r="E128" s="28">
        <v>100</v>
      </c>
      <c r="F128" s="28">
        <v>160</v>
      </c>
      <c r="G128" s="27">
        <v>3</v>
      </c>
      <c r="H128" s="27">
        <v>3</v>
      </c>
      <c r="I128" s="27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26">
        <v>46043</v>
      </c>
      <c r="B129" s="27" t="str">
        <f t="shared" si="11"/>
        <v>JANEIRO</v>
      </c>
      <c r="C129" s="27" t="s">
        <v>19</v>
      </c>
      <c r="D129" s="27" t="s">
        <v>12</v>
      </c>
      <c r="E129" s="28">
        <v>100</v>
      </c>
      <c r="F129" s="28">
        <v>0</v>
      </c>
      <c r="G129" s="27">
        <v>11</v>
      </c>
      <c r="H129" s="27">
        <v>11</v>
      </c>
      <c r="I129" s="27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26">
        <v>46043</v>
      </c>
      <c r="B130" s="27" t="str">
        <f t="shared" si="11"/>
        <v>JANEIRO</v>
      </c>
      <c r="C130" s="27" t="s">
        <v>20</v>
      </c>
      <c r="D130" s="27" t="s">
        <v>12</v>
      </c>
      <c r="E130" s="28">
        <v>486</v>
      </c>
      <c r="F130" s="28">
        <v>302</v>
      </c>
      <c r="G130" s="27">
        <v>87</v>
      </c>
      <c r="H130" s="27">
        <v>87</v>
      </c>
      <c r="I130" s="27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26">
        <v>46044</v>
      </c>
      <c r="B131" s="27" t="str">
        <f t="shared" ref="B131:B136" si="12">UPPER(TEXT(A131,"MMMM"))</f>
        <v>JANEIRO</v>
      </c>
      <c r="C131" s="27" t="s">
        <v>15</v>
      </c>
      <c r="D131" s="27" t="s">
        <v>12</v>
      </c>
      <c r="E131" s="28">
        <v>50</v>
      </c>
      <c r="F131" s="28">
        <v>6</v>
      </c>
      <c r="G131" s="27">
        <v>4</v>
      </c>
      <c r="H131" s="27">
        <v>4</v>
      </c>
      <c r="I131" s="27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12.5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26">
        <v>46044</v>
      </c>
      <c r="B132" s="27" t="str">
        <f t="shared" si="12"/>
        <v>JANEIRO</v>
      </c>
      <c r="C132" s="27" t="s">
        <v>16</v>
      </c>
      <c r="D132" s="27" t="s">
        <v>12</v>
      </c>
      <c r="E132" s="28">
        <v>204</v>
      </c>
      <c r="F132" s="28">
        <v>107</v>
      </c>
      <c r="G132" s="27">
        <v>7</v>
      </c>
      <c r="H132" s="27">
        <v>7</v>
      </c>
      <c r="I132" s="27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29.142857142857142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26">
        <v>46044</v>
      </c>
      <c r="B133" s="27" t="str">
        <f t="shared" si="12"/>
        <v>JANEIRO</v>
      </c>
      <c r="C133" s="27" t="s">
        <v>17</v>
      </c>
      <c r="D133" s="27" t="s">
        <v>12</v>
      </c>
      <c r="E133" s="28">
        <v>32</v>
      </c>
      <c r="F133" s="28">
        <v>1</v>
      </c>
      <c r="G133" s="27">
        <v>2</v>
      </c>
      <c r="H133" s="27">
        <v>2</v>
      </c>
      <c r="I133" s="27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26">
        <v>46044</v>
      </c>
      <c r="B134" s="27" t="str">
        <f t="shared" si="12"/>
        <v>JANEIRO</v>
      </c>
      <c r="C134" s="27" t="s">
        <v>18</v>
      </c>
      <c r="D134" s="27" t="s">
        <v>12</v>
      </c>
      <c r="E134" s="28">
        <v>100</v>
      </c>
      <c r="F134" s="28">
        <v>0</v>
      </c>
      <c r="G134" s="27">
        <v>3</v>
      </c>
      <c r="H134" s="27">
        <v>3</v>
      </c>
      <c r="I134" s="27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26">
        <v>46044</v>
      </c>
      <c r="B135" s="27" t="str">
        <f t="shared" si="12"/>
        <v>JANEIRO</v>
      </c>
      <c r="C135" s="27" t="s">
        <v>19</v>
      </c>
      <c r="D135" s="27" t="s">
        <v>12</v>
      </c>
      <c r="E135" s="28">
        <v>100</v>
      </c>
      <c r="F135" s="28">
        <v>55</v>
      </c>
      <c r="G135" s="27">
        <v>11</v>
      </c>
      <c r="H135" s="27">
        <v>11</v>
      </c>
      <c r="I135" s="27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26">
        <v>46044</v>
      </c>
      <c r="B136" s="27" t="str">
        <f t="shared" si="12"/>
        <v>JANEIRO</v>
      </c>
      <c r="C136" s="27" t="s">
        <v>20</v>
      </c>
      <c r="D136" s="27" t="s">
        <v>12</v>
      </c>
      <c r="E136" s="28">
        <v>486</v>
      </c>
      <c r="F136" s="28">
        <v>169</v>
      </c>
      <c r="G136" s="27">
        <v>87</v>
      </c>
      <c r="H136" s="27">
        <v>87</v>
      </c>
      <c r="I136" s="27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26">
        <v>46045</v>
      </c>
      <c r="B137" s="27" t="str">
        <f t="shared" ref="B137:B142" si="13">UPPER(TEXT(A137,"MMMM"))</f>
        <v>JANEIRO</v>
      </c>
      <c r="C137" s="27" t="s">
        <v>15</v>
      </c>
      <c r="D137" s="27" t="s">
        <v>12</v>
      </c>
      <c r="E137" s="28">
        <v>50</v>
      </c>
      <c r="F137" s="28">
        <v>36</v>
      </c>
      <c r="G137" s="27">
        <v>4</v>
      </c>
      <c r="H137" s="27">
        <v>4</v>
      </c>
      <c r="I137" s="27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12.5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26">
        <v>46045</v>
      </c>
      <c r="B138" s="27" t="str">
        <f t="shared" si="13"/>
        <v>JANEIRO</v>
      </c>
      <c r="C138" s="27" t="s">
        <v>16</v>
      </c>
      <c r="D138" s="27" t="s">
        <v>12</v>
      </c>
      <c r="E138" s="28">
        <v>204</v>
      </c>
      <c r="F138" s="28">
        <v>70</v>
      </c>
      <c r="G138" s="27">
        <v>7</v>
      </c>
      <c r="H138" s="27">
        <v>7</v>
      </c>
      <c r="I138" s="27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29.142857142857142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26">
        <v>46045</v>
      </c>
      <c r="B139" s="27" t="str">
        <f t="shared" si="13"/>
        <v>JANEIRO</v>
      </c>
      <c r="C139" s="27" t="s">
        <v>17</v>
      </c>
      <c r="D139" s="27" t="s">
        <v>12</v>
      </c>
      <c r="E139" s="28">
        <v>32</v>
      </c>
      <c r="F139" s="28">
        <v>0</v>
      </c>
      <c r="G139" s="27">
        <v>2</v>
      </c>
      <c r="H139" s="27">
        <v>2</v>
      </c>
      <c r="I139" s="27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26">
        <v>46045</v>
      </c>
      <c r="B140" s="27" t="str">
        <f t="shared" si="13"/>
        <v>JANEIRO</v>
      </c>
      <c r="C140" s="27" t="s">
        <v>18</v>
      </c>
      <c r="D140" s="27" t="s">
        <v>12</v>
      </c>
      <c r="E140" s="28">
        <v>100</v>
      </c>
      <c r="F140" s="28">
        <v>56</v>
      </c>
      <c r="G140" s="27">
        <v>3</v>
      </c>
      <c r="H140" s="27">
        <v>3</v>
      </c>
      <c r="I140" s="27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26">
        <v>46045</v>
      </c>
      <c r="B141" s="27" t="str">
        <f t="shared" si="13"/>
        <v>JANEIRO</v>
      </c>
      <c r="C141" s="27" t="s">
        <v>19</v>
      </c>
      <c r="D141" s="27" t="s">
        <v>12</v>
      </c>
      <c r="E141" s="28">
        <v>100</v>
      </c>
      <c r="F141" s="28">
        <v>0</v>
      </c>
      <c r="G141" s="27">
        <v>11</v>
      </c>
      <c r="H141" s="27">
        <v>11</v>
      </c>
      <c r="I141" s="27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26">
        <v>46045</v>
      </c>
      <c r="B142" s="27" t="str">
        <f t="shared" si="13"/>
        <v>JANEIRO</v>
      </c>
      <c r="C142" s="27" t="s">
        <v>20</v>
      </c>
      <c r="D142" s="27" t="s">
        <v>12</v>
      </c>
      <c r="E142" s="28">
        <v>486</v>
      </c>
      <c r="F142" s="28">
        <v>162</v>
      </c>
      <c r="G142" s="27">
        <v>87</v>
      </c>
      <c r="H142" s="27">
        <v>87</v>
      </c>
      <c r="I142" s="27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26">
        <v>46048</v>
      </c>
      <c r="B143" s="27" t="str">
        <f t="shared" ref="B143:B148" si="14">UPPER(TEXT(A143,"MMMM"))</f>
        <v>JANEIRO</v>
      </c>
      <c r="C143" s="27" t="s">
        <v>15</v>
      </c>
      <c r="D143" s="27" t="s">
        <v>12</v>
      </c>
      <c r="E143" s="28">
        <v>50</v>
      </c>
      <c r="F143" s="28">
        <v>27</v>
      </c>
      <c r="G143" s="27">
        <v>4</v>
      </c>
      <c r="H143" s="27">
        <v>4</v>
      </c>
      <c r="I143" s="27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12.5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26">
        <v>46048</v>
      </c>
      <c r="B144" s="27" t="str">
        <f t="shared" si="14"/>
        <v>JANEIRO</v>
      </c>
      <c r="C144" s="27" t="s">
        <v>16</v>
      </c>
      <c r="D144" s="27" t="s">
        <v>12</v>
      </c>
      <c r="E144" s="28">
        <v>204</v>
      </c>
      <c r="F144" s="28">
        <v>79</v>
      </c>
      <c r="G144" s="27">
        <v>7</v>
      </c>
      <c r="H144" s="27">
        <v>7</v>
      </c>
      <c r="I144" s="27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29.142857142857142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26">
        <v>46048</v>
      </c>
      <c r="B145" s="27" t="str">
        <f t="shared" si="14"/>
        <v>JANEIRO</v>
      </c>
      <c r="C145" s="27" t="s">
        <v>17</v>
      </c>
      <c r="D145" s="27" t="s">
        <v>12</v>
      </c>
      <c r="E145" s="28">
        <v>32</v>
      </c>
      <c r="F145" s="28">
        <v>0</v>
      </c>
      <c r="G145" s="27">
        <v>2</v>
      </c>
      <c r="H145" s="27">
        <v>2</v>
      </c>
      <c r="I145" s="27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26">
        <v>46048</v>
      </c>
      <c r="B146" s="27" t="str">
        <f t="shared" si="14"/>
        <v>JANEIRO</v>
      </c>
      <c r="C146" s="27" t="s">
        <v>18</v>
      </c>
      <c r="D146" s="27" t="s">
        <v>12</v>
      </c>
      <c r="E146" s="28">
        <v>100</v>
      </c>
      <c r="F146" s="28">
        <v>210</v>
      </c>
      <c r="G146" s="27">
        <v>3</v>
      </c>
      <c r="H146" s="27">
        <v>3</v>
      </c>
      <c r="I146" s="27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26">
        <v>46048</v>
      </c>
      <c r="B147" s="27" t="str">
        <f t="shared" si="14"/>
        <v>JANEIRO</v>
      </c>
      <c r="C147" s="27" t="s">
        <v>19</v>
      </c>
      <c r="D147" s="27" t="s">
        <v>12</v>
      </c>
      <c r="E147" s="28">
        <v>100</v>
      </c>
      <c r="F147" s="28">
        <v>0</v>
      </c>
      <c r="G147" s="27">
        <v>11</v>
      </c>
      <c r="H147" s="27">
        <v>11</v>
      </c>
      <c r="I147" s="27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26">
        <v>46048</v>
      </c>
      <c r="B148" s="27" t="str">
        <f t="shared" si="14"/>
        <v>JANEIRO</v>
      </c>
      <c r="C148" s="27" t="s">
        <v>20</v>
      </c>
      <c r="D148" s="27" t="s">
        <v>12</v>
      </c>
      <c r="E148" s="28">
        <v>486</v>
      </c>
      <c r="F148" s="28">
        <v>316</v>
      </c>
      <c r="G148" s="27">
        <v>87</v>
      </c>
      <c r="H148" s="27">
        <v>87</v>
      </c>
      <c r="I148" s="27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26">
        <v>46049</v>
      </c>
      <c r="B149" s="27" t="str">
        <f t="shared" ref="B149:B154" si="15">UPPER(TEXT(A149,"MMMM"))</f>
        <v>JANEIRO</v>
      </c>
      <c r="C149" s="27" t="s">
        <v>15</v>
      </c>
      <c r="D149" s="27" t="s">
        <v>12</v>
      </c>
      <c r="E149" s="28">
        <v>50</v>
      </c>
      <c r="F149" s="28">
        <v>24</v>
      </c>
      <c r="G149" s="27">
        <v>4</v>
      </c>
      <c r="H149" s="27">
        <v>4</v>
      </c>
      <c r="I149" s="27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12.5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26">
        <v>46049</v>
      </c>
      <c r="B150" s="27" t="str">
        <f t="shared" si="15"/>
        <v>JANEIRO</v>
      </c>
      <c r="C150" s="27" t="s">
        <v>16</v>
      </c>
      <c r="D150" s="27" t="s">
        <v>12</v>
      </c>
      <c r="E150" s="28">
        <v>204</v>
      </c>
      <c r="F150" s="28">
        <v>88</v>
      </c>
      <c r="G150" s="27">
        <v>7</v>
      </c>
      <c r="H150" s="27">
        <v>7</v>
      </c>
      <c r="I150" s="27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29.142857142857142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26">
        <v>46049</v>
      </c>
      <c r="B151" s="27" t="str">
        <f t="shared" si="15"/>
        <v>JANEIRO</v>
      </c>
      <c r="C151" s="27" t="s">
        <v>17</v>
      </c>
      <c r="D151" s="27" t="s">
        <v>12</v>
      </c>
      <c r="E151" s="28">
        <v>32</v>
      </c>
      <c r="F151" s="28">
        <v>200</v>
      </c>
      <c r="G151" s="27">
        <v>2</v>
      </c>
      <c r="H151" s="27">
        <v>2</v>
      </c>
      <c r="I151" s="27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26">
        <v>46049</v>
      </c>
      <c r="B152" s="27" t="str">
        <f t="shared" si="15"/>
        <v>JANEIRO</v>
      </c>
      <c r="C152" s="27" t="s">
        <v>18</v>
      </c>
      <c r="D152" s="27" t="s">
        <v>12</v>
      </c>
      <c r="E152" s="28">
        <v>100</v>
      </c>
      <c r="F152" s="28">
        <v>64</v>
      </c>
      <c r="G152" s="27">
        <v>3</v>
      </c>
      <c r="H152" s="27">
        <v>3</v>
      </c>
      <c r="I152" s="27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26">
        <v>46049</v>
      </c>
      <c r="B153" s="27" t="str">
        <f t="shared" si="15"/>
        <v>JANEIRO</v>
      </c>
      <c r="C153" s="27" t="s">
        <v>19</v>
      </c>
      <c r="D153" s="27" t="s">
        <v>12</v>
      </c>
      <c r="E153" s="28">
        <v>100</v>
      </c>
      <c r="F153" s="28">
        <v>51</v>
      </c>
      <c r="G153" s="27">
        <v>11</v>
      </c>
      <c r="H153" s="27">
        <v>11</v>
      </c>
      <c r="I153" s="27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26">
        <v>46049</v>
      </c>
      <c r="B154" s="27" t="str">
        <f t="shared" si="15"/>
        <v>JANEIRO</v>
      </c>
      <c r="C154" s="27" t="s">
        <v>20</v>
      </c>
      <c r="D154" s="27" t="s">
        <v>12</v>
      </c>
      <c r="E154" s="28">
        <v>486</v>
      </c>
      <c r="F154" s="28">
        <v>427</v>
      </c>
      <c r="G154" s="27">
        <v>87</v>
      </c>
      <c r="H154" s="27">
        <v>87</v>
      </c>
      <c r="I154" s="27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26">
        <v>46050</v>
      </c>
      <c r="B155" s="27" t="str">
        <f>UPPER(TEXT(A155,"MMMM"))</f>
        <v>JANEIRO</v>
      </c>
      <c r="C155" s="27" t="s">
        <v>15</v>
      </c>
      <c r="D155" s="27" t="s">
        <v>12</v>
      </c>
      <c r="E155" s="28">
        <v>50</v>
      </c>
      <c r="F155" s="28">
        <v>15</v>
      </c>
      <c r="G155" s="27">
        <v>4</v>
      </c>
      <c r="H155" s="27">
        <v>4</v>
      </c>
      <c r="I155" s="27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12.5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26">
        <v>46050</v>
      </c>
      <c r="B156" s="27" t="str">
        <f t="shared" ref="B156:B160" si="16">UPPER(TEXT(A156,"MMMM"))</f>
        <v>JANEIRO</v>
      </c>
      <c r="C156" s="27" t="s">
        <v>16</v>
      </c>
      <c r="D156" s="27" t="s">
        <v>12</v>
      </c>
      <c r="E156" s="28">
        <v>204</v>
      </c>
      <c r="F156" s="28">
        <v>127</v>
      </c>
      <c r="G156" s="27">
        <v>7</v>
      </c>
      <c r="H156" s="27">
        <v>7</v>
      </c>
      <c r="I156" s="27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29.142857142857142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26">
        <v>46050</v>
      </c>
      <c r="B157" s="27" t="str">
        <f t="shared" si="16"/>
        <v>JANEIRO</v>
      </c>
      <c r="C157" s="27" t="s">
        <v>17</v>
      </c>
      <c r="D157" s="27" t="s">
        <v>12</v>
      </c>
      <c r="E157" s="28">
        <v>32</v>
      </c>
      <c r="F157" s="28">
        <v>42</v>
      </c>
      <c r="G157" s="27">
        <v>2</v>
      </c>
      <c r="H157" s="27">
        <v>2</v>
      </c>
      <c r="I157" s="27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26">
        <v>46050</v>
      </c>
      <c r="B158" s="27" t="str">
        <f t="shared" si="16"/>
        <v>JANEIRO</v>
      </c>
      <c r="C158" s="27" t="s">
        <v>18</v>
      </c>
      <c r="D158" s="27" t="s">
        <v>12</v>
      </c>
      <c r="E158" s="28">
        <v>100</v>
      </c>
      <c r="F158" s="28">
        <v>0</v>
      </c>
      <c r="G158" s="27">
        <v>3</v>
      </c>
      <c r="H158" s="27">
        <v>3</v>
      </c>
      <c r="I158" s="27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26">
        <v>46050</v>
      </c>
      <c r="B159" s="27" t="str">
        <f t="shared" si="16"/>
        <v>JANEIRO</v>
      </c>
      <c r="C159" s="27" t="s">
        <v>19</v>
      </c>
      <c r="D159" s="27" t="s">
        <v>12</v>
      </c>
      <c r="E159" s="28">
        <v>100</v>
      </c>
      <c r="F159" s="28">
        <v>60</v>
      </c>
      <c r="G159" s="27">
        <v>11</v>
      </c>
      <c r="H159" s="27">
        <v>11</v>
      </c>
      <c r="I159" s="27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26">
        <v>46050</v>
      </c>
      <c r="B160" s="27" t="str">
        <f t="shared" si="16"/>
        <v>JANEIRO</v>
      </c>
      <c r="C160" s="27" t="s">
        <v>20</v>
      </c>
      <c r="D160" s="27" t="s">
        <v>12</v>
      </c>
      <c r="E160" s="28">
        <v>486</v>
      </c>
      <c r="F160" s="28">
        <v>244</v>
      </c>
      <c r="G160" s="27">
        <v>87</v>
      </c>
      <c r="H160" s="27">
        <v>87</v>
      </c>
      <c r="I160" s="27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26">
        <v>46050</v>
      </c>
      <c r="B161" s="27" t="str">
        <f>UPPER(TEXT(A161,"MMMM"))</f>
        <v>JANEIRO</v>
      </c>
      <c r="C161" s="12" t="s">
        <v>11</v>
      </c>
      <c r="D161" s="12" t="s">
        <v>12</v>
      </c>
      <c r="E161" s="13">
        <v>600</v>
      </c>
      <c r="F161" s="28">
        <v>600</v>
      </c>
      <c r="G161" s="27">
        <v>33</v>
      </c>
      <c r="H161" s="29">
        <v>28</v>
      </c>
      <c r="I161" s="27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26">
        <v>46050</v>
      </c>
      <c r="B162" s="27" t="str">
        <f>UPPER(TEXT(A162,"MMMM"))</f>
        <v>JANEIRO</v>
      </c>
      <c r="C162" s="12" t="s">
        <v>13</v>
      </c>
      <c r="D162" s="12" t="s">
        <v>12</v>
      </c>
      <c r="E162" s="13">
        <v>150</v>
      </c>
      <c r="F162" s="28">
        <v>168</v>
      </c>
      <c r="G162" s="27">
        <v>10</v>
      </c>
      <c r="H162" s="29">
        <v>10</v>
      </c>
      <c r="I162" s="27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26">
        <v>46050</v>
      </c>
      <c r="B163" s="27" t="str">
        <f>UPPER(TEXT(A163,"MMMM"))</f>
        <v>JANEIRO</v>
      </c>
      <c r="C163" s="12" t="s">
        <v>14</v>
      </c>
      <c r="D163" s="12" t="s">
        <v>12</v>
      </c>
      <c r="E163" s="13">
        <v>750</v>
      </c>
      <c r="F163" s="28">
        <v>768</v>
      </c>
      <c r="G163" s="27">
        <v>91</v>
      </c>
      <c r="H163" s="29">
        <v>81</v>
      </c>
      <c r="I163" s="27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6"/>
      <c r="B164" s="17"/>
      <c r="C164" s="17"/>
      <c r="D164" s="17"/>
      <c r="E164" s="18"/>
      <c r="F164" s="18"/>
      <c r="G164" s="17"/>
      <c r="H164" s="19"/>
      <c r="I164" s="17"/>
      <c r="J164" s="20"/>
      <c r="K164" s="20"/>
    </row>
    <row r="165" spans="1:11" s="6" customFormat="1" x14ac:dyDescent="0.3">
      <c r="A165" s="16"/>
      <c r="B165" s="17"/>
      <c r="C165" s="17"/>
      <c r="D165" s="17"/>
      <c r="E165" s="18"/>
      <c r="F165" s="18"/>
      <c r="G165" s="17"/>
      <c r="H165" s="19"/>
      <c r="I165" s="17"/>
      <c r="J165" s="20"/>
      <c r="K165" s="20"/>
    </row>
    <row r="166" spans="1:11" s="6" customFormat="1" x14ac:dyDescent="0.3">
      <c r="A166" s="16"/>
      <c r="B166" s="17"/>
      <c r="C166" s="17"/>
      <c r="D166" s="17"/>
      <c r="E166" s="18"/>
      <c r="F166" s="18"/>
      <c r="G166" s="17"/>
      <c r="H166" s="19"/>
      <c r="I166" s="17"/>
      <c r="J166" s="20"/>
      <c r="K166" s="20"/>
    </row>
    <row r="167" spans="1:11" s="6" customFormat="1" x14ac:dyDescent="0.3">
      <c r="A167" s="16"/>
      <c r="B167" s="17"/>
      <c r="C167" s="17"/>
      <c r="D167" s="17"/>
      <c r="E167" s="18"/>
      <c r="F167" s="18"/>
      <c r="G167" s="17"/>
      <c r="H167" s="19"/>
      <c r="I167" s="17"/>
      <c r="J167" s="20"/>
      <c r="K167" s="20"/>
    </row>
    <row r="168" spans="1:11" s="6" customFormat="1" x14ac:dyDescent="0.3">
      <c r="A168" s="16"/>
      <c r="B168" s="17"/>
      <c r="C168" s="17"/>
      <c r="D168" s="17"/>
      <c r="E168" s="18"/>
      <c r="F168" s="18"/>
      <c r="G168" s="17"/>
      <c r="H168" s="19"/>
      <c r="I168" s="17"/>
      <c r="J168" s="20"/>
      <c r="K168" s="20"/>
    </row>
    <row r="169" spans="1:11" s="6" customFormat="1" x14ac:dyDescent="0.3">
      <c r="A169" s="16"/>
      <c r="B169" s="17"/>
      <c r="C169" s="17"/>
      <c r="D169" s="17"/>
      <c r="E169" s="18"/>
      <c r="F169" s="18"/>
      <c r="G169" s="17"/>
      <c r="H169" s="19"/>
      <c r="I169" s="17"/>
      <c r="J169" s="20"/>
      <c r="K169" s="20"/>
    </row>
    <row r="170" spans="1:11" s="6" customFormat="1" x14ac:dyDescent="0.3">
      <c r="A170" s="16"/>
      <c r="B170" s="17"/>
      <c r="C170" s="17"/>
      <c r="D170" s="17"/>
      <c r="E170" s="18"/>
      <c r="F170" s="18"/>
      <c r="G170" s="17"/>
      <c r="H170" s="19"/>
      <c r="I170" s="17"/>
      <c r="J170" s="20"/>
      <c r="K170" s="20"/>
    </row>
    <row r="171" spans="1:11" s="6" customFormat="1" x14ac:dyDescent="0.3">
      <c r="A171" s="16"/>
      <c r="B171" s="17"/>
      <c r="C171" s="17"/>
      <c r="D171" s="17"/>
      <c r="E171" s="18"/>
      <c r="F171" s="18"/>
      <c r="G171" s="17"/>
      <c r="H171" s="19"/>
      <c r="I171" s="17"/>
      <c r="J171" s="20"/>
      <c r="K171" s="20"/>
    </row>
    <row r="172" spans="1:11" s="6" customFormat="1" x14ac:dyDescent="0.3">
      <c r="A172" s="16"/>
      <c r="B172" s="17"/>
      <c r="C172" s="17"/>
      <c r="D172" s="17"/>
      <c r="E172" s="18"/>
      <c r="F172" s="18"/>
      <c r="G172" s="17"/>
      <c r="H172" s="19"/>
      <c r="I172" s="17"/>
      <c r="J172" s="20"/>
      <c r="K172" s="20"/>
    </row>
    <row r="173" spans="1:11" s="6" customFormat="1" x14ac:dyDescent="0.3">
      <c r="A173" s="16"/>
      <c r="B173" s="17"/>
      <c r="C173" s="17"/>
      <c r="D173" s="17"/>
      <c r="E173" s="18"/>
      <c r="F173" s="18"/>
      <c r="G173" s="17"/>
      <c r="H173" s="19"/>
      <c r="I173" s="17"/>
      <c r="J173" s="20"/>
      <c r="K173" s="20"/>
    </row>
    <row r="174" spans="1:11" s="6" customFormat="1" x14ac:dyDescent="0.3">
      <c r="A174" s="16"/>
      <c r="B174" s="17"/>
      <c r="C174" s="17"/>
      <c r="D174" s="17"/>
      <c r="E174" s="18"/>
      <c r="F174" s="18"/>
      <c r="G174" s="17"/>
      <c r="H174" s="19"/>
      <c r="I174" s="17"/>
      <c r="J174" s="20"/>
      <c r="K174" s="20"/>
    </row>
    <row r="175" spans="1:11" s="6" customFormat="1" x14ac:dyDescent="0.3">
      <c r="A175" s="16"/>
      <c r="B175" s="17"/>
      <c r="C175" s="17"/>
      <c r="D175" s="17"/>
      <c r="E175" s="18"/>
      <c r="F175" s="18"/>
      <c r="G175" s="17"/>
      <c r="H175" s="19"/>
      <c r="I175" s="17"/>
      <c r="J175" s="20"/>
      <c r="K175" s="20"/>
    </row>
    <row r="176" spans="1:11" s="6" customFormat="1" x14ac:dyDescent="0.3">
      <c r="A176" s="16"/>
      <c r="B176" s="17"/>
      <c r="C176" s="17"/>
      <c r="D176" s="17"/>
      <c r="E176" s="18"/>
      <c r="F176" s="18"/>
      <c r="G176" s="17"/>
      <c r="H176" s="19"/>
      <c r="I176" s="17"/>
      <c r="J176" s="20"/>
      <c r="K176" s="20"/>
    </row>
    <row r="177" spans="1:11" s="6" customFormat="1" x14ac:dyDescent="0.3">
      <c r="A177" s="16"/>
      <c r="B177" s="17"/>
      <c r="C177" s="17"/>
      <c r="D177" s="17"/>
      <c r="E177" s="18"/>
      <c r="F177" s="18"/>
      <c r="G177" s="17"/>
      <c r="H177" s="19"/>
      <c r="I177" s="17"/>
      <c r="J177" s="20"/>
      <c r="K177" s="20"/>
    </row>
    <row r="178" spans="1:11" s="6" customFormat="1" x14ac:dyDescent="0.3">
      <c r="A178" s="16"/>
      <c r="B178" s="17"/>
      <c r="C178" s="17"/>
      <c r="D178" s="17"/>
      <c r="E178" s="18"/>
      <c r="F178" s="18"/>
      <c r="G178" s="17"/>
      <c r="H178" s="19"/>
      <c r="I178" s="17"/>
      <c r="J178" s="20"/>
      <c r="K178" s="20"/>
    </row>
    <row r="179" spans="1:11" s="6" customFormat="1" x14ac:dyDescent="0.3">
      <c r="A179" s="16"/>
      <c r="B179" s="17"/>
      <c r="C179" s="17"/>
      <c r="D179" s="17"/>
      <c r="E179" s="18"/>
      <c r="F179" s="18"/>
      <c r="G179" s="17"/>
      <c r="H179" s="19"/>
      <c r="I179" s="17"/>
      <c r="J179" s="20"/>
      <c r="K179" s="20"/>
    </row>
    <row r="180" spans="1:11" s="6" customFormat="1" x14ac:dyDescent="0.3">
      <c r="A180" s="16"/>
      <c r="B180" s="17"/>
      <c r="C180" s="17"/>
      <c r="D180" s="17"/>
      <c r="E180" s="18"/>
      <c r="F180" s="18"/>
      <c r="G180" s="17"/>
      <c r="H180" s="19"/>
      <c r="I180" s="17"/>
      <c r="J180" s="20"/>
      <c r="K180" s="20"/>
    </row>
    <row r="181" spans="1:11" s="6" customFormat="1" x14ac:dyDescent="0.3">
      <c r="A181" s="16"/>
      <c r="B181" s="17"/>
      <c r="C181" s="17"/>
      <c r="D181" s="17"/>
      <c r="E181" s="18"/>
      <c r="F181" s="18"/>
      <c r="G181" s="17"/>
      <c r="H181" s="19"/>
      <c r="I181" s="17"/>
      <c r="J181" s="20"/>
      <c r="K181" s="20"/>
    </row>
    <row r="182" spans="1:11" s="6" customFormat="1" x14ac:dyDescent="0.3">
      <c r="A182" s="16"/>
      <c r="B182" s="17"/>
      <c r="C182" s="17"/>
      <c r="D182" s="17"/>
      <c r="E182" s="18"/>
      <c r="F182" s="18"/>
      <c r="G182" s="17"/>
      <c r="H182" s="19"/>
      <c r="I182" s="17"/>
      <c r="J182" s="20"/>
      <c r="K182" s="20"/>
    </row>
    <row r="183" spans="1:11" s="6" customFormat="1" x14ac:dyDescent="0.3">
      <c r="A183" s="16"/>
      <c r="B183" s="17"/>
      <c r="C183" s="17"/>
      <c r="D183" s="17"/>
      <c r="E183" s="18"/>
      <c r="F183" s="18"/>
      <c r="G183" s="17"/>
      <c r="H183" s="19"/>
      <c r="I183" s="17"/>
      <c r="J183" s="20"/>
      <c r="K183" s="20"/>
    </row>
    <row r="184" spans="1:11" s="6" customFormat="1" x14ac:dyDescent="0.3">
      <c r="A184" s="16"/>
      <c r="B184" s="17"/>
      <c r="C184" s="17"/>
      <c r="D184" s="17"/>
      <c r="E184" s="18"/>
      <c r="F184" s="18"/>
      <c r="G184" s="17"/>
      <c r="H184" s="19"/>
      <c r="I184" s="17"/>
      <c r="J184" s="20"/>
      <c r="K184" s="20"/>
    </row>
    <row r="185" spans="1:11" s="6" customFormat="1" x14ac:dyDescent="0.3">
      <c r="A185" s="16"/>
      <c r="B185" s="17"/>
      <c r="C185" s="17"/>
      <c r="D185" s="17"/>
      <c r="E185" s="18"/>
      <c r="F185" s="18"/>
      <c r="G185" s="17"/>
      <c r="H185" s="19"/>
      <c r="I185" s="17"/>
      <c r="J185" s="20"/>
      <c r="K185" s="20"/>
    </row>
    <row r="186" spans="1:11" s="6" customFormat="1" x14ac:dyDescent="0.3">
      <c r="A186" s="16"/>
      <c r="B186" s="17"/>
      <c r="C186" s="17"/>
      <c r="D186" s="17"/>
      <c r="E186" s="18"/>
      <c r="F186" s="18"/>
      <c r="G186" s="17"/>
      <c r="H186" s="19"/>
      <c r="I186" s="17"/>
      <c r="J186" s="20"/>
      <c r="K186" s="20"/>
    </row>
    <row r="187" spans="1:11" s="6" customFormat="1" x14ac:dyDescent="0.3">
      <c r="A187" s="16"/>
      <c r="B187" s="17"/>
      <c r="C187" s="17"/>
      <c r="D187" s="17"/>
      <c r="E187" s="18"/>
      <c r="F187" s="18"/>
      <c r="G187" s="17"/>
      <c r="H187" s="19"/>
      <c r="I187" s="17"/>
      <c r="J187" s="20"/>
      <c r="K187" s="20"/>
    </row>
    <row r="188" spans="1:11" s="6" customFormat="1" x14ac:dyDescent="0.3">
      <c r="A188" s="16"/>
      <c r="B188" s="17"/>
      <c r="C188" s="17"/>
      <c r="D188" s="17"/>
      <c r="E188" s="18"/>
      <c r="F188" s="18"/>
      <c r="G188" s="17"/>
      <c r="H188" s="19"/>
      <c r="I188" s="17"/>
      <c r="J188" s="20"/>
      <c r="K188" s="20"/>
    </row>
    <row r="189" spans="1:11" s="6" customFormat="1" x14ac:dyDescent="0.3">
      <c r="A189" s="16"/>
      <c r="B189" s="17"/>
      <c r="C189" s="17"/>
      <c r="D189" s="17"/>
      <c r="E189" s="18"/>
      <c r="F189" s="18"/>
      <c r="G189" s="17"/>
      <c r="H189" s="19"/>
      <c r="I189" s="17"/>
      <c r="J189" s="20"/>
      <c r="K189" s="20"/>
    </row>
    <row r="190" spans="1:11" s="6" customFormat="1" x14ac:dyDescent="0.3">
      <c r="A190" s="16"/>
      <c r="B190" s="17"/>
      <c r="C190" s="17"/>
      <c r="D190" s="17"/>
      <c r="E190" s="18"/>
      <c r="F190" s="18"/>
      <c r="G190" s="17"/>
      <c r="H190" s="19"/>
      <c r="I190" s="17"/>
      <c r="J190" s="20"/>
      <c r="K190" s="20"/>
    </row>
    <row r="191" spans="1:11" s="6" customFormat="1" x14ac:dyDescent="0.3">
      <c r="A191" s="16"/>
      <c r="B191" s="17"/>
      <c r="C191" s="17"/>
      <c r="D191" s="17"/>
      <c r="E191" s="18"/>
      <c r="F191" s="18"/>
      <c r="G191" s="17"/>
      <c r="H191" s="19"/>
      <c r="I191" s="17"/>
      <c r="J191" s="20"/>
      <c r="K191" s="20"/>
    </row>
    <row r="192" spans="1:11" s="6" customFormat="1" x14ac:dyDescent="0.3">
      <c r="A192" s="16"/>
      <c r="B192" s="17"/>
      <c r="C192" s="17"/>
      <c r="D192" s="17"/>
      <c r="E192" s="18"/>
      <c r="F192" s="18"/>
      <c r="G192" s="17"/>
      <c r="H192" s="19"/>
      <c r="I192" s="17"/>
      <c r="J192" s="20"/>
      <c r="K192" s="20"/>
    </row>
    <row r="193" spans="1:11" s="6" customFormat="1" x14ac:dyDescent="0.3">
      <c r="A193" s="16"/>
      <c r="B193" s="17"/>
      <c r="C193" s="17"/>
      <c r="D193" s="17"/>
      <c r="E193" s="18"/>
      <c r="F193" s="18"/>
      <c r="G193" s="17"/>
      <c r="H193" s="19"/>
      <c r="I193" s="17"/>
      <c r="J193" s="20"/>
      <c r="K193" s="20"/>
    </row>
    <row r="194" spans="1:11" s="6" customFormat="1" x14ac:dyDescent="0.3">
      <c r="A194" s="16"/>
      <c r="B194" s="17"/>
      <c r="C194" s="17"/>
      <c r="D194" s="17"/>
      <c r="E194" s="18"/>
      <c r="F194" s="18"/>
      <c r="G194" s="17"/>
      <c r="H194" s="19"/>
      <c r="I194" s="17"/>
      <c r="J194" s="20"/>
      <c r="K194" s="20"/>
    </row>
    <row r="195" spans="1:11" s="6" customFormat="1" x14ac:dyDescent="0.3">
      <c r="A195" s="16"/>
      <c r="B195" s="17"/>
      <c r="C195" s="17"/>
      <c r="D195" s="17"/>
      <c r="E195" s="18"/>
      <c r="F195" s="18"/>
      <c r="G195" s="17"/>
      <c r="H195" s="19"/>
      <c r="I195" s="17"/>
      <c r="J195" s="20"/>
      <c r="K195" s="20"/>
    </row>
    <row r="196" spans="1:11" s="6" customFormat="1" x14ac:dyDescent="0.3">
      <c r="A196" s="16"/>
      <c r="B196" s="17"/>
      <c r="C196" s="17"/>
      <c r="D196" s="17"/>
      <c r="E196" s="18"/>
      <c r="F196" s="18"/>
      <c r="G196" s="17"/>
      <c r="H196" s="19"/>
      <c r="I196" s="17"/>
      <c r="J196" s="20"/>
      <c r="K196" s="20"/>
    </row>
    <row r="197" spans="1:11" s="6" customFormat="1" x14ac:dyDescent="0.3">
      <c r="A197" s="16"/>
      <c r="B197" s="17"/>
      <c r="C197" s="17"/>
      <c r="D197" s="17"/>
      <c r="E197" s="18"/>
      <c r="F197" s="18"/>
      <c r="G197" s="17"/>
      <c r="H197" s="19"/>
      <c r="I197" s="17"/>
      <c r="J197" s="20"/>
      <c r="K197" s="20"/>
    </row>
    <row r="198" spans="1:11" s="6" customFormat="1" x14ac:dyDescent="0.3">
      <c r="A198" s="16"/>
      <c r="B198" s="17"/>
      <c r="C198" s="17"/>
      <c r="D198" s="17"/>
      <c r="E198" s="18"/>
      <c r="F198" s="18"/>
      <c r="G198" s="17"/>
      <c r="H198" s="19"/>
      <c r="I198" s="17"/>
      <c r="J198" s="20"/>
      <c r="K198" s="20"/>
    </row>
    <row r="199" spans="1:11" s="6" customFormat="1" x14ac:dyDescent="0.3">
      <c r="A199" s="16"/>
      <c r="B199" s="17"/>
      <c r="C199" s="17"/>
      <c r="D199" s="17"/>
      <c r="E199" s="18"/>
      <c r="F199" s="18"/>
      <c r="G199" s="17"/>
      <c r="H199" s="19"/>
      <c r="I199" s="17"/>
      <c r="J199" s="20"/>
      <c r="K199" s="20"/>
    </row>
    <row r="200" spans="1:11" s="6" customFormat="1" x14ac:dyDescent="0.3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 x14ac:dyDescent="0.3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 x14ac:dyDescent="0.3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 x14ac:dyDescent="0.3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 x14ac:dyDescent="0.3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 x14ac:dyDescent="0.3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 x14ac:dyDescent="0.3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 x14ac:dyDescent="0.3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 x14ac:dyDescent="0.3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 x14ac:dyDescent="0.3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 x14ac:dyDescent="0.3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 x14ac:dyDescent="0.3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 x14ac:dyDescent="0.3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 x14ac:dyDescent="0.3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 x14ac:dyDescent="0.3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 x14ac:dyDescent="0.3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 x14ac:dyDescent="0.3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 x14ac:dyDescent="0.3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 x14ac:dyDescent="0.3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 x14ac:dyDescent="0.3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 x14ac:dyDescent="0.3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 x14ac:dyDescent="0.3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 x14ac:dyDescent="0.3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 x14ac:dyDescent="0.3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 x14ac:dyDescent="0.3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 x14ac:dyDescent="0.3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 x14ac:dyDescent="0.3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7"/>
      <c r="E232" s="8"/>
      <c r="F232" s="8"/>
      <c r="H232" s="9"/>
      <c r="J232" s="10"/>
      <c r="K232" s="10"/>
    </row>
    <row r="233" spans="1:11" s="6" customFormat="1" x14ac:dyDescent="0.3">
      <c r="A233" s="7"/>
      <c r="E233" s="8"/>
      <c r="F233" s="8"/>
      <c r="H233" s="9"/>
      <c r="J233" s="10"/>
      <c r="K233" s="10"/>
    </row>
    <row r="234" spans="1:11" s="6" customFormat="1" x14ac:dyDescent="0.3">
      <c r="A234" s="7"/>
      <c r="E234" s="8"/>
      <c r="F234" s="8"/>
      <c r="H234" s="9"/>
      <c r="J234" s="10"/>
      <c r="K234" s="10"/>
    </row>
    <row r="235" spans="1:11" s="6" customFormat="1" x14ac:dyDescent="0.3">
      <c r="A235" s="7"/>
      <c r="E235" s="8"/>
      <c r="F235" s="8"/>
      <c r="H235" s="9"/>
      <c r="J235" s="10"/>
      <c r="K235" s="10"/>
    </row>
    <row r="236" spans="1:11" s="6" customFormat="1" x14ac:dyDescent="0.3">
      <c r="A236" s="7"/>
      <c r="E236" s="8"/>
      <c r="F236" s="8"/>
      <c r="H236" s="9"/>
      <c r="J236" s="10"/>
      <c r="K236" s="10"/>
    </row>
    <row r="237" spans="1:11" s="6" customFormat="1" x14ac:dyDescent="0.3">
      <c r="A237" s="7"/>
      <c r="E237" s="8"/>
      <c r="F237" s="8"/>
      <c r="H237" s="9"/>
      <c r="J237" s="10"/>
      <c r="K237" s="10"/>
    </row>
    <row r="238" spans="1:11" s="6" customFormat="1" x14ac:dyDescent="0.3">
      <c r="A238" s="7"/>
      <c r="E238" s="8"/>
      <c r="F238" s="8"/>
      <c r="H238" s="9"/>
      <c r="J238" s="10"/>
      <c r="K238" s="10"/>
    </row>
    <row r="239" spans="1:11" s="6" customFormat="1" x14ac:dyDescent="0.3">
      <c r="A239" s="7"/>
      <c r="E239" s="8"/>
      <c r="F239" s="8"/>
      <c r="H239" s="9"/>
      <c r="J239" s="10"/>
      <c r="K239" s="10"/>
    </row>
    <row r="240" spans="1:11" s="6" customFormat="1" x14ac:dyDescent="0.3">
      <c r="A240" s="7"/>
      <c r="E240" s="8"/>
      <c r="F240" s="8"/>
      <c r="H240" s="9"/>
      <c r="J240" s="10"/>
      <c r="K240" s="10"/>
    </row>
    <row r="241" spans="1:11" s="6" customFormat="1" x14ac:dyDescent="0.3">
      <c r="A241" s="7"/>
      <c r="E241" s="8"/>
      <c r="F241" s="8"/>
      <c r="H241" s="9"/>
      <c r="J241" s="10"/>
      <c r="K241" s="10"/>
    </row>
    <row r="242" spans="1:11" s="6" customFormat="1" x14ac:dyDescent="0.3">
      <c r="A242" s="7"/>
      <c r="E242" s="8"/>
      <c r="F242" s="8"/>
      <c r="H242" s="9"/>
      <c r="J242" s="10"/>
      <c r="K242" s="10"/>
    </row>
    <row r="243" spans="1:11" s="6" customFormat="1" x14ac:dyDescent="0.3">
      <c r="A243" s="7"/>
      <c r="E243" s="8"/>
      <c r="F243" s="8"/>
      <c r="H243" s="9"/>
      <c r="J243" s="10"/>
      <c r="K243" s="10"/>
    </row>
    <row r="244" spans="1:11" s="6" customFormat="1" x14ac:dyDescent="0.3">
      <c r="A244" s="7"/>
      <c r="E244" s="8"/>
      <c r="F244" s="8"/>
      <c r="H244" s="9"/>
      <c r="J244" s="10"/>
      <c r="K244" s="10"/>
    </row>
    <row r="245" spans="1:11" s="6" customFormat="1" x14ac:dyDescent="0.3">
      <c r="A245" s="7"/>
      <c r="E245" s="8"/>
      <c r="F245" s="8"/>
      <c r="H245" s="9"/>
      <c r="J245" s="10"/>
      <c r="K245" s="10"/>
    </row>
    <row r="246" spans="1:11" s="6" customFormat="1" x14ac:dyDescent="0.3">
      <c r="A246" s="7"/>
      <c r="E246" s="8"/>
      <c r="F246" s="8"/>
      <c r="H246" s="9"/>
      <c r="J246" s="10"/>
      <c r="K246" s="10"/>
    </row>
    <row r="247" spans="1:11" s="6" customFormat="1" x14ac:dyDescent="0.3">
      <c r="A247" s="7"/>
      <c r="E247" s="8"/>
      <c r="F247" s="8"/>
      <c r="H247" s="9"/>
      <c r="J247" s="10"/>
      <c r="K247" s="10"/>
    </row>
    <row r="248" spans="1:11" s="6" customFormat="1" x14ac:dyDescent="0.3">
      <c r="A248" s="7"/>
      <c r="E248" s="8"/>
      <c r="F248" s="8"/>
      <c r="H248" s="9"/>
      <c r="J248" s="10"/>
      <c r="K248" s="10"/>
    </row>
    <row r="249" spans="1:11" s="6" customFormat="1" x14ac:dyDescent="0.3">
      <c r="A249" s="7"/>
      <c r="E249" s="8"/>
      <c r="F249" s="8"/>
      <c r="H249" s="9"/>
      <c r="J249" s="10"/>
      <c r="K249" s="10"/>
    </row>
    <row r="250" spans="1:11" s="6" customFormat="1" x14ac:dyDescent="0.3">
      <c r="A250" s="7"/>
      <c r="E250" s="8"/>
      <c r="F250" s="8"/>
      <c r="H250" s="9"/>
      <c r="J250" s="10"/>
      <c r="K250" s="10"/>
    </row>
    <row r="251" spans="1:11" s="6" customFormat="1" x14ac:dyDescent="0.3">
      <c r="A251" s="7"/>
      <c r="E251" s="8"/>
      <c r="F251" s="8"/>
      <c r="H251" s="9"/>
      <c r="J251" s="10"/>
      <c r="K251" s="10"/>
    </row>
    <row r="252" spans="1:11" s="6" customFormat="1" x14ac:dyDescent="0.3">
      <c r="A252" s="7"/>
      <c r="E252" s="8"/>
      <c r="F252" s="8"/>
      <c r="H252" s="9"/>
      <c r="J252" s="10"/>
      <c r="K252" s="10"/>
    </row>
    <row r="253" spans="1:11" s="6" customFormat="1" x14ac:dyDescent="0.3">
      <c r="A253" s="7"/>
      <c r="E253" s="8"/>
      <c r="F253" s="8"/>
      <c r="H253" s="9"/>
      <c r="J253" s="10"/>
      <c r="K253" s="10"/>
    </row>
    <row r="254" spans="1:11" s="6" customFormat="1" x14ac:dyDescent="0.3">
      <c r="A254" s="7"/>
      <c r="E254" s="8"/>
      <c r="F254" s="8"/>
      <c r="H254" s="9"/>
      <c r="J254" s="10"/>
      <c r="K254" s="10"/>
    </row>
    <row r="255" spans="1:11" s="6" customFormat="1" x14ac:dyDescent="0.3">
      <c r="A255" s="7"/>
      <c r="E255" s="8"/>
      <c r="F255" s="8"/>
      <c r="H255" s="9"/>
      <c r="J255" s="10"/>
      <c r="K255" s="10"/>
    </row>
    <row r="256" spans="1:11" s="6" customFormat="1" x14ac:dyDescent="0.3">
      <c r="A256" s="7"/>
      <c r="E256" s="8"/>
      <c r="F256" s="8"/>
      <c r="H256" s="9"/>
      <c r="J256" s="10"/>
      <c r="K256" s="10"/>
    </row>
    <row r="257" spans="1:11" s="6" customFormat="1" x14ac:dyDescent="0.3">
      <c r="A257" s="7"/>
      <c r="E257" s="8"/>
      <c r="F257" s="8"/>
      <c r="H257" s="9"/>
      <c r="J257" s="10"/>
      <c r="K257" s="10"/>
    </row>
    <row r="258" spans="1:11" s="6" customFormat="1" x14ac:dyDescent="0.3">
      <c r="A258" s="7"/>
      <c r="E258" s="8"/>
      <c r="F258" s="8"/>
      <c r="H258" s="9"/>
      <c r="J258" s="10"/>
      <c r="K258" s="10"/>
    </row>
    <row r="259" spans="1:11" s="6" customFormat="1" x14ac:dyDescent="0.3">
      <c r="A259" s="7"/>
      <c r="E259" s="8"/>
      <c r="F259" s="8"/>
      <c r="H259" s="9"/>
      <c r="J259" s="10"/>
      <c r="K259" s="10"/>
    </row>
    <row r="260" spans="1:11" s="6" customFormat="1" x14ac:dyDescent="0.3">
      <c r="A260" s="7"/>
      <c r="E260" s="8"/>
      <c r="F260" s="8"/>
      <c r="H260" s="9"/>
      <c r="J260" s="10"/>
      <c r="K260" s="10"/>
    </row>
    <row r="261" spans="1:11" s="6" customFormat="1" x14ac:dyDescent="0.3">
      <c r="A261" s="7"/>
      <c r="E261" s="8"/>
      <c r="F261" s="8"/>
      <c r="H261" s="9"/>
      <c r="J261" s="10"/>
      <c r="K261" s="10"/>
    </row>
    <row r="262" spans="1:11" s="6" customFormat="1" x14ac:dyDescent="0.3">
      <c r="A262" s="7"/>
      <c r="E262" s="8"/>
      <c r="F262" s="8"/>
      <c r="H262" s="9"/>
      <c r="J262" s="10"/>
      <c r="K262" s="10"/>
    </row>
    <row r="263" spans="1:11" s="6" customFormat="1" x14ac:dyDescent="0.3">
      <c r="A263" s="7"/>
      <c r="E263" s="8"/>
      <c r="F263" s="8"/>
      <c r="H263" s="9"/>
      <c r="J263" s="10"/>
      <c r="K263" s="10"/>
    </row>
    <row r="264" spans="1:11" s="6" customFormat="1" x14ac:dyDescent="0.3">
      <c r="A264" s="7"/>
      <c r="E264" s="8"/>
      <c r="F264" s="8"/>
      <c r="H264" s="9"/>
      <c r="J264" s="10"/>
      <c r="K264" s="10"/>
    </row>
    <row r="265" spans="1:11" s="6" customFormat="1" x14ac:dyDescent="0.3">
      <c r="A265" s="7"/>
      <c r="E265" s="8"/>
      <c r="F265" s="8"/>
      <c r="H265" s="9"/>
      <c r="J265" s="10"/>
      <c r="K265" s="10"/>
    </row>
    <row r="266" spans="1:11" s="6" customFormat="1" x14ac:dyDescent="0.3">
      <c r="A266" s="7"/>
      <c r="E266" s="8"/>
      <c r="F266" s="8"/>
      <c r="H266" s="9"/>
      <c r="J266" s="10"/>
      <c r="K266" s="10"/>
    </row>
    <row r="267" spans="1:11" s="6" customFormat="1" x14ac:dyDescent="0.3">
      <c r="A267" s="7"/>
      <c r="E267" s="8"/>
      <c r="F267" s="8"/>
      <c r="H267" s="9"/>
      <c r="J267" s="10"/>
      <c r="K267" s="10"/>
    </row>
    <row r="268" spans="1:11" s="6" customFormat="1" x14ac:dyDescent="0.3">
      <c r="A268" s="7"/>
      <c r="E268" s="8"/>
      <c r="F268" s="8"/>
      <c r="H268" s="9"/>
      <c r="J268" s="10"/>
      <c r="K268" s="10"/>
    </row>
    <row r="269" spans="1:11" s="6" customFormat="1" x14ac:dyDescent="0.3">
      <c r="A269" s="7"/>
      <c r="E269" s="8"/>
      <c r="F269" s="8"/>
      <c r="H269" s="9"/>
      <c r="J269" s="10"/>
      <c r="K269" s="10"/>
    </row>
    <row r="270" spans="1:11" s="6" customFormat="1" x14ac:dyDescent="0.3">
      <c r="A270" s="7"/>
      <c r="E270" s="8"/>
      <c r="F270" s="8"/>
      <c r="H270" s="9"/>
      <c r="J270" s="10"/>
      <c r="K270" s="10"/>
    </row>
    <row r="271" spans="1:11" s="6" customFormat="1" x14ac:dyDescent="0.3">
      <c r="A271" s="7"/>
      <c r="E271" s="8"/>
      <c r="F271" s="8"/>
      <c r="H271" s="9"/>
      <c r="J271" s="10"/>
      <c r="K271" s="1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21"/>
      <c r="B510" s="22"/>
      <c r="C510" s="22"/>
      <c r="D510" s="22"/>
      <c r="E510" s="23"/>
      <c r="F510" s="23"/>
      <c r="G510" s="22"/>
      <c r="H510" s="24"/>
      <c r="I510" s="22"/>
      <c r="J510" s="25"/>
      <c r="K510" s="25"/>
    </row>
    <row r="511" spans="1:11" s="6" customFormat="1" x14ac:dyDescent="0.3">
      <c r="A511" s="21"/>
      <c r="B511" s="22"/>
      <c r="C511" s="22"/>
      <c r="D511" s="22"/>
      <c r="E511" s="23"/>
      <c r="F511" s="23"/>
      <c r="G511" s="22"/>
      <c r="H511" s="24"/>
      <c r="I511" s="22"/>
      <c r="J511" s="25"/>
      <c r="K511" s="25"/>
    </row>
    <row r="512" spans="1:11" s="6" customFormat="1" x14ac:dyDescent="0.3">
      <c r="A512" s="21"/>
      <c r="B512" s="22"/>
      <c r="C512" s="22"/>
      <c r="D512" s="22"/>
      <c r="E512" s="23"/>
      <c r="F512" s="23"/>
      <c r="G512" s="22"/>
      <c r="H512" s="24"/>
      <c r="I512" s="22"/>
      <c r="J512" s="25"/>
      <c r="K512" s="25"/>
    </row>
    <row r="513" spans="1:11" s="6" customFormat="1" x14ac:dyDescent="0.3">
      <c r="A513" s="21"/>
      <c r="B513" s="22"/>
      <c r="C513" s="22"/>
      <c r="D513" s="22"/>
      <c r="E513" s="23"/>
      <c r="F513" s="23"/>
      <c r="G513" s="22"/>
      <c r="H513" s="24"/>
      <c r="I513" s="22"/>
      <c r="J513" s="25"/>
      <c r="K513" s="25"/>
    </row>
    <row r="514" spans="1:11" s="6" customFormat="1" x14ac:dyDescent="0.3">
      <c r="A514" s="21"/>
      <c r="B514" s="22"/>
      <c r="C514" s="22"/>
      <c r="D514" s="22"/>
      <c r="E514" s="23"/>
      <c r="F514" s="23"/>
      <c r="G514" s="22"/>
      <c r="H514" s="24"/>
      <c r="I514" s="22"/>
      <c r="J514" s="25"/>
      <c r="K514" s="25"/>
    </row>
    <row r="515" spans="1:11" s="6" customFormat="1" x14ac:dyDescent="0.3">
      <c r="A515" s="21"/>
      <c r="B515" s="22"/>
      <c r="C515" s="22"/>
      <c r="D515" s="22"/>
      <c r="E515" s="23"/>
      <c r="F515" s="23"/>
      <c r="G515" s="22"/>
      <c r="H515" s="24"/>
      <c r="I515" s="22"/>
      <c r="J515" s="25"/>
      <c r="K515" s="25"/>
    </row>
    <row r="516" spans="1:11" s="6" customFormat="1" x14ac:dyDescent="0.3">
      <c r="A516" s="21"/>
      <c r="B516" s="22"/>
      <c r="C516" s="22"/>
      <c r="D516" s="22"/>
      <c r="E516" s="23"/>
      <c r="F516" s="23"/>
      <c r="G516" s="22"/>
      <c r="H516" s="24"/>
      <c r="I516" s="22"/>
      <c r="J516" s="25"/>
      <c r="K516" s="25"/>
    </row>
    <row r="517" spans="1:11" s="6" customFormat="1" x14ac:dyDescent="0.3">
      <c r="A517" s="21"/>
      <c r="B517" s="22"/>
      <c r="C517" s="22"/>
      <c r="D517" s="22"/>
      <c r="E517" s="23"/>
      <c r="F517" s="23"/>
      <c r="G517" s="22"/>
      <c r="H517" s="24"/>
      <c r="I517" s="22"/>
      <c r="J517" s="25"/>
      <c r="K517" s="25"/>
    </row>
    <row r="518" spans="1:11" s="6" customFormat="1" x14ac:dyDescent="0.3">
      <c r="A518" s="21"/>
      <c r="B518" s="22"/>
      <c r="C518" s="22"/>
      <c r="D518" s="22"/>
      <c r="E518" s="23"/>
      <c r="F518" s="23"/>
      <c r="G518" s="22"/>
      <c r="H518" s="24"/>
      <c r="I518" s="22"/>
      <c r="J518" s="25"/>
      <c r="K518" s="25"/>
    </row>
    <row r="519" spans="1:11" s="6" customFormat="1" x14ac:dyDescent="0.3">
      <c r="A519" s="21"/>
      <c r="B519" s="22"/>
      <c r="C519" s="22"/>
      <c r="D519" s="22"/>
      <c r="E519" s="23"/>
      <c r="F519" s="23"/>
      <c r="G519" s="22"/>
      <c r="H519" s="24"/>
      <c r="I519" s="22"/>
      <c r="J519" s="25"/>
      <c r="K519" s="25"/>
    </row>
    <row r="520" spans="1:11" s="6" customFormat="1" x14ac:dyDescent="0.3">
      <c r="A520" s="21"/>
      <c r="B520" s="22"/>
      <c r="C520" s="22"/>
      <c r="D520" s="22"/>
      <c r="E520" s="23"/>
      <c r="F520" s="23"/>
      <c r="G520" s="22"/>
      <c r="H520" s="24"/>
      <c r="I520" s="22"/>
      <c r="J520" s="25"/>
      <c r="K520" s="25"/>
    </row>
    <row r="521" spans="1:11" s="6" customFormat="1" x14ac:dyDescent="0.3">
      <c r="A521" s="21"/>
      <c r="B521" s="22"/>
      <c r="C521" s="22"/>
      <c r="D521" s="22"/>
      <c r="E521" s="23"/>
      <c r="F521" s="23"/>
      <c r="G521" s="22"/>
      <c r="H521" s="24"/>
      <c r="I521" s="22"/>
      <c r="J521" s="25"/>
      <c r="K521" s="25"/>
    </row>
    <row r="522" spans="1:11" s="6" customFormat="1" x14ac:dyDescent="0.3">
      <c r="A522" s="21"/>
      <c r="B522" s="22"/>
      <c r="C522" s="22"/>
      <c r="D522" s="22"/>
      <c r="E522" s="23"/>
      <c r="F522" s="23"/>
      <c r="G522" s="22"/>
      <c r="H522" s="24"/>
      <c r="I522" s="22"/>
      <c r="J522" s="25"/>
      <c r="K522" s="25"/>
    </row>
    <row r="523" spans="1:11" s="6" customFormat="1" x14ac:dyDescent="0.3">
      <c r="A523" s="21"/>
      <c r="B523" s="22"/>
      <c r="C523" s="22"/>
      <c r="D523" s="22"/>
      <c r="E523" s="23"/>
      <c r="F523" s="23"/>
      <c r="G523" s="22"/>
      <c r="H523" s="24"/>
      <c r="I523" s="22"/>
      <c r="J523" s="25"/>
      <c r="K523" s="25"/>
    </row>
    <row r="524" spans="1:11" s="6" customFormat="1" x14ac:dyDescent="0.3">
      <c r="A524" s="21"/>
      <c r="B524" s="22"/>
      <c r="C524" s="22"/>
      <c r="D524" s="22"/>
      <c r="E524" s="23"/>
      <c r="F524" s="23"/>
      <c r="G524" s="22"/>
      <c r="H524" s="24"/>
      <c r="I524" s="22"/>
      <c r="J524" s="25"/>
      <c r="K524" s="25"/>
    </row>
    <row r="525" spans="1:11" s="6" customFormat="1" x14ac:dyDescent="0.3">
      <c r="A525" s="21"/>
      <c r="B525" s="22"/>
      <c r="C525" s="22"/>
      <c r="D525" s="22"/>
      <c r="E525" s="23"/>
      <c r="F525" s="23"/>
      <c r="G525" s="22"/>
      <c r="H525" s="24"/>
      <c r="I525" s="22"/>
      <c r="J525" s="25"/>
      <c r="K525" s="25"/>
    </row>
    <row r="526" spans="1:11" s="6" customFormat="1" x14ac:dyDescent="0.3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 x14ac:dyDescent="0.3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 x14ac:dyDescent="0.3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 x14ac:dyDescent="0.3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 x14ac:dyDescent="0.3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 x14ac:dyDescent="0.3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 x14ac:dyDescent="0.3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 x14ac:dyDescent="0.3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 x14ac:dyDescent="0.3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 x14ac:dyDescent="0.3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 x14ac:dyDescent="0.3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 x14ac:dyDescent="0.3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 x14ac:dyDescent="0.3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 x14ac:dyDescent="0.3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 x14ac:dyDescent="0.3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 x14ac:dyDescent="0.3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 x14ac:dyDescent="0.3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 x14ac:dyDescent="0.3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 x14ac:dyDescent="0.3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 x14ac:dyDescent="0.3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 x14ac:dyDescent="0.3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 x14ac:dyDescent="0.3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 x14ac:dyDescent="0.3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 x14ac:dyDescent="0.3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LANC.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2026-01-29T12:33:59Z</dcterms:modified>
</cp:coreProperties>
</file>