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3C3D1DA1-7F78-4CB0-8CF2-83B7841C52DD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LANC.!$A$1:$K$370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3" i="1" l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J370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C5" i="3"/>
  <c r="C6" i="3"/>
  <c r="C4" i="3"/>
  <c r="C3" i="3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D3" i="3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<sst xmlns="http://schemas.openxmlformats.org/spreadsheetml/2006/main" count="795" uniqueCount="33">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</sst>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370" totalsRowShown="0" headerRowDxfId="13" dataDxfId="12" tableBorderDxfId="11">
  <autoFilter ref="A1:K37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43" activePane="bottomLeft" state="frozen"/>
      <selection pane="bottomLeft" activeCell="J376" sqref="J376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33">
        <v>46083</v>
      </c>
      <c r="B362" s="34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35">
        <v>26</v>
      </c>
      <c r="G362" s="12">
        <v>4</v>
      </c>
      <c r="H362" s="36">
        <v>5</v>
      </c>
      <c r="I362" s="34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5.2</v>
      </c>
    </row>
    <row r="363" spans="1:11" s="6" customFormat="1" x14ac:dyDescent="0.3">
      <c r="A363" s="33">
        <v>46083</v>
      </c>
      <c r="B363" s="34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35">
        <v>8</v>
      </c>
      <c r="G363" s="12">
        <v>6</v>
      </c>
      <c r="H363" s="36">
        <v>6</v>
      </c>
      <c r="I363" s="34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33">
        <v>46083</v>
      </c>
      <c r="B364" s="34" t="str">
        <f t="shared" si="39"/>
        <v>MARÇO</v>
      </c>
      <c r="C364" s="12" t="s">
        <v>17</v>
      </c>
      <c r="D364" s="12" t="s">
        <v>12</v>
      </c>
      <c r="E364" s="13">
        <v>128</v>
      </c>
      <c r="F364" s="35">
        <v>0</v>
      </c>
      <c r="G364" s="12">
        <v>8</v>
      </c>
      <c r="H364" s="36">
        <v>0</v>
      </c>
      <c r="I364" s="34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33">
        <v>46083</v>
      </c>
      <c r="B365" s="34" t="str">
        <f t="shared" si="39"/>
        <v>MARÇO</v>
      </c>
      <c r="C365" s="12" t="s">
        <v>18</v>
      </c>
      <c r="D365" s="12" t="s">
        <v>12</v>
      </c>
      <c r="E365" s="13">
        <v>100</v>
      </c>
      <c r="F365" s="35">
        <v>0</v>
      </c>
      <c r="G365" s="12">
        <v>4</v>
      </c>
      <c r="H365" s="36">
        <v>0</v>
      </c>
      <c r="I365" s="34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33">
        <v>46083</v>
      </c>
      <c r="B366" s="34" t="str">
        <f t="shared" si="39"/>
        <v>MARÇO</v>
      </c>
      <c r="C366" s="12" t="s">
        <v>19</v>
      </c>
      <c r="D366" s="12" t="s">
        <v>12</v>
      </c>
      <c r="E366" s="13">
        <v>100</v>
      </c>
      <c r="F366" s="35">
        <v>0</v>
      </c>
      <c r="G366" s="12">
        <v>11</v>
      </c>
      <c r="H366" s="36">
        <v>0</v>
      </c>
      <c r="I366" s="34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33">
        <v>46083</v>
      </c>
      <c r="B367" s="34" t="str">
        <f t="shared" si="39"/>
        <v>MARÇO</v>
      </c>
      <c r="C367" s="12" t="s">
        <v>20</v>
      </c>
      <c r="D367" s="12" t="s">
        <v>12</v>
      </c>
      <c r="E367" s="13">
        <v>486</v>
      </c>
      <c r="F367" s="35">
        <v>34</v>
      </c>
      <c r="G367" s="12">
        <v>92</v>
      </c>
      <c r="H367" s="36">
        <v>0</v>
      </c>
      <c r="I367" s="34">
        <f>IFERROR(IF(T_PROD[[#This Row],[PREVISTO]]-T_PROD[[#This Row],[EFETIVO]]&lt; 0,0,T_PROD[[#This Row],[PREVISTO]]-T_PROD[[#This Row],[EFETIVO]] ),"")</f>
        <v>92</v>
      </c>
      <c r="J367" s="15">
        <f>IFERROR(IF(T_PROD[[#This Row],[META]]&gt;0,(T_PROD[[#This Row],[META]]/T_PROD[[#This Row],[PREVISTO]]),""),"")</f>
        <v>5.2826086956521738</v>
      </c>
      <c r="K367" s="15" t="str">
        <f>IFERROR(IF(T_PROD[[#This Row],[PRODUÇÃO]]&gt;0,(T_PROD[[#This Row],[PRODUÇÃO]]/T_PROD[[#This Row],[EFETIVO]]),""),"")</f>
        <v/>
      </c>
    </row>
    <row r="368" spans="1:11" s="6" customFormat="1" x14ac:dyDescent="0.3">
      <c r="A368" s="33">
        <v>46083</v>
      </c>
      <c r="B368" s="34" t="str">
        <f t="shared" si="39"/>
        <v>MARÇO</v>
      </c>
      <c r="C368" s="12" t="s">
        <v>11</v>
      </c>
      <c r="D368" s="12" t="s">
        <v>12</v>
      </c>
      <c r="E368" s="13">
        <v>0</v>
      </c>
      <c r="F368" s="35">
        <v>0</v>
      </c>
      <c r="G368" s="12">
        <v>0</v>
      </c>
      <c r="H368" s="36">
        <v>0</v>
      </c>
      <c r="I368" s="34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33">
        <v>46083</v>
      </c>
      <c r="B369" s="34" t="str">
        <f t="shared" si="39"/>
        <v>MARÇO</v>
      </c>
      <c r="C369" s="6" t="s">
        <v>32</v>
      </c>
      <c r="D369" s="12" t="s">
        <v>12</v>
      </c>
      <c r="E369" s="13">
        <v>100</v>
      </c>
      <c r="F369" s="35">
        <v>110</v>
      </c>
      <c r="G369" s="12">
        <v>10</v>
      </c>
      <c r="H369" s="36">
        <v>12</v>
      </c>
      <c r="I369" s="34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33">
        <v>46083</v>
      </c>
      <c r="B370" s="34" t="str">
        <f t="shared" si="39"/>
        <v>MARÇO</v>
      </c>
      <c r="C370" s="12" t="s">
        <v>14</v>
      </c>
      <c r="D370" s="12" t="s">
        <v>12</v>
      </c>
      <c r="E370" s="13">
        <v>100</v>
      </c>
      <c r="F370" s="35">
        <v>110</v>
      </c>
      <c r="G370" s="12">
        <v>85</v>
      </c>
      <c r="H370" s="36">
        <v>83</v>
      </c>
      <c r="I370" s="34">
        <f>IFERROR(IF(T_PROD[[#This Row],[PREVISTO]]-T_PROD[[#This Row],[EFETIVO]]&lt; 0,0,T_PROD[[#This Row],[PREVISTO]]-T_PROD[[#This Row],[EFETIVO]] ),"")</f>
        <v>2</v>
      </c>
      <c r="J370" s="15">
        <f>IFERROR(IF(T_PROD[[#This Row],[META]]&gt;0,(T_PROD[[#This Row],[META]]/T_PROD[[#This Row],[PREVISTO]]),""),"")</f>
        <v>1.1764705882352942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6"/>
      <c r="B371" s="17"/>
      <c r="C371" s="17"/>
      <c r="D371" s="17"/>
      <c r="E371" s="18"/>
      <c r="F371" s="18"/>
      <c r="G371" s="17"/>
      <c r="H371" s="19"/>
      <c r="I371" s="17"/>
      <c r="J371" s="20"/>
      <c r="K371" s="20"/>
    </row>
    <row r="372" spans="1:11" s="6" customFormat="1" x14ac:dyDescent="0.3">
      <c r="A372" s="16"/>
      <c r="B372" s="17"/>
      <c r="C372" s="17"/>
      <c r="D372" s="17"/>
      <c r="E372" s="18"/>
      <c r="F372" s="18"/>
      <c r="G372" s="17"/>
      <c r="H372" s="19"/>
      <c r="I372" s="17"/>
      <c r="J372" s="20"/>
      <c r="K372" s="20"/>
    </row>
    <row r="373" spans="1:11" s="6" customFormat="1" x14ac:dyDescent="0.3">
      <c r="A373" s="16"/>
      <c r="B373" s="17"/>
      <c r="C373" s="17"/>
      <c r="D373" s="17"/>
      <c r="E373" s="18"/>
      <c r="F373" s="18"/>
      <c r="G373" s="17"/>
      <c r="H373" s="19"/>
      <c r="I373" s="17"/>
      <c r="J373" s="20"/>
      <c r="K373" s="20"/>
    </row>
    <row r="374" spans="1:11" s="6" customFormat="1" x14ac:dyDescent="0.3">
      <c r="A374" s="16"/>
      <c r="B374" s="17"/>
      <c r="C374" s="17"/>
      <c r="D374" s="17"/>
      <c r="E374" s="18"/>
      <c r="F374" s="18"/>
      <c r="G374" s="17"/>
      <c r="H374" s="19"/>
      <c r="I374" s="17"/>
      <c r="J374" s="20"/>
      <c r="K374" s="20"/>
    </row>
    <row r="375" spans="1:11" s="6" customFormat="1" x14ac:dyDescent="0.3">
      <c r="A375" s="16"/>
      <c r="B375" s="17"/>
      <c r="C375" s="17"/>
      <c r="D375" s="17"/>
      <c r="E375" s="18"/>
      <c r="F375" s="18"/>
      <c r="G375" s="17"/>
      <c r="H375" s="19"/>
      <c r="I375" s="17"/>
      <c r="J375" s="20"/>
      <c r="K375" s="20"/>
    </row>
    <row r="376" spans="1:11" s="6" customFormat="1" x14ac:dyDescent="0.3">
      <c r="A376" s="16"/>
      <c r="B376" s="17"/>
      <c r="C376" s="17"/>
      <c r="D376" s="17"/>
      <c r="E376" s="18"/>
      <c r="F376" s="18"/>
      <c r="G376" s="17"/>
      <c r="H376" s="19"/>
      <c r="I376" s="17"/>
      <c r="J376" s="20"/>
      <c r="K376" s="20"/>
    </row>
    <row r="377" spans="1:11" s="6" customFormat="1" x14ac:dyDescent="0.3">
      <c r="A377" s="16"/>
      <c r="B377" s="17"/>
      <c r="C377" s="17"/>
      <c r="D377" s="17"/>
      <c r="E377" s="18"/>
      <c r="F377" s="18"/>
      <c r="G377" s="17"/>
      <c r="H377" s="19"/>
      <c r="I377" s="17"/>
      <c r="J377" s="20"/>
      <c r="K377" s="20"/>
    </row>
    <row r="378" spans="1:11" s="6" customFormat="1" x14ac:dyDescent="0.3">
      <c r="A378" s="16"/>
      <c r="B378" s="17"/>
      <c r="C378" s="17"/>
      <c r="D378" s="17"/>
      <c r="E378" s="18"/>
      <c r="F378" s="18"/>
      <c r="G378" s="17"/>
      <c r="H378" s="19"/>
      <c r="I378" s="17"/>
      <c r="J378" s="20"/>
      <c r="K378" s="20"/>
    </row>
    <row r="379" spans="1:11" s="6" customFormat="1" x14ac:dyDescent="0.3">
      <c r="A379" s="16"/>
      <c r="B379" s="17"/>
      <c r="C379" s="17"/>
      <c r="D379" s="17"/>
      <c r="E379" s="18"/>
      <c r="F379" s="18"/>
      <c r="G379" s="17"/>
      <c r="H379" s="19"/>
      <c r="I379" s="17"/>
      <c r="J379" s="20"/>
      <c r="K379" s="20"/>
    </row>
    <row r="380" spans="1:11" s="6" customFormat="1" x14ac:dyDescent="0.3">
      <c r="A380" s="16"/>
      <c r="B380" s="17"/>
      <c r="C380" s="17"/>
      <c r="D380" s="17"/>
      <c r="E380" s="18"/>
      <c r="F380" s="18"/>
      <c r="G380" s="17"/>
      <c r="H380" s="19"/>
      <c r="I380" s="17"/>
      <c r="J380" s="20"/>
      <c r="K380" s="20"/>
    </row>
    <row r="381" spans="1:11" s="6" customFormat="1" x14ac:dyDescent="0.3">
      <c r="A381" s="16"/>
      <c r="B381" s="17"/>
      <c r="C381" s="17"/>
      <c r="D381" s="17"/>
      <c r="E381" s="18"/>
      <c r="F381" s="18"/>
      <c r="G381" s="17"/>
      <c r="H381" s="19"/>
      <c r="I381" s="17"/>
      <c r="J381" s="20"/>
      <c r="K381" s="20"/>
    </row>
    <row r="382" spans="1:11" s="6" customFormat="1" x14ac:dyDescent="0.3">
      <c r="A382" s="16"/>
      <c r="B382" s="17"/>
      <c r="C382" s="17"/>
      <c r="D382" s="17"/>
      <c r="E382" s="18"/>
      <c r="F382" s="18"/>
      <c r="G382" s="17"/>
      <c r="H382" s="19"/>
      <c r="I382" s="17"/>
      <c r="J382" s="20"/>
      <c r="K382" s="20"/>
    </row>
    <row r="383" spans="1:11" s="6" customFormat="1" x14ac:dyDescent="0.3">
      <c r="A383" s="16"/>
      <c r="B383" s="17"/>
      <c r="C383" s="17"/>
      <c r="D383" s="17"/>
      <c r="E383" s="18"/>
      <c r="F383" s="18"/>
      <c r="G383" s="17"/>
      <c r="H383" s="19"/>
      <c r="I383" s="17"/>
      <c r="J383" s="20"/>
      <c r="K383" s="20"/>
    </row>
    <row r="384" spans="1:11" s="6" customFormat="1" x14ac:dyDescent="0.3">
      <c r="A384" s="16"/>
      <c r="B384" s="17"/>
      <c r="C384" s="17"/>
      <c r="D384" s="17"/>
      <c r="E384" s="18"/>
      <c r="F384" s="18"/>
      <c r="G384" s="17"/>
      <c r="H384" s="19"/>
      <c r="I384" s="17"/>
      <c r="J384" s="20"/>
      <c r="K384" s="20"/>
    </row>
    <row r="385" spans="1:11" s="6" customFormat="1" x14ac:dyDescent="0.3">
      <c r="A385" s="16"/>
      <c r="B385" s="17"/>
      <c r="C385" s="17"/>
      <c r="D385" s="17"/>
      <c r="E385" s="18"/>
      <c r="F385" s="18"/>
      <c r="G385" s="17"/>
      <c r="H385" s="19"/>
      <c r="I385" s="17"/>
      <c r="J385" s="20"/>
      <c r="K385" s="20"/>
    </row>
    <row r="386" spans="1:11" s="6" customFormat="1" x14ac:dyDescent="0.3">
      <c r="A386" s="16"/>
      <c r="B386" s="17"/>
      <c r="C386" s="17"/>
      <c r="D386" s="17"/>
      <c r="E386" s="18"/>
      <c r="F386" s="18"/>
      <c r="G386" s="17"/>
      <c r="H386" s="19"/>
      <c r="I386" s="17"/>
      <c r="J386" s="20"/>
      <c r="K386" s="20"/>
    </row>
    <row r="387" spans="1:11" s="6" customFormat="1" x14ac:dyDescent="0.3">
      <c r="A387" s="16"/>
      <c r="B387" s="17"/>
      <c r="C387" s="17"/>
      <c r="D387" s="17"/>
      <c r="E387" s="18"/>
      <c r="F387" s="18"/>
      <c r="G387" s="17"/>
      <c r="H387" s="19"/>
      <c r="I387" s="17"/>
      <c r="J387" s="20"/>
      <c r="K387" s="20"/>
    </row>
    <row r="388" spans="1:11" s="6" customFormat="1" x14ac:dyDescent="0.3">
      <c r="A388" s="16"/>
      <c r="B388" s="17"/>
      <c r="C388" s="17"/>
      <c r="D388" s="17"/>
      <c r="E388" s="18"/>
      <c r="F388" s="18"/>
      <c r="G388" s="17"/>
      <c r="H388" s="19"/>
      <c r="I388" s="17"/>
      <c r="J388" s="20"/>
      <c r="K388" s="20"/>
    </row>
    <row r="389" spans="1:11" s="6" customFormat="1" x14ac:dyDescent="0.3">
      <c r="A389" s="16"/>
      <c r="B389" s="17"/>
      <c r="C389" s="17"/>
      <c r="D389" s="17"/>
      <c r="E389" s="18"/>
      <c r="F389" s="18"/>
      <c r="G389" s="17"/>
      <c r="H389" s="19"/>
      <c r="I389" s="17"/>
      <c r="J389" s="20"/>
      <c r="K389" s="20"/>
    </row>
    <row r="390" spans="1:11" s="6" customFormat="1" x14ac:dyDescent="0.3">
      <c r="A390" s="16"/>
      <c r="B390" s="17"/>
      <c r="C390" s="17"/>
      <c r="D390" s="17"/>
      <c r="E390" s="18"/>
      <c r="F390" s="18"/>
      <c r="G390" s="17"/>
      <c r="H390" s="19"/>
      <c r="I390" s="17"/>
      <c r="J390" s="20"/>
      <c r="K390" s="20"/>
    </row>
    <row r="391" spans="1:11" s="6" customFormat="1" x14ac:dyDescent="0.3">
      <c r="A391" s="16"/>
      <c r="B391" s="17"/>
      <c r="C391" s="17"/>
      <c r="D391" s="17"/>
      <c r="E391" s="18"/>
      <c r="F391" s="18"/>
      <c r="G391" s="17"/>
      <c r="H391" s="19"/>
      <c r="I391" s="17"/>
      <c r="J391" s="20"/>
      <c r="K391" s="20"/>
    </row>
    <row r="392" spans="1:11" s="6" customFormat="1" x14ac:dyDescent="0.3">
      <c r="A392" s="16"/>
      <c r="B392" s="17"/>
      <c r="C392" s="17"/>
      <c r="D392" s="17"/>
      <c r="E392" s="18"/>
      <c r="F392" s="18"/>
      <c r="G392" s="17"/>
      <c r="H392" s="19"/>
      <c r="I392" s="17"/>
      <c r="J392" s="20"/>
      <c r="K392" s="20"/>
    </row>
    <row r="393" spans="1:11" s="6" customFormat="1" x14ac:dyDescent="0.3">
      <c r="A393" s="16"/>
      <c r="B393" s="17"/>
      <c r="C393" s="17"/>
      <c r="D393" s="17"/>
      <c r="E393" s="18"/>
      <c r="F393" s="18"/>
      <c r="G393" s="17"/>
      <c r="H393" s="19"/>
      <c r="I393" s="17"/>
      <c r="J393" s="20"/>
      <c r="K393" s="20"/>
    </row>
    <row r="394" spans="1:11" s="6" customFormat="1" x14ac:dyDescent="0.3">
      <c r="A394" s="16"/>
      <c r="B394" s="17"/>
      <c r="C394" s="17"/>
      <c r="D394" s="17"/>
      <c r="E394" s="18"/>
      <c r="F394" s="18"/>
      <c r="G394" s="17"/>
      <c r="H394" s="19"/>
      <c r="I394" s="17"/>
      <c r="J394" s="20"/>
      <c r="K394" s="20"/>
    </row>
    <row r="395" spans="1:11" s="6" customFormat="1" x14ac:dyDescent="0.3">
      <c r="A395" s="16"/>
      <c r="B395" s="17"/>
      <c r="C395" s="17"/>
      <c r="D395" s="17"/>
      <c r="E395" s="18"/>
      <c r="F395" s="18"/>
      <c r="G395" s="17"/>
      <c r="H395" s="19"/>
      <c r="I395" s="17"/>
      <c r="J395" s="20"/>
      <c r="K395" s="20"/>
    </row>
    <row r="396" spans="1:11" s="6" customFormat="1" x14ac:dyDescent="0.3">
      <c r="A396" s="16"/>
      <c r="B396" s="17"/>
      <c r="C396" s="17"/>
      <c r="D396" s="17"/>
      <c r="E396" s="18"/>
      <c r="F396" s="18"/>
      <c r="G396" s="17"/>
      <c r="H396" s="19"/>
      <c r="I396" s="17"/>
      <c r="J396" s="20"/>
      <c r="K396" s="20"/>
    </row>
    <row r="397" spans="1:11" s="6" customFormat="1" x14ac:dyDescent="0.3">
      <c r="A397" s="16"/>
      <c r="B397" s="17"/>
      <c r="C397" s="17"/>
      <c r="D397" s="17"/>
      <c r="E397" s="18"/>
      <c r="F397" s="18"/>
      <c r="G397" s="17"/>
      <c r="H397" s="19"/>
      <c r="I397" s="17"/>
      <c r="J397" s="20"/>
      <c r="K397" s="20"/>
    </row>
    <row r="398" spans="1:11" s="6" customFormat="1" x14ac:dyDescent="0.3">
      <c r="A398" s="16"/>
      <c r="B398" s="17"/>
      <c r="C398" s="17"/>
      <c r="D398" s="17"/>
      <c r="E398" s="18"/>
      <c r="F398" s="18"/>
      <c r="G398" s="17"/>
      <c r="H398" s="19"/>
      <c r="I398" s="17"/>
      <c r="J398" s="20"/>
      <c r="K398" s="2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C9" sqref="C9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582</v>
      </c>
      <c r="D2" s="29">
        <f>SUM(B2:C2)</f>
        <v>2051</v>
      </c>
    </row>
    <row r="3" spans="1:4" x14ac:dyDescent="0.3">
      <c r="A3" s="32" t="s">
        <v>11</v>
      </c>
      <c r="B3" s="29">
        <v>8917</v>
      </c>
      <c r="C3" s="29">
        <f>89+290+160+4040+324</f>
        <v>4903</v>
      </c>
      <c r="D3" s="29">
        <f t="shared" ref="D3:D8" si="0">SUM(B3:C3)</f>
        <v>13820</v>
      </c>
    </row>
    <row r="4" spans="1:4" x14ac:dyDescent="0.3">
      <c r="A4" s="32" t="s">
        <v>18</v>
      </c>
      <c r="B4" s="29">
        <v>970</v>
      </c>
      <c r="C4" s="29">
        <f>102+89</f>
        <v>191</v>
      </c>
      <c r="D4" s="29">
        <f t="shared" si="0"/>
        <v>1161</v>
      </c>
    </row>
    <row r="5" spans="1:4" x14ac:dyDescent="0.3">
      <c r="A5" s="32" t="s">
        <v>16</v>
      </c>
      <c r="B5" s="29">
        <v>3118</v>
      </c>
      <c r="C5" s="29">
        <f>717+1458+93+34</f>
        <v>2302</v>
      </c>
      <c r="D5" s="29">
        <f t="shared" si="0"/>
        <v>5420</v>
      </c>
    </row>
    <row r="6" spans="1:4" x14ac:dyDescent="0.3">
      <c r="A6" s="28" t="s">
        <v>15</v>
      </c>
      <c r="B6" s="29">
        <v>628</v>
      </c>
      <c r="C6" s="29">
        <f>184+41+48+113+212+2</f>
        <v>600</v>
      </c>
      <c r="D6" s="29">
        <f t="shared" si="0"/>
        <v>1228</v>
      </c>
    </row>
    <row r="7" spans="1:4" x14ac:dyDescent="0.3">
      <c r="A7" s="28" t="s">
        <v>17</v>
      </c>
      <c r="B7" s="29">
        <v>661</v>
      </c>
      <c r="C7" s="29">
        <v>739</v>
      </c>
      <c r="D7" s="29">
        <f t="shared" si="0"/>
        <v>1400</v>
      </c>
    </row>
    <row r="8" spans="1:4" x14ac:dyDescent="0.3">
      <c r="A8" s="28" t="s">
        <v>13</v>
      </c>
      <c r="B8" s="29">
        <v>1020</v>
      </c>
      <c r="C8" s="29">
        <v>84</v>
      </c>
      <c r="D8" s="29">
        <f t="shared" si="0"/>
        <v>1104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2026-03-03T14:28:37Z</dcterms:modified>
</cp:coreProperties>
</file>