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352C3F75-E880-4B4C-91C4-74E0B3E15D9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LANC.!$A$1:$K$1414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07" i="1" l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<sst xmlns="http://schemas.openxmlformats.org/spreadsheetml/2006/main" count="2892" uniqueCount="42">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</sst>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414" totalsRowShown="0" headerRowDxfId="13" dataDxfId="12" tableBorderDxfId="11">
  <autoFilter ref="A1:K141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564"/>
  <sheetViews>
    <sheetView showGridLines="0" tabSelected="1" zoomScale="70" zoomScaleNormal="70" zoomScaleSheetLayoutView="70" workbookViewId="0">
      <pane ySplit="1" topLeftCell="A1381" activePane="bottomLeft" state="frozen"/>
      <selection pane="bottomLeft" activeCell="N1408" sqref="N1408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28">
        <v>46253</v>
      </c>
      <c r="B1397" s="29" t="str">
        <f>UPPER(TEXT(A1397,"MMMM"))</f>
        <v>AGOSTO</v>
      </c>
      <c r="C1397" s="12" t="s">
        <v>15</v>
      </c>
      <c r="D1397" s="12" t="s">
        <v>12</v>
      </c>
      <c r="E1397" s="30">
        <v>97.5</v>
      </c>
      <c r="F1397" s="30">
        <v>70</v>
      </c>
      <c r="G1397" s="29">
        <v>6.5</v>
      </c>
      <c r="H1397" s="31">
        <v>6.5</v>
      </c>
      <c r="I1397" s="29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28">
        <v>46253</v>
      </c>
      <c r="B1398" s="29" t="str">
        <f t="shared" ref="B1398:B1405" si="154">UPPER(TEXT(A1398,"MMMM"))</f>
        <v>AGOSTO</v>
      </c>
      <c r="C1398" s="12" t="s">
        <v>16</v>
      </c>
      <c r="D1398" s="12" t="s">
        <v>12</v>
      </c>
      <c r="E1398" s="30">
        <v>221</v>
      </c>
      <c r="F1398" s="30">
        <v>213</v>
      </c>
      <c r="G1398" s="29">
        <v>6.5</v>
      </c>
      <c r="H1398" s="31">
        <v>6.5</v>
      </c>
      <c r="I1398" s="29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28">
        <v>46253</v>
      </c>
      <c r="B1399" s="29" t="str">
        <f t="shared" si="154"/>
        <v>AGOSTO</v>
      </c>
      <c r="C1399" s="12" t="s">
        <v>17</v>
      </c>
      <c r="D1399" s="12" t="s">
        <v>12</v>
      </c>
      <c r="E1399" s="30">
        <v>308</v>
      </c>
      <c r="F1399" s="30">
        <v>241</v>
      </c>
      <c r="G1399" s="29">
        <v>14</v>
      </c>
      <c r="H1399" s="31">
        <v>14</v>
      </c>
      <c r="I1399" s="29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28">
        <v>46253</v>
      </c>
      <c r="B1400" s="29" t="str">
        <f t="shared" si="154"/>
        <v>AGOSTO</v>
      </c>
      <c r="C1400" s="12" t="s">
        <v>18</v>
      </c>
      <c r="D1400" s="12" t="s">
        <v>12</v>
      </c>
      <c r="E1400" s="30"/>
      <c r="F1400" s="30"/>
      <c r="G1400" s="29"/>
      <c r="H1400" s="31"/>
      <c r="I1400" s="29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28">
        <v>46253</v>
      </c>
      <c r="B1401" s="29" t="str">
        <f t="shared" si="154"/>
        <v>AGOSTO</v>
      </c>
      <c r="C1401" s="12" t="s">
        <v>19</v>
      </c>
      <c r="D1401" s="12" t="s">
        <v>12</v>
      </c>
      <c r="E1401" s="30"/>
      <c r="F1401" s="30"/>
      <c r="G1401" s="29"/>
      <c r="H1401" s="31"/>
      <c r="I1401" s="29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28">
        <v>46253</v>
      </c>
      <c r="B1402" s="29" t="str">
        <f t="shared" si="154"/>
        <v>AGOSTO</v>
      </c>
      <c r="C1402" s="12" t="s">
        <v>20</v>
      </c>
      <c r="D1402" s="12" t="s">
        <v>12</v>
      </c>
      <c r="E1402" s="30">
        <v>624</v>
      </c>
      <c r="F1402" s="30">
        <v>524</v>
      </c>
      <c r="G1402" s="29">
        <v>90</v>
      </c>
      <c r="H1402" s="31">
        <v>90</v>
      </c>
      <c r="I1402" s="29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28">
        <v>46253</v>
      </c>
      <c r="B1403" s="29" t="str">
        <f t="shared" si="154"/>
        <v>AGOSTO</v>
      </c>
      <c r="C1403" s="12" t="s">
        <v>11</v>
      </c>
      <c r="D1403" s="12" t="s">
        <v>12</v>
      </c>
      <c r="E1403" s="30">
        <v>800</v>
      </c>
      <c r="F1403" s="30">
        <v>768</v>
      </c>
      <c r="G1403" s="29">
        <v>40</v>
      </c>
      <c r="H1403" s="31">
        <v>40</v>
      </c>
      <c r="I1403" s="29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28">
        <v>46253</v>
      </c>
      <c r="B1404" s="29" t="str">
        <f t="shared" si="154"/>
        <v>AGOSTO</v>
      </c>
      <c r="C1404" s="12" t="s">
        <v>32</v>
      </c>
      <c r="D1404" s="12" t="s">
        <v>12</v>
      </c>
      <c r="E1404" s="30">
        <v>44</v>
      </c>
      <c r="F1404" s="30">
        <v>36</v>
      </c>
      <c r="G1404" s="29">
        <v>4</v>
      </c>
      <c r="H1404" s="31">
        <v>4</v>
      </c>
      <c r="I1404" s="29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28">
        <v>46253</v>
      </c>
      <c r="B1405" s="29" t="str">
        <f t="shared" si="154"/>
        <v>AGOSTO</v>
      </c>
      <c r="C1405" s="12" t="s">
        <v>14</v>
      </c>
      <c r="D1405" s="12" t="s">
        <v>12</v>
      </c>
      <c r="E1405" s="30">
        <v>844</v>
      </c>
      <c r="F1405" s="30">
        <v>804</v>
      </c>
      <c r="G1405" s="29">
        <v>95</v>
      </c>
      <c r="H1405" s="31">
        <v>95</v>
      </c>
      <c r="I1405" s="29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28">
        <v>46254</v>
      </c>
      <c r="B1406" s="29" t="str">
        <f>UPPER(TEXT(A1406,"MMMM"))</f>
        <v>AGOSTO</v>
      </c>
      <c r="C1406" s="12" t="s">
        <v>15</v>
      </c>
      <c r="D1406" s="12" t="s">
        <v>12</v>
      </c>
      <c r="E1406" s="30"/>
      <c r="F1406" s="30"/>
      <c r="G1406" s="29"/>
      <c r="H1406" s="31"/>
      <c r="I1406" s="29">
        <f>IFERROR(IF(T_PROD[[#This Row],[PREVISTO]]-T_PROD[[#This Row],[EFETIVO]]&lt; 0,0,T_PROD[[#This Row],[PREVISTO]]-T_PROD[[#This Row],[EFETIVO]] ),"")</f>
        <v>0</v>
      </c>
      <c r="J1406" s="15" t="str">
        <f>IFERROR(IF(T_PROD[[#This Row],[META]]&gt;0,(T_PROD[[#This Row],[META]]/T_PROD[[#This Row],[PREVISTO]]),""),"")</f>
        <v/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28">
        <v>46254</v>
      </c>
      <c r="B1407" s="29" t="str">
        <f t="shared" ref="B1407:B1414" si="155">UPPER(TEXT(A1407,"MMMM"))</f>
        <v>AGOSTO</v>
      </c>
      <c r="C1407" s="12" t="s">
        <v>16</v>
      </c>
      <c r="D1407" s="12" t="s">
        <v>12</v>
      </c>
      <c r="E1407" s="30"/>
      <c r="F1407" s="30"/>
      <c r="G1407" s="29"/>
      <c r="H1407" s="31"/>
      <c r="I1407" s="29">
        <f>IFERROR(IF(T_PROD[[#This Row],[PREVISTO]]-T_PROD[[#This Row],[EFETIVO]]&lt; 0,0,T_PROD[[#This Row],[PREVISTO]]-T_PROD[[#This Row],[EFETIVO]] ),"")</f>
        <v>0</v>
      </c>
      <c r="J1407" s="15" t="str">
        <f>IFERROR(IF(T_PROD[[#This Row],[META]]&gt;0,(T_PROD[[#This Row],[META]]/T_PROD[[#This Row],[PREVISTO]]),""),"")</f>
        <v/>
      </c>
      <c r="K1407" s="15" t="str">
        <f>IFERROR(IF(T_PROD[[#This Row],[PRODUÇÃO]]&gt;0,(T_PROD[[#This Row],[PRODUÇÃO]]/T_PROD[[#This Row],[EFETIVO]]),""),"")</f>
        <v/>
      </c>
    </row>
    <row r="1408" spans="1:11" x14ac:dyDescent="0.3">
      <c r="A1408" s="28">
        <v>46254</v>
      </c>
      <c r="B1408" s="29" t="str">
        <f t="shared" si="155"/>
        <v>AGOSTO</v>
      </c>
      <c r="C1408" s="12" t="s">
        <v>17</v>
      </c>
      <c r="D1408" s="12" t="s">
        <v>12</v>
      </c>
      <c r="E1408" s="30"/>
      <c r="F1408" s="30"/>
      <c r="G1408" s="29"/>
      <c r="H1408" s="31"/>
      <c r="I1408" s="29">
        <f>IFERROR(IF(T_PROD[[#This Row],[PREVISTO]]-T_PROD[[#This Row],[EFETIVO]]&lt; 0,0,T_PROD[[#This Row],[PREVISTO]]-T_PROD[[#This Row],[EFETIVO]] ),"")</f>
        <v>0</v>
      </c>
      <c r="J1408" s="15" t="str">
        <f>IFERROR(IF(T_PROD[[#This Row],[META]]&gt;0,(T_PROD[[#This Row],[META]]/T_PROD[[#This Row],[PREVISTO]]),""),"")</f>
        <v/>
      </c>
      <c r="K1408" s="15" t="str">
        <f>IFERROR(IF(T_PROD[[#This Row],[PRODUÇÃO]]&gt;0,(T_PROD[[#This Row],[PRODUÇÃO]]/T_PROD[[#This Row],[EFETIVO]]),""),"")</f>
        <v/>
      </c>
    </row>
    <row r="1409" spans="1:11" x14ac:dyDescent="0.3">
      <c r="A1409" s="28">
        <v>46254</v>
      </c>
      <c r="B1409" s="29" t="str">
        <f t="shared" si="155"/>
        <v>AGOSTO</v>
      </c>
      <c r="C1409" s="12" t="s">
        <v>18</v>
      </c>
      <c r="D1409" s="12" t="s">
        <v>12</v>
      </c>
      <c r="E1409" s="30"/>
      <c r="F1409" s="30"/>
      <c r="G1409" s="29"/>
      <c r="H1409" s="31"/>
      <c r="I1409" s="29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28">
        <v>46254</v>
      </c>
      <c r="B1410" s="29" t="str">
        <f t="shared" si="155"/>
        <v>AGOSTO</v>
      </c>
      <c r="C1410" s="12" t="s">
        <v>19</v>
      </c>
      <c r="D1410" s="12" t="s">
        <v>12</v>
      </c>
      <c r="E1410" s="30"/>
      <c r="F1410" s="30"/>
      <c r="G1410" s="29"/>
      <c r="H1410" s="31"/>
      <c r="I1410" s="29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28">
        <v>46254</v>
      </c>
      <c r="B1411" s="29" t="str">
        <f t="shared" si="155"/>
        <v>AGOSTO</v>
      </c>
      <c r="C1411" s="12" t="s">
        <v>20</v>
      </c>
      <c r="D1411" s="12" t="s">
        <v>12</v>
      </c>
      <c r="E1411" s="30"/>
      <c r="F1411" s="30"/>
      <c r="G1411" s="29"/>
      <c r="H1411" s="31"/>
      <c r="I1411" s="29">
        <f>IFERROR(IF(T_PROD[[#This Row],[PREVISTO]]-T_PROD[[#This Row],[EFETIVO]]&lt; 0,0,T_PROD[[#This Row],[PREVISTO]]-T_PROD[[#This Row],[EFETIVO]] ),"")</f>
        <v>0</v>
      </c>
      <c r="J1411" s="15" t="str">
        <f>IFERROR(IF(T_PROD[[#This Row],[META]]&gt;0,(T_PROD[[#This Row],[META]]/T_PROD[[#This Row],[PREVISTO]]),""),"")</f>
        <v/>
      </c>
      <c r="K1411" s="15" t="str">
        <f>IFERROR(IF(T_PROD[[#This Row],[PRODUÇÃO]]&gt;0,(T_PROD[[#This Row],[PRODUÇÃO]]/T_PROD[[#This Row],[EFETIVO]]),""),"")</f>
        <v/>
      </c>
    </row>
    <row r="1412" spans="1:11" x14ac:dyDescent="0.3">
      <c r="A1412" s="28">
        <v>46254</v>
      </c>
      <c r="B1412" s="29" t="str">
        <f t="shared" si="155"/>
        <v>AGOSTO</v>
      </c>
      <c r="C1412" s="12" t="s">
        <v>11</v>
      </c>
      <c r="D1412" s="12" t="s">
        <v>12</v>
      </c>
      <c r="E1412" s="30">
        <v>800</v>
      </c>
      <c r="F1412" s="30">
        <v>780</v>
      </c>
      <c r="G1412" s="29">
        <v>40</v>
      </c>
      <c r="H1412" s="31">
        <v>40</v>
      </c>
      <c r="I1412" s="29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28">
        <v>46254</v>
      </c>
      <c r="B1413" s="29" t="str">
        <f t="shared" si="155"/>
        <v>AGOSTO</v>
      </c>
      <c r="C1413" s="12" t="s">
        <v>32</v>
      </c>
      <c r="D1413" s="12" t="s">
        <v>12</v>
      </c>
      <c r="E1413" s="30">
        <v>55</v>
      </c>
      <c r="F1413" s="30">
        <v>63</v>
      </c>
      <c r="G1413" s="29">
        <v>5</v>
      </c>
      <c r="H1413" s="31">
        <v>5</v>
      </c>
      <c r="I1413" s="29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28">
        <v>46254</v>
      </c>
      <c r="B1414" s="29" t="str">
        <f t="shared" si="155"/>
        <v>AGOSTO</v>
      </c>
      <c r="C1414" s="12" t="s">
        <v>14</v>
      </c>
      <c r="D1414" s="12" t="s">
        <v>12</v>
      </c>
      <c r="E1414" s="30">
        <v>855</v>
      </c>
      <c r="F1414" s="30">
        <v>843</v>
      </c>
      <c r="G1414" s="29">
        <v>95</v>
      </c>
      <c r="H1414" s="31">
        <v>93</v>
      </c>
      <c r="I1414" s="29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2026-08-21T15:38:12Z</dcterms:modified>
</cp:coreProperties>
</file>