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A26238AC-4C1D-4223-87B9-C5E841112629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LANC.!$A$1:$K$730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30" i="1" l="1"/>
  <c r="J730" i="1"/>
  <c r="I730" i="1"/>
  <c r="G3" i="3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<sst xmlns="http://schemas.openxmlformats.org/spreadsheetml/2006/main" count="1518" uniqueCount="36">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</sst>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730" totalsRowShown="0" headerRowDxfId="13" dataDxfId="12" tableBorderDxfId="11">
  <autoFilter ref="A1:K73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702" activePane="bottomLeft" state="frozen"/>
      <selection pane="bottomLeft" activeCell="P717" sqref="P717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0.68656716417910446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/>
      <c r="F722" s="13"/>
      <c r="G722" s="12"/>
      <c r="H722" s="14"/>
      <c r="I722" s="12">
        <f>IFERROR(IF(T_PROD[[#This Row],[PREVISTO]]-T_PROD[[#This Row],[EFETIVO]]&lt; 0,0,T_PROD[[#This Row],[PREVISTO]]-T_PROD[[#This Row],[EFETIVO]] ),"")</f>
        <v>0</v>
      </c>
      <c r="J722" s="15" t="str">
        <f>IFERROR(IF(T_PROD[[#This Row],[META]]&gt;0,(T_PROD[[#This Row],[META]]/T_PROD[[#This Row],[PREVISTO]]),""),"")</f>
        <v/>
      </c>
      <c r="K722" s="15" t="str">
        <f>IFERROR(IF(T_PROD[[#This Row],[PRODUÇÃO]]&gt;0,(T_PROD[[#This Row],[PRODUÇÃO]]/T_PROD[[#This Row],[EFETIVO]]),""),"")</f>
        <v/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/>
      <c r="F723" s="13"/>
      <c r="G723" s="12"/>
      <c r="H723" s="14"/>
      <c r="I723" s="12">
        <f>IFERROR(IF(T_PROD[[#This Row],[PREVISTO]]-T_PROD[[#This Row],[EFETIVO]]&lt; 0,0,T_PROD[[#This Row],[PREVISTO]]-T_PROD[[#This Row],[EFETIVO]] ),"")</f>
        <v>0</v>
      </c>
      <c r="J723" s="15" t="str">
        <f>IFERROR(IF(T_PROD[[#This Row],[META]]&gt;0,(T_PROD[[#This Row],[META]]/T_PROD[[#This Row],[PREVISTO]]),""),"")</f>
        <v/>
      </c>
      <c r="K723" s="15" t="str">
        <f>IFERROR(IF(T_PROD[[#This Row],[PRODUÇÃO]]&gt;0,(T_PROD[[#This Row],[PRODUÇÃO]]/T_PROD[[#This Row],[EFETIVO]]),""),"")</f>
        <v/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/>
      <c r="F724" s="13"/>
      <c r="G724" s="12"/>
      <c r="H724" s="14"/>
      <c r="I724" s="12">
        <f>IFERROR(IF(T_PROD[[#This Row],[PREVISTO]]-T_PROD[[#This Row],[EFETIVO]]&lt; 0,0,T_PROD[[#This Row],[PREVISTO]]-T_PROD[[#This Row],[EFETIVO]] ),"")</f>
        <v>0</v>
      </c>
      <c r="J724" s="15" t="str">
        <f>IFERROR(IF(T_PROD[[#This Row],[META]]&gt;0,(T_PROD[[#This Row],[META]]/T_PROD[[#This Row],[PREVISTO]]),""),"")</f>
        <v/>
      </c>
      <c r="K724" s="15" t="str">
        <f>IFERROR(IF(T_PROD[[#This Row],[PRODUÇÃO]]&gt;0,(T_PROD[[#This Row],[PRODUÇÃO]]/T_PROD[[#This Row],[EFETIVO]]),""),"")</f>
        <v/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/>
      <c r="F727" s="13"/>
      <c r="G727" s="12"/>
      <c r="H727" s="14"/>
      <c r="I727" s="12">
        <f>IFERROR(IF(T_PROD[[#This Row],[PREVISTO]]-T_PROD[[#This Row],[EFETIVO]]&lt; 0,0,T_PROD[[#This Row],[PREVISTO]]-T_PROD[[#This Row],[EFETIVO]] ),"")</f>
        <v>0</v>
      </c>
      <c r="J727" s="15" t="str">
        <f>IFERROR(IF(T_PROD[[#This Row],[META]]&gt;0,(T_PROD[[#This Row],[META]]/T_PROD[[#This Row],[PREVISTO]]),""),"")</f>
        <v/>
      </c>
      <c r="K727" s="15" t="str">
        <f>IFERROR(IF(T_PROD[[#This Row],[PRODUÇÃO]]&gt;0,(T_PROD[[#This Row],[PRODUÇÃO]]/T_PROD[[#This Row],[EFETIVO]]),""),"")</f>
        <v/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J14" sqref="J14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181</v>
      </c>
      <c r="G2" s="24">
        <f>SUM(B2:F2)</f>
        <v>5500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993</v>
      </c>
      <c r="G3" s="24">
        <f t="shared" ref="G3:G8" si="0">SUM(B3:F3)</f>
        <v>34995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f t="shared" si="0"/>
        <v>1795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v>100</v>
      </c>
      <c r="G5" s="24">
        <f t="shared" si="0"/>
        <v>12546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38</v>
      </c>
      <c r="G6" s="24">
        <f t="shared" si="0"/>
        <v>3320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28</v>
      </c>
      <c r="G7" s="24">
        <f t="shared" si="0"/>
        <v>4683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2</v>
      </c>
      <c r="G8" s="24">
        <f t="shared" si="0"/>
        <v>1146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2026-05-06T15:05:03Z</dcterms:modified>
</cp:coreProperties>
</file>