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BFCBFD5B-6B89-478F-BD1C-05426CED67B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LANC.!$A$1:$K$550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43" i="1" l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D6" i="3"/>
  <c r="D5" i="3"/>
  <c r="D3" i="3"/>
  <c r="D4" i="3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<sst xmlns="http://schemas.openxmlformats.org/spreadsheetml/2006/main" count="1156" uniqueCount="34">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</sst>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50" totalsRowShown="0" headerRowDxfId="13" dataDxfId="12" tableBorderDxfId="11">
  <autoFilter ref="A1:K55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519" activePane="bottomLeft" state="frozen"/>
      <selection pane="bottomLeft" activeCell="H551" sqref="H55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28">
        <v>46111</v>
      </c>
      <c r="B542" s="29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30">
        <v>58</v>
      </c>
      <c r="G542" s="12">
        <v>4</v>
      </c>
      <c r="H542" s="31">
        <v>4</v>
      </c>
      <c r="I542" s="29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28">
        <v>46111</v>
      </c>
      <c r="B543" s="29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30">
        <v>232</v>
      </c>
      <c r="G543" s="12">
        <v>6</v>
      </c>
      <c r="H543" s="31">
        <v>7</v>
      </c>
      <c r="I543" s="29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28">
        <v>46111</v>
      </c>
      <c r="B544" s="29" t="str">
        <f t="shared" si="59"/>
        <v>MARÇO</v>
      </c>
      <c r="C544" s="12" t="s">
        <v>17</v>
      </c>
      <c r="D544" s="12" t="s">
        <v>12</v>
      </c>
      <c r="E544" s="13">
        <v>128</v>
      </c>
      <c r="F544" s="30">
        <v>70</v>
      </c>
      <c r="G544" s="12">
        <v>8</v>
      </c>
      <c r="H544" s="31">
        <v>6</v>
      </c>
      <c r="I544" s="29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28">
        <v>46111</v>
      </c>
      <c r="B545" s="29" t="str">
        <f t="shared" si="59"/>
        <v>MARÇO</v>
      </c>
      <c r="C545" s="12" t="s">
        <v>18</v>
      </c>
      <c r="D545" s="12" t="s">
        <v>12</v>
      </c>
      <c r="E545" s="13">
        <v>100</v>
      </c>
      <c r="F545" s="30"/>
      <c r="G545" s="12">
        <v>4</v>
      </c>
      <c r="H545" s="31"/>
      <c r="I545" s="29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28">
        <v>46111</v>
      </c>
      <c r="B546" s="29" t="str">
        <f t="shared" si="59"/>
        <v>MARÇO</v>
      </c>
      <c r="C546" s="12" t="s">
        <v>19</v>
      </c>
      <c r="D546" s="12" t="s">
        <v>12</v>
      </c>
      <c r="E546" s="13">
        <v>100</v>
      </c>
      <c r="F546" s="30"/>
      <c r="G546" s="12">
        <v>11</v>
      </c>
      <c r="H546" s="31"/>
      <c r="I546" s="29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28">
        <v>46111</v>
      </c>
      <c r="B547" s="29" t="str">
        <f t="shared" si="59"/>
        <v>MARÇO</v>
      </c>
      <c r="C547" s="12" t="s">
        <v>20</v>
      </c>
      <c r="D547" s="12" t="s">
        <v>12</v>
      </c>
      <c r="E547" s="13">
        <v>486</v>
      </c>
      <c r="F547" s="30">
        <v>360</v>
      </c>
      <c r="G547" s="12">
        <v>92</v>
      </c>
      <c r="H547" s="31">
        <v>92</v>
      </c>
      <c r="I547" s="29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28">
        <v>46111</v>
      </c>
      <c r="B548" s="29" t="str">
        <f t="shared" si="59"/>
        <v>MARÇO</v>
      </c>
      <c r="C548" s="12" t="s">
        <v>11</v>
      </c>
      <c r="D548" s="12" t="s">
        <v>12</v>
      </c>
      <c r="E548" s="13">
        <v>400</v>
      </c>
      <c r="F548" s="30">
        <v>400</v>
      </c>
      <c r="G548" s="12">
        <v>22</v>
      </c>
      <c r="H548" s="31">
        <v>21</v>
      </c>
      <c r="I548" s="29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28">
        <v>46111</v>
      </c>
      <c r="B549" s="29" t="str">
        <f t="shared" si="59"/>
        <v>MARÇO</v>
      </c>
      <c r="C549" s="6" t="s">
        <v>32</v>
      </c>
      <c r="D549" s="12" t="s">
        <v>12</v>
      </c>
      <c r="E549" s="13">
        <v>150</v>
      </c>
      <c r="F549" s="30">
        <v>214</v>
      </c>
      <c r="G549" s="12">
        <v>15</v>
      </c>
      <c r="H549" s="31">
        <v>13</v>
      </c>
      <c r="I549" s="29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28">
        <v>46111</v>
      </c>
      <c r="B550" s="29" t="str">
        <f t="shared" si="59"/>
        <v>MARÇO</v>
      </c>
      <c r="C550" s="12" t="s">
        <v>14</v>
      </c>
      <c r="D550" s="12" t="s">
        <v>12</v>
      </c>
      <c r="E550" s="13">
        <v>550</v>
      </c>
      <c r="F550" s="30">
        <v>614</v>
      </c>
      <c r="G550" s="12">
        <v>84</v>
      </c>
      <c r="H550" s="31">
        <v>72</v>
      </c>
      <c r="I550" s="29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16"/>
      <c r="B821" s="17"/>
      <c r="C821" s="17"/>
      <c r="D821" s="17"/>
      <c r="E821" s="18"/>
      <c r="F821" s="18"/>
      <c r="G821" s="17"/>
      <c r="H821" s="19"/>
      <c r="I821" s="17"/>
      <c r="J821" s="20"/>
      <c r="K821" s="20"/>
    </row>
    <row r="822" spans="1:11" s="6" customFormat="1" x14ac:dyDescent="0.3">
      <c r="A822" s="16"/>
      <c r="B822" s="17"/>
      <c r="C822" s="17"/>
      <c r="D822" s="17"/>
      <c r="E822" s="18"/>
      <c r="F822" s="18"/>
      <c r="G822" s="17"/>
      <c r="H822" s="19"/>
      <c r="I822" s="17"/>
      <c r="J822" s="20"/>
      <c r="K822" s="20"/>
    </row>
    <row r="823" spans="1:11" s="6" customFormat="1" x14ac:dyDescent="0.3">
      <c r="A823" s="16"/>
      <c r="B823" s="17"/>
      <c r="C823" s="17"/>
      <c r="D823" s="17"/>
      <c r="E823" s="18"/>
      <c r="F823" s="18"/>
      <c r="G823" s="17"/>
      <c r="H823" s="19"/>
      <c r="I823" s="17"/>
      <c r="J823" s="20"/>
      <c r="K823" s="20"/>
    </row>
    <row r="824" spans="1:11" s="6" customFormat="1" x14ac:dyDescent="0.3">
      <c r="A824" s="16"/>
      <c r="B824" s="17"/>
      <c r="C824" s="17"/>
      <c r="D824" s="17"/>
      <c r="E824" s="18"/>
      <c r="F824" s="18"/>
      <c r="G824" s="17"/>
      <c r="H824" s="19"/>
      <c r="I824" s="17"/>
      <c r="J824" s="20"/>
      <c r="K824" s="20"/>
    </row>
    <row r="825" spans="1:11" s="6" customFormat="1" x14ac:dyDescent="0.3">
      <c r="A825" s="16"/>
      <c r="B825" s="17"/>
      <c r="C825" s="17"/>
      <c r="D825" s="17"/>
      <c r="E825" s="18"/>
      <c r="F825" s="18"/>
      <c r="G825" s="17"/>
      <c r="H825" s="19"/>
      <c r="I825" s="17"/>
      <c r="J825" s="20"/>
      <c r="K825" s="20"/>
    </row>
    <row r="826" spans="1:11" s="6" customFormat="1" x14ac:dyDescent="0.3">
      <c r="A826" s="16"/>
      <c r="B826" s="17"/>
      <c r="C826" s="17"/>
      <c r="D826" s="17"/>
      <c r="E826" s="18"/>
      <c r="F826" s="18"/>
      <c r="G826" s="17"/>
      <c r="H826" s="19"/>
      <c r="I826" s="17"/>
      <c r="J826" s="20"/>
      <c r="K826" s="20"/>
    </row>
    <row r="827" spans="1:11" s="6" customFormat="1" x14ac:dyDescent="0.3">
      <c r="A827" s="16"/>
      <c r="B827" s="17"/>
      <c r="C827" s="17"/>
      <c r="D827" s="17"/>
      <c r="E827" s="18"/>
      <c r="F827" s="18"/>
      <c r="G827" s="17"/>
      <c r="H827" s="19"/>
      <c r="I827" s="17"/>
      <c r="J827" s="20"/>
      <c r="K827" s="20"/>
    </row>
    <row r="828" spans="1:11" s="6" customFormat="1" x14ac:dyDescent="0.3">
      <c r="A828" s="16"/>
      <c r="B828" s="17"/>
      <c r="C828" s="17"/>
      <c r="D828" s="17"/>
      <c r="E828" s="18"/>
      <c r="F828" s="18"/>
      <c r="G828" s="17"/>
      <c r="H828" s="19"/>
      <c r="I828" s="17"/>
      <c r="J828" s="20"/>
      <c r="K828" s="20"/>
    </row>
    <row r="829" spans="1:11" s="6" customFormat="1" x14ac:dyDescent="0.3">
      <c r="A829" s="16"/>
      <c r="B829" s="17"/>
      <c r="C829" s="17"/>
      <c r="D829" s="17"/>
      <c r="E829" s="18"/>
      <c r="F829" s="18"/>
      <c r="G829" s="17"/>
      <c r="H829" s="19"/>
      <c r="I829" s="17"/>
      <c r="J829" s="20"/>
      <c r="K829" s="20"/>
    </row>
    <row r="830" spans="1:11" s="6" customFormat="1" x14ac:dyDescent="0.3">
      <c r="A830" s="16"/>
      <c r="B830" s="17"/>
      <c r="C830" s="17"/>
      <c r="D830" s="17"/>
      <c r="E830" s="18"/>
      <c r="F830" s="18"/>
      <c r="G830" s="17"/>
      <c r="H830" s="19"/>
      <c r="I830" s="17"/>
      <c r="J830" s="20"/>
      <c r="K830" s="20"/>
    </row>
    <row r="831" spans="1:11" s="6" customFormat="1" x14ac:dyDescent="0.3">
      <c r="A831" s="16"/>
      <c r="B831" s="17"/>
      <c r="C831" s="17"/>
      <c r="D831" s="17"/>
      <c r="E831" s="18"/>
      <c r="F831" s="18"/>
      <c r="G831" s="17"/>
      <c r="H831" s="19"/>
      <c r="I831" s="17"/>
      <c r="J831" s="20"/>
      <c r="K831" s="20"/>
    </row>
    <row r="832" spans="1:11" s="6" customFormat="1" x14ac:dyDescent="0.3">
      <c r="A832" s="16"/>
      <c r="B832" s="17"/>
      <c r="C832" s="17"/>
      <c r="D832" s="17"/>
      <c r="E832" s="18"/>
      <c r="F832" s="18"/>
      <c r="G832" s="17"/>
      <c r="H832" s="19"/>
      <c r="I832" s="17"/>
      <c r="J832" s="20"/>
      <c r="K832" s="20"/>
    </row>
    <row r="833" spans="1:11" s="6" customFormat="1" x14ac:dyDescent="0.3">
      <c r="A833" s="16"/>
      <c r="B833" s="17"/>
      <c r="C833" s="17"/>
      <c r="D833" s="17"/>
      <c r="E833" s="18"/>
      <c r="F833" s="18"/>
      <c r="G833" s="17"/>
      <c r="H833" s="19"/>
      <c r="I833" s="17"/>
      <c r="J833" s="20"/>
      <c r="K833" s="20"/>
    </row>
    <row r="834" spans="1:11" s="6" customFormat="1" x14ac:dyDescent="0.3">
      <c r="A834" s="16"/>
      <c r="B834" s="17"/>
      <c r="C834" s="17"/>
      <c r="D834" s="17"/>
      <c r="E834" s="18"/>
      <c r="F834" s="18"/>
      <c r="G834" s="17"/>
      <c r="H834" s="19"/>
      <c r="I834" s="17"/>
      <c r="J834" s="20"/>
      <c r="K834" s="20"/>
    </row>
    <row r="835" spans="1:11" s="6" customFormat="1" x14ac:dyDescent="0.3">
      <c r="A835" s="16"/>
      <c r="B835" s="17"/>
      <c r="C835" s="17"/>
      <c r="D835" s="17"/>
      <c r="E835" s="18"/>
      <c r="F835" s="18"/>
      <c r="G835" s="17"/>
      <c r="H835" s="19"/>
      <c r="I835" s="17"/>
      <c r="J835" s="20"/>
      <c r="K835" s="20"/>
    </row>
    <row r="836" spans="1:11" s="6" customFormat="1" x14ac:dyDescent="0.3">
      <c r="A836" s="16"/>
      <c r="B836" s="17"/>
      <c r="C836" s="17"/>
      <c r="D836" s="17"/>
      <c r="E836" s="18"/>
      <c r="F836" s="18"/>
      <c r="G836" s="17"/>
      <c r="H836" s="19"/>
      <c r="I836" s="17"/>
      <c r="J836" s="20"/>
      <c r="K836" s="20"/>
    </row>
    <row r="837" spans="1:11" s="6" customFormat="1" x14ac:dyDescent="0.3">
      <c r="A837" s="16"/>
      <c r="B837" s="17"/>
      <c r="C837" s="17"/>
      <c r="D837" s="17"/>
      <c r="E837" s="18"/>
      <c r="F837" s="18"/>
      <c r="G837" s="17"/>
      <c r="H837" s="19"/>
      <c r="I837" s="17"/>
      <c r="J837" s="20"/>
      <c r="K837" s="20"/>
    </row>
    <row r="838" spans="1:11" s="6" customFormat="1" x14ac:dyDescent="0.3">
      <c r="A838" s="16"/>
      <c r="B838" s="17"/>
      <c r="C838" s="17"/>
      <c r="D838" s="17"/>
      <c r="E838" s="18"/>
      <c r="F838" s="18"/>
      <c r="G838" s="17"/>
      <c r="H838" s="19"/>
      <c r="I838" s="17"/>
      <c r="J838" s="20"/>
      <c r="K838" s="20"/>
    </row>
    <row r="839" spans="1:11" s="6" customFormat="1" x14ac:dyDescent="0.3">
      <c r="A839" s="16"/>
      <c r="B839" s="17"/>
      <c r="C839" s="17"/>
      <c r="D839" s="17"/>
      <c r="E839" s="18"/>
      <c r="F839" s="18"/>
      <c r="G839" s="17"/>
      <c r="H839" s="19"/>
      <c r="I839" s="17"/>
      <c r="J839" s="20"/>
      <c r="K839" s="20"/>
    </row>
    <row r="840" spans="1:11" s="6" customFormat="1" x14ac:dyDescent="0.3">
      <c r="A840" s="16"/>
      <c r="B840" s="17"/>
      <c r="C840" s="17"/>
      <c r="D840" s="17"/>
      <c r="E840" s="18"/>
      <c r="F840" s="18"/>
      <c r="G840" s="17"/>
      <c r="H840" s="19"/>
      <c r="I840" s="17"/>
      <c r="J840" s="20"/>
      <c r="K840" s="20"/>
    </row>
    <row r="841" spans="1:11" s="6" customFormat="1" x14ac:dyDescent="0.3">
      <c r="A841" s="16"/>
      <c r="B841" s="17"/>
      <c r="C841" s="17"/>
      <c r="D841" s="17"/>
      <c r="E841" s="18"/>
      <c r="F841" s="18"/>
      <c r="G841" s="17"/>
      <c r="H841" s="19"/>
      <c r="I841" s="17"/>
      <c r="J841" s="20"/>
      <c r="K841" s="20"/>
    </row>
    <row r="842" spans="1:11" s="6" customFormat="1" x14ac:dyDescent="0.3">
      <c r="A842" s="16"/>
      <c r="B842" s="17"/>
      <c r="C842" s="17"/>
      <c r="D842" s="17"/>
      <c r="E842" s="18"/>
      <c r="F842" s="18"/>
      <c r="G842" s="17"/>
      <c r="H842" s="19"/>
      <c r="I842" s="17"/>
      <c r="J842" s="20"/>
      <c r="K842" s="20"/>
    </row>
    <row r="843" spans="1:11" s="6" customFormat="1" x14ac:dyDescent="0.3">
      <c r="A843" s="16"/>
      <c r="B843" s="17"/>
      <c r="C843" s="17"/>
      <c r="D843" s="17"/>
      <c r="E843" s="18"/>
      <c r="F843" s="18"/>
      <c r="G843" s="17"/>
      <c r="H843" s="19"/>
      <c r="I843" s="17"/>
      <c r="J843" s="20"/>
      <c r="K843" s="20"/>
    </row>
    <row r="844" spans="1:11" s="6" customFormat="1" x14ac:dyDescent="0.3">
      <c r="A844" s="16"/>
      <c r="B844" s="17"/>
      <c r="C844" s="17"/>
      <c r="D844" s="17"/>
      <c r="E844" s="18"/>
      <c r="F844" s="18"/>
      <c r="G844" s="17"/>
      <c r="H844" s="19"/>
      <c r="I844" s="17"/>
      <c r="J844" s="20"/>
      <c r="K844" s="20"/>
    </row>
    <row r="845" spans="1:11" s="6" customFormat="1" x14ac:dyDescent="0.3">
      <c r="A845" s="16"/>
      <c r="B845" s="17"/>
      <c r="C845" s="17"/>
      <c r="D845" s="17"/>
      <c r="E845" s="18"/>
      <c r="F845" s="18"/>
      <c r="G845" s="17"/>
      <c r="H845" s="19"/>
      <c r="I845" s="17"/>
      <c r="J845" s="20"/>
      <c r="K845" s="20"/>
    </row>
    <row r="846" spans="1:11" s="6" customFormat="1" x14ac:dyDescent="0.3">
      <c r="A846" s="16"/>
      <c r="B846" s="17"/>
      <c r="C846" s="17"/>
      <c r="D846" s="17"/>
      <c r="E846" s="18"/>
      <c r="F846" s="18"/>
      <c r="G846" s="17"/>
      <c r="H846" s="19"/>
      <c r="I846" s="17"/>
      <c r="J846" s="20"/>
      <c r="K846" s="20"/>
    </row>
    <row r="847" spans="1:11" s="6" customFormat="1" x14ac:dyDescent="0.3">
      <c r="A847" s="16"/>
      <c r="B847" s="17"/>
      <c r="C847" s="17"/>
      <c r="D847" s="17"/>
      <c r="E847" s="18"/>
      <c r="F847" s="18"/>
      <c r="G847" s="17"/>
      <c r="H847" s="19"/>
      <c r="I847" s="17"/>
      <c r="J847" s="20"/>
      <c r="K847" s="20"/>
    </row>
    <row r="848" spans="1:11" s="6" customFormat="1" x14ac:dyDescent="0.3">
      <c r="A848" s="16"/>
      <c r="B848" s="17"/>
      <c r="C848" s="17"/>
      <c r="D848" s="17"/>
      <c r="E848" s="18"/>
      <c r="F848" s="18"/>
      <c r="G848" s="17"/>
      <c r="H848" s="19"/>
      <c r="I848" s="17"/>
      <c r="J848" s="20"/>
      <c r="K848" s="20"/>
    </row>
    <row r="849" spans="1:11" s="6" customFormat="1" x14ac:dyDescent="0.3">
      <c r="A849" s="16"/>
      <c r="B849" s="17"/>
      <c r="C849" s="17"/>
      <c r="D849" s="17"/>
      <c r="E849" s="18"/>
      <c r="F849" s="18"/>
      <c r="G849" s="17"/>
      <c r="H849" s="19"/>
      <c r="I849" s="17"/>
      <c r="J849" s="20"/>
      <c r="K849" s="20"/>
    </row>
    <row r="850" spans="1:11" s="6" customFormat="1" x14ac:dyDescent="0.3">
      <c r="A850" s="16"/>
      <c r="B850" s="17"/>
      <c r="C850" s="17"/>
      <c r="D850" s="17"/>
      <c r="E850" s="18"/>
      <c r="F850" s="18"/>
      <c r="G850" s="17"/>
      <c r="H850" s="19"/>
      <c r="I850" s="17"/>
      <c r="J850" s="20"/>
      <c r="K850" s="20"/>
    </row>
    <row r="851" spans="1:11" s="6" customFormat="1" x14ac:dyDescent="0.3">
      <c r="A851" s="16"/>
      <c r="B851" s="17"/>
      <c r="C851" s="17"/>
      <c r="D851" s="17"/>
      <c r="E851" s="18"/>
      <c r="F851" s="18"/>
      <c r="G851" s="17"/>
      <c r="H851" s="19"/>
      <c r="I851" s="17"/>
      <c r="J851" s="20"/>
      <c r="K851" s="20"/>
    </row>
    <row r="852" spans="1:11" s="6" customFormat="1" x14ac:dyDescent="0.3">
      <c r="A852" s="16"/>
      <c r="B852" s="17"/>
      <c r="C852" s="17"/>
      <c r="D852" s="17"/>
      <c r="E852" s="18"/>
      <c r="F852" s="18"/>
      <c r="G852" s="17"/>
      <c r="H852" s="19"/>
      <c r="I852" s="17"/>
      <c r="J852" s="20"/>
      <c r="K852" s="20"/>
    </row>
    <row r="853" spans="1:11" s="6" customFormat="1" x14ac:dyDescent="0.3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 x14ac:dyDescent="0.3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 x14ac:dyDescent="0.3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 x14ac:dyDescent="0.3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 x14ac:dyDescent="0.3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 x14ac:dyDescent="0.3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 x14ac:dyDescent="0.3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 x14ac:dyDescent="0.3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D2" sqref="D2"/>
    </sheetView>
  </sheetViews>
  <sheetFormatPr defaultRowHeight="14.4" x14ac:dyDescent="0.3"/>
  <cols>
    <col min="1" max="1" width="21.5546875" bestFit="1" customWidth="1"/>
  </cols>
  <sheetData>
    <row r="1" spans="1:5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31</v>
      </c>
    </row>
    <row r="2" spans="1:5" x14ac:dyDescent="0.3">
      <c r="A2" s="23" t="s">
        <v>19</v>
      </c>
      <c r="B2" s="24">
        <v>1469</v>
      </c>
      <c r="C2" s="24">
        <v>664</v>
      </c>
      <c r="D2" s="24">
        <v>1171</v>
      </c>
      <c r="E2" s="24">
        <f>SUM(B2:D2)</f>
        <v>3304</v>
      </c>
    </row>
    <row r="3" spans="1:5" x14ac:dyDescent="0.3">
      <c r="A3" s="27" t="s">
        <v>11</v>
      </c>
      <c r="B3" s="24">
        <v>8917</v>
      </c>
      <c r="C3" s="24">
        <f>94+578+347+5325+334</f>
        <v>6678</v>
      </c>
      <c r="D3" s="24">
        <f>320+305+222+3812+395</f>
        <v>5054</v>
      </c>
      <c r="E3" s="24">
        <f t="shared" ref="E3:E7" si="0">SUM(B3:D3)</f>
        <v>20649</v>
      </c>
    </row>
    <row r="4" spans="1:5" x14ac:dyDescent="0.3">
      <c r="A4" s="27" t="s">
        <v>18</v>
      </c>
      <c r="B4" s="24">
        <v>970</v>
      </c>
      <c r="C4" s="24">
        <f>9+109</f>
        <v>118</v>
      </c>
      <c r="D4" s="24">
        <f>61+74</f>
        <v>135</v>
      </c>
      <c r="E4" s="24">
        <f t="shared" si="0"/>
        <v>1223</v>
      </c>
    </row>
    <row r="5" spans="1:5" x14ac:dyDescent="0.3">
      <c r="A5" s="27" t="s">
        <v>16</v>
      </c>
      <c r="B5" s="24">
        <v>3118</v>
      </c>
      <c r="C5" s="24">
        <f>1187+1749+101+3+45+2</f>
        <v>3087</v>
      </c>
      <c r="D5" s="24">
        <f>915+576+66+5+27</f>
        <v>1589</v>
      </c>
      <c r="E5" s="24">
        <f t="shared" si="0"/>
        <v>7794</v>
      </c>
    </row>
    <row r="6" spans="1:5" x14ac:dyDescent="0.3">
      <c r="A6" s="23" t="s">
        <v>15</v>
      </c>
      <c r="B6" s="24">
        <v>628</v>
      </c>
      <c r="C6" s="24">
        <f>322+45+73+159+318</f>
        <v>917</v>
      </c>
      <c r="D6" s="24">
        <f>171+184+47+56</f>
        <v>458</v>
      </c>
      <c r="E6" s="24">
        <f t="shared" si="0"/>
        <v>2003</v>
      </c>
    </row>
    <row r="7" spans="1:5" x14ac:dyDescent="0.3">
      <c r="A7" s="23" t="s">
        <v>17</v>
      </c>
      <c r="B7" s="24">
        <v>661</v>
      </c>
      <c r="C7" s="24">
        <v>993</v>
      </c>
      <c r="D7" s="24">
        <v>282</v>
      </c>
      <c r="E7" s="24">
        <f t="shared" si="0"/>
        <v>1936</v>
      </c>
    </row>
    <row r="8" spans="1:5" x14ac:dyDescent="0.3">
      <c r="A8" s="23" t="s">
        <v>13</v>
      </c>
      <c r="B8" s="24">
        <v>1020</v>
      </c>
      <c r="C8" s="24">
        <v>85</v>
      </c>
      <c r="D8" s="24">
        <v>14</v>
      </c>
      <c r="E8" s="24">
        <f>SUM(B8:D8)</f>
        <v>1119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2026-03-31T15:28:32Z</dcterms:modified>
</cp:coreProperties>
</file>