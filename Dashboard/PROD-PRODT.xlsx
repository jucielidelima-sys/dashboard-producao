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869FBAC8-C85F-46F8-93E4-AB44FE1BD3A9}" xr6:coauthVersionLast="47" xr6:coauthVersionMax="47" xr10:uidLastSave="{00000000-0000-0000-0000-000000000000}"/>
  <bookViews>
    <workbookView xWindow="28680" yWindow="-120" windowWidth="20730" windowHeight="11040" activeTab="2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LANC.!$A$1:$K$730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2" i="3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I729" i="1"/>
  <c r="I730" i="1"/>
  <c r="J722" i="1"/>
  <c r="J723" i="1"/>
  <c r="J724" i="1"/>
  <c r="J725" i="1"/>
  <c r="J726" i="1"/>
  <c r="J727" i="1"/>
  <c r="J728" i="1"/>
  <c r="J729" i="1"/>
  <c r="J730" i="1"/>
  <c r="K722" i="1"/>
  <c r="K723" i="1"/>
  <c r="K724" i="1"/>
  <c r="K725" i="1"/>
  <c r="K726" i="1"/>
  <c r="K727" i="1"/>
  <c r="K728" i="1"/>
  <c r="K729" i="1"/>
  <c r="K730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<sst xmlns="http://schemas.openxmlformats.org/spreadsheetml/2006/main" count="1518" uniqueCount="36">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</sst>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730" totalsRowShown="0" headerRowDxfId="13" dataDxfId="12" tableBorderDxfId="11">
  <autoFilter ref="A1:K730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zoomScale="70" zoomScaleNormal="70" zoomScaleSheetLayoutView="70" workbookViewId="0">
      <pane ySplit="1" topLeftCell="A702" activePane="bottomLeft" state="frozen"/>
      <selection pane="bottomLeft" activeCell="H736" sqref="H736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0.68656716417910446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28">
        <v>46146</v>
      </c>
      <c r="B713" s="29" t="str">
        <f>UPPER(TEXT(A713,"MMMM"))</f>
        <v>MAIO</v>
      </c>
      <c r="C713" s="12" t="s">
        <v>15</v>
      </c>
      <c r="D713" s="12" t="s">
        <v>12</v>
      </c>
      <c r="E713" s="30">
        <v>75</v>
      </c>
      <c r="F713" s="30">
        <v>27</v>
      </c>
      <c r="G713" s="29">
        <v>5</v>
      </c>
      <c r="H713" s="31">
        <v>5</v>
      </c>
      <c r="I713" s="29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28">
        <v>46146</v>
      </c>
      <c r="B714" s="29" t="str">
        <f t="shared" ref="B714:B721" si="78">UPPER(TEXT(A714,"MMMM"))</f>
        <v>MAIO</v>
      </c>
      <c r="C714" s="12" t="s">
        <v>16</v>
      </c>
      <c r="D714" s="12" t="s">
        <v>12</v>
      </c>
      <c r="E714" s="30">
        <v>204</v>
      </c>
      <c r="F714" s="30">
        <v>172</v>
      </c>
      <c r="G714" s="29">
        <v>6</v>
      </c>
      <c r="H714" s="31">
        <v>6</v>
      </c>
      <c r="I714" s="29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28">
        <v>46146</v>
      </c>
      <c r="B715" s="29" t="str">
        <f t="shared" si="78"/>
        <v>MAIO</v>
      </c>
      <c r="C715" s="12" t="s">
        <v>17</v>
      </c>
      <c r="D715" s="12" t="s">
        <v>12</v>
      </c>
      <c r="E715" s="30">
        <v>128</v>
      </c>
      <c r="F715" s="30">
        <v>76</v>
      </c>
      <c r="G715" s="29">
        <v>8</v>
      </c>
      <c r="H715" s="31">
        <v>8</v>
      </c>
      <c r="I715" s="29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28">
        <v>46146</v>
      </c>
      <c r="B716" s="29" t="str">
        <f t="shared" si="78"/>
        <v>MAIO</v>
      </c>
      <c r="C716" s="12" t="s">
        <v>18</v>
      </c>
      <c r="D716" s="12" t="s">
        <v>12</v>
      </c>
      <c r="E716" s="30"/>
      <c r="F716" s="30"/>
      <c r="G716" s="29"/>
      <c r="H716" s="31"/>
      <c r="I716" s="29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28">
        <v>46146</v>
      </c>
      <c r="B717" s="29" t="str">
        <f t="shared" si="78"/>
        <v>MAIO</v>
      </c>
      <c r="C717" s="12" t="s">
        <v>19</v>
      </c>
      <c r="D717" s="12" t="s">
        <v>12</v>
      </c>
      <c r="E717" s="30"/>
      <c r="F717" s="30"/>
      <c r="G717" s="29"/>
      <c r="H717" s="31"/>
      <c r="I717" s="29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28">
        <v>46146</v>
      </c>
      <c r="B718" s="29" t="str">
        <f t="shared" si="78"/>
        <v>MAIO</v>
      </c>
      <c r="C718" s="12" t="s">
        <v>20</v>
      </c>
      <c r="D718" s="12" t="s">
        <v>12</v>
      </c>
      <c r="E718" s="30">
        <v>407</v>
      </c>
      <c r="F718" s="30">
        <v>275</v>
      </c>
      <c r="G718" s="29">
        <v>85</v>
      </c>
      <c r="H718" s="31">
        <v>85</v>
      </c>
      <c r="I718" s="29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28">
        <v>46146</v>
      </c>
      <c r="B719" s="29" t="str">
        <f t="shared" si="78"/>
        <v>MAIO</v>
      </c>
      <c r="C719" s="12" t="s">
        <v>11</v>
      </c>
      <c r="D719" s="12" t="s">
        <v>12</v>
      </c>
      <c r="E719" s="30">
        <v>420</v>
      </c>
      <c r="F719" s="30">
        <v>450</v>
      </c>
      <c r="G719" s="29">
        <v>21</v>
      </c>
      <c r="H719" s="31">
        <v>21</v>
      </c>
      <c r="I719" s="29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28">
        <v>46146</v>
      </c>
      <c r="B720" s="29" t="str">
        <f t="shared" si="78"/>
        <v>MAIO</v>
      </c>
      <c r="C720" s="12" t="s">
        <v>32</v>
      </c>
      <c r="D720" s="12" t="s">
        <v>12</v>
      </c>
      <c r="E720" s="30"/>
      <c r="F720" s="30"/>
      <c r="G720" s="29"/>
      <c r="H720" s="31"/>
      <c r="I720" s="29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28">
        <v>46146</v>
      </c>
      <c r="B721" s="29" t="str">
        <f t="shared" si="78"/>
        <v>MAIO</v>
      </c>
      <c r="C721" s="12" t="s">
        <v>14</v>
      </c>
      <c r="D721" s="12" t="s">
        <v>12</v>
      </c>
      <c r="E721" s="30">
        <v>420</v>
      </c>
      <c r="F721" s="30">
        <v>450</v>
      </c>
      <c r="G721" s="29">
        <v>78</v>
      </c>
      <c r="H721" s="31">
        <v>70</v>
      </c>
      <c r="I721" s="29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28">
        <v>46147</v>
      </c>
      <c r="B722" s="29" t="str">
        <f t="shared" ref="B722:B730" si="79">UPPER(TEXT(A722,"MMMM"))</f>
        <v>MAIO</v>
      </c>
      <c r="C722" s="29" t="s">
        <v>15</v>
      </c>
      <c r="D722" s="29" t="s">
        <v>12</v>
      </c>
      <c r="E722" s="30"/>
      <c r="F722" s="30"/>
      <c r="G722" s="29"/>
      <c r="H722" s="31"/>
      <c r="I722" s="29">
        <f>IFERROR(IF(T_PROD[[#This Row],[PREVISTO]]-T_PROD[[#This Row],[EFETIVO]]&lt; 0,0,T_PROD[[#This Row],[PREVISTO]]-T_PROD[[#This Row],[EFETIVO]] ),"")</f>
        <v>0</v>
      </c>
      <c r="J722" s="15" t="str">
        <f>IFERROR(IF(T_PROD[[#This Row],[META]]&gt;0,(T_PROD[[#This Row],[META]]/T_PROD[[#This Row],[PREVISTO]]),""),"")</f>
        <v/>
      </c>
      <c r="K722" s="15" t="str">
        <f>IFERROR(IF(T_PROD[[#This Row],[PRODUÇÃO]]&gt;0,(T_PROD[[#This Row],[PRODUÇÃO]]/T_PROD[[#This Row],[EFETIVO]]),""),"")</f>
        <v/>
      </c>
    </row>
    <row r="723" spans="1:11" s="6" customFormat="1" x14ac:dyDescent="0.3">
      <c r="A723" s="28">
        <v>46147</v>
      </c>
      <c r="B723" s="29" t="str">
        <f t="shared" si="79"/>
        <v>MAIO</v>
      </c>
      <c r="C723" s="29" t="s">
        <v>16</v>
      </c>
      <c r="D723" s="29" t="s">
        <v>12</v>
      </c>
      <c r="E723" s="30"/>
      <c r="F723" s="30"/>
      <c r="G723" s="29"/>
      <c r="H723" s="31"/>
      <c r="I723" s="29">
        <f>IFERROR(IF(T_PROD[[#This Row],[PREVISTO]]-T_PROD[[#This Row],[EFETIVO]]&lt; 0,0,T_PROD[[#This Row],[PREVISTO]]-T_PROD[[#This Row],[EFETIVO]] ),"")</f>
        <v>0</v>
      </c>
      <c r="J723" s="15" t="str">
        <f>IFERROR(IF(T_PROD[[#This Row],[META]]&gt;0,(T_PROD[[#This Row],[META]]/T_PROD[[#This Row],[PREVISTO]]),""),"")</f>
        <v/>
      </c>
      <c r="K723" s="15" t="str">
        <f>IFERROR(IF(T_PROD[[#This Row],[PRODUÇÃO]]&gt;0,(T_PROD[[#This Row],[PRODUÇÃO]]/T_PROD[[#This Row],[EFETIVO]]),""),"")</f>
        <v/>
      </c>
    </row>
    <row r="724" spans="1:11" s="6" customFormat="1" x14ac:dyDescent="0.3">
      <c r="A724" s="28">
        <v>46147</v>
      </c>
      <c r="B724" s="29" t="str">
        <f t="shared" si="79"/>
        <v>MAIO</v>
      </c>
      <c r="C724" s="29" t="s">
        <v>17</v>
      </c>
      <c r="D724" s="29" t="s">
        <v>12</v>
      </c>
      <c r="E724" s="30"/>
      <c r="F724" s="30"/>
      <c r="G724" s="29"/>
      <c r="H724" s="31"/>
      <c r="I724" s="29">
        <f>IFERROR(IF(T_PROD[[#This Row],[PREVISTO]]-T_PROD[[#This Row],[EFETIVO]]&lt; 0,0,T_PROD[[#This Row],[PREVISTO]]-T_PROD[[#This Row],[EFETIVO]] ),"")</f>
        <v>0</v>
      </c>
      <c r="J724" s="15" t="str">
        <f>IFERROR(IF(T_PROD[[#This Row],[META]]&gt;0,(T_PROD[[#This Row],[META]]/T_PROD[[#This Row],[PREVISTO]]),""),"")</f>
        <v/>
      </c>
      <c r="K724" s="15" t="str">
        <f>IFERROR(IF(T_PROD[[#This Row],[PRODUÇÃO]]&gt;0,(T_PROD[[#This Row],[PRODUÇÃO]]/T_PROD[[#This Row],[EFETIVO]]),""),"")</f>
        <v/>
      </c>
    </row>
    <row r="725" spans="1:11" s="6" customFormat="1" x14ac:dyDescent="0.3">
      <c r="A725" s="28">
        <v>46147</v>
      </c>
      <c r="B725" s="29" t="str">
        <f t="shared" si="79"/>
        <v>MAIO</v>
      </c>
      <c r="C725" s="29" t="s">
        <v>18</v>
      </c>
      <c r="D725" s="29" t="s">
        <v>12</v>
      </c>
      <c r="E725" s="30"/>
      <c r="F725" s="30"/>
      <c r="G725" s="29"/>
      <c r="H725" s="31"/>
      <c r="I725" s="29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28">
        <v>46147</v>
      </c>
      <c r="B726" s="29" t="str">
        <f t="shared" si="79"/>
        <v>MAIO</v>
      </c>
      <c r="C726" s="29" t="s">
        <v>19</v>
      </c>
      <c r="D726" s="29" t="s">
        <v>12</v>
      </c>
      <c r="E726" s="30"/>
      <c r="F726" s="30"/>
      <c r="G726" s="29"/>
      <c r="H726" s="31"/>
      <c r="I726" s="29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28">
        <v>46147</v>
      </c>
      <c r="B727" s="29" t="str">
        <f t="shared" si="79"/>
        <v>MAIO</v>
      </c>
      <c r="C727" s="29" t="s">
        <v>20</v>
      </c>
      <c r="D727" s="29" t="s">
        <v>12</v>
      </c>
      <c r="E727" s="30"/>
      <c r="F727" s="30"/>
      <c r="G727" s="29"/>
      <c r="H727" s="31"/>
      <c r="I727" s="29">
        <f>IFERROR(IF(T_PROD[[#This Row],[PREVISTO]]-T_PROD[[#This Row],[EFETIVO]]&lt; 0,0,T_PROD[[#This Row],[PREVISTO]]-T_PROD[[#This Row],[EFETIVO]] ),"")</f>
        <v>0</v>
      </c>
      <c r="J727" s="15" t="str">
        <f>IFERROR(IF(T_PROD[[#This Row],[META]]&gt;0,(T_PROD[[#This Row],[META]]/T_PROD[[#This Row],[PREVISTO]]),""),"")</f>
        <v/>
      </c>
      <c r="K727" s="15" t="str">
        <f>IFERROR(IF(T_PROD[[#This Row],[PRODUÇÃO]]&gt;0,(T_PROD[[#This Row],[PRODUÇÃO]]/T_PROD[[#This Row],[EFETIVO]]),""),"")</f>
        <v/>
      </c>
    </row>
    <row r="728" spans="1:11" s="6" customFormat="1" x14ac:dyDescent="0.3">
      <c r="A728" s="28">
        <v>46147</v>
      </c>
      <c r="B728" s="29" t="str">
        <f t="shared" si="79"/>
        <v>MAIO</v>
      </c>
      <c r="C728" s="29" t="s">
        <v>11</v>
      </c>
      <c r="D728" s="29" t="s">
        <v>12</v>
      </c>
      <c r="E728" s="30">
        <v>460</v>
      </c>
      <c r="F728" s="30">
        <v>480</v>
      </c>
      <c r="G728" s="29">
        <v>23</v>
      </c>
      <c r="H728" s="31">
        <v>23</v>
      </c>
      <c r="I728" s="29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28">
        <v>46147</v>
      </c>
      <c r="B729" s="29" t="str">
        <f t="shared" si="79"/>
        <v>MAIO</v>
      </c>
      <c r="C729" s="29" t="s">
        <v>32</v>
      </c>
      <c r="D729" s="29" t="s">
        <v>12</v>
      </c>
      <c r="E729" s="30">
        <v>460</v>
      </c>
      <c r="F729" s="30">
        <v>480</v>
      </c>
      <c r="G729" s="29">
        <v>78</v>
      </c>
      <c r="H729" s="31">
        <v>70</v>
      </c>
      <c r="I729" s="29">
        <f>IFERROR(IF(T_PROD[[#This Row],[PREVISTO]]-T_PROD[[#This Row],[EFETIVO]]&lt; 0,0,T_PROD[[#This Row],[PREVISTO]]-T_PROD[[#This Row],[EFETIVO]] ),"")</f>
        <v>8</v>
      </c>
      <c r="J729" s="15">
        <f>IFERROR(IF(T_PROD[[#This Row],[META]]&gt;0,(T_PROD[[#This Row],[META]]/T_PROD[[#This Row],[PREVISTO]]),""),"")</f>
        <v>5.8974358974358978</v>
      </c>
      <c r="K729" s="15">
        <f>IFERROR(IF(T_PROD[[#This Row],[PRODUÇÃO]]&gt;0,(T_PROD[[#This Row],[PRODUÇÃO]]/T_PROD[[#This Row],[EFETIVO]]),""),"")</f>
        <v>6.8571428571428568</v>
      </c>
    </row>
    <row r="730" spans="1:11" s="6" customFormat="1" x14ac:dyDescent="0.3">
      <c r="A730" s="28">
        <v>46147</v>
      </c>
      <c r="B730" s="29" t="str">
        <f t="shared" si="79"/>
        <v>MAIO</v>
      </c>
      <c r="C730" s="29" t="s">
        <v>14</v>
      </c>
      <c r="D730" s="29" t="s">
        <v>12</v>
      </c>
      <c r="E730" s="30"/>
      <c r="F730" s="30"/>
      <c r="G730" s="29"/>
      <c r="H730" s="31"/>
      <c r="I730" s="29">
        <f>IFERROR(IF(T_PROD[[#This Row],[PREVISTO]]-T_PROD[[#This Row],[EFETIVO]]&lt; 0,0,T_PROD[[#This Row],[PREVISTO]]-T_PROD[[#This Row],[EFETIVO]] ),"")</f>
        <v>0</v>
      </c>
      <c r="J730" s="15" t="str">
        <f>IFERROR(IF(T_PROD[[#This Row],[META]]&gt;0,(T_PROD[[#This Row],[META]]/T_PROD[[#This Row],[PREVISTO]]),""),"")</f>
        <v/>
      </c>
      <c r="K730" s="15" t="str">
        <f>IFERROR(IF(T_PROD[[#This Row],[PRODUÇÃO]]&gt;0,(T_PROD[[#This Row],[PRODUÇÃO]]/T_PROD[[#This Row],[EFETIVO]]),""),"")</f>
        <v/>
      </c>
    </row>
    <row r="731" spans="1:11" s="6" customFormat="1" x14ac:dyDescent="0.3">
      <c r="A731" s="7"/>
      <c r="E731" s="8"/>
      <c r="F731" s="8"/>
      <c r="H731" s="9"/>
      <c r="J731" s="10"/>
      <c r="K731" s="10"/>
    </row>
    <row r="732" spans="1:11" s="6" customFormat="1" x14ac:dyDescent="0.3">
      <c r="A732" s="7"/>
      <c r="E732" s="8"/>
      <c r="F732" s="8"/>
      <c r="H732" s="9"/>
      <c r="J732" s="10"/>
      <c r="K732" s="10"/>
    </row>
    <row r="733" spans="1:11" s="6" customFormat="1" x14ac:dyDescent="0.3">
      <c r="A733" s="7"/>
      <c r="E733" s="8"/>
      <c r="F733" s="8"/>
      <c r="H733" s="9"/>
      <c r="J733" s="10"/>
      <c r="K733" s="10"/>
    </row>
    <row r="734" spans="1:11" s="6" customFormat="1" x14ac:dyDescent="0.3">
      <c r="A734" s="7"/>
      <c r="E734" s="8"/>
      <c r="F734" s="8"/>
      <c r="H734" s="9"/>
      <c r="J734" s="10"/>
      <c r="K734" s="10"/>
    </row>
    <row r="735" spans="1:11" s="6" customFormat="1" x14ac:dyDescent="0.3">
      <c r="A735" s="7"/>
      <c r="E735" s="8"/>
      <c r="F735" s="8"/>
      <c r="H735" s="9"/>
      <c r="J735" s="10"/>
      <c r="K735" s="10"/>
    </row>
    <row r="736" spans="1:11" s="6" customFormat="1" x14ac:dyDescent="0.3">
      <c r="A736" s="7"/>
      <c r="E736" s="8"/>
      <c r="F736" s="8"/>
      <c r="H736" s="9"/>
      <c r="J736" s="10"/>
      <c r="K736" s="10"/>
    </row>
    <row r="737" spans="1:11" s="6" customFormat="1" x14ac:dyDescent="0.3">
      <c r="A737" s="7"/>
      <c r="E737" s="8"/>
      <c r="F737" s="8"/>
      <c r="H737" s="9"/>
      <c r="J737" s="10"/>
      <c r="K737" s="10"/>
    </row>
    <row r="738" spans="1:11" s="6" customFormat="1" x14ac:dyDescent="0.3">
      <c r="A738" s="7"/>
      <c r="E738" s="8"/>
      <c r="F738" s="8"/>
      <c r="H738" s="9"/>
      <c r="J738" s="10"/>
      <c r="K738" s="10"/>
    </row>
    <row r="739" spans="1:11" s="6" customFormat="1" x14ac:dyDescent="0.3">
      <c r="A739" s="7"/>
      <c r="E739" s="8"/>
      <c r="F739" s="8"/>
      <c r="H739" s="9"/>
      <c r="J739" s="10"/>
      <c r="K739" s="10"/>
    </row>
    <row r="740" spans="1:11" s="6" customFormat="1" x14ac:dyDescent="0.3">
      <c r="A740" s="7"/>
      <c r="E740" s="8"/>
      <c r="F740" s="8"/>
      <c r="H740" s="9"/>
      <c r="J740" s="10"/>
      <c r="K740" s="10"/>
    </row>
    <row r="741" spans="1:11" s="6" customFormat="1" x14ac:dyDescent="0.3">
      <c r="A741" s="7"/>
      <c r="E741" s="8"/>
      <c r="F741" s="8"/>
      <c r="H741" s="9"/>
      <c r="J741" s="10"/>
      <c r="K741" s="10"/>
    </row>
    <row r="742" spans="1:11" s="6" customFormat="1" x14ac:dyDescent="0.3">
      <c r="A742" s="7"/>
      <c r="E742" s="8"/>
      <c r="F742" s="8"/>
      <c r="H742" s="9"/>
      <c r="J742" s="10"/>
      <c r="K742" s="10"/>
    </row>
    <row r="743" spans="1:11" s="6" customFormat="1" x14ac:dyDescent="0.3">
      <c r="A743" s="7"/>
      <c r="E743" s="8"/>
      <c r="F743" s="8"/>
      <c r="H743" s="9"/>
      <c r="J743" s="10"/>
      <c r="K743" s="10"/>
    </row>
    <row r="744" spans="1:11" s="6" customFormat="1" x14ac:dyDescent="0.3">
      <c r="A744" s="7"/>
      <c r="E744" s="8"/>
      <c r="F744" s="8"/>
      <c r="H744" s="9"/>
      <c r="J744" s="10"/>
      <c r="K744" s="10"/>
    </row>
    <row r="745" spans="1:11" s="6" customFormat="1" x14ac:dyDescent="0.3">
      <c r="A745" s="7"/>
      <c r="E745" s="8"/>
      <c r="F745" s="8"/>
      <c r="H745" s="9"/>
      <c r="J745" s="10"/>
      <c r="K745" s="10"/>
    </row>
    <row r="746" spans="1:11" s="6" customFormat="1" x14ac:dyDescent="0.3">
      <c r="A746" s="7"/>
      <c r="E746" s="8"/>
      <c r="F746" s="8"/>
      <c r="H746" s="9"/>
      <c r="J746" s="10"/>
      <c r="K746" s="10"/>
    </row>
    <row r="747" spans="1:11" s="6" customFormat="1" x14ac:dyDescent="0.3">
      <c r="A747" s="7"/>
      <c r="E747" s="8"/>
      <c r="F747" s="8"/>
      <c r="H747" s="9"/>
      <c r="J747" s="10"/>
      <c r="K747" s="10"/>
    </row>
    <row r="748" spans="1:11" s="6" customFormat="1" x14ac:dyDescent="0.3">
      <c r="A748" s="7"/>
      <c r="E748" s="8"/>
      <c r="F748" s="8"/>
      <c r="H748" s="9"/>
      <c r="J748" s="10"/>
      <c r="K748" s="10"/>
    </row>
    <row r="749" spans="1:11" s="6" customFormat="1" x14ac:dyDescent="0.3">
      <c r="A749" s="7"/>
      <c r="E749" s="8"/>
      <c r="F749" s="8"/>
      <c r="H749" s="9"/>
      <c r="J749" s="10"/>
      <c r="K749" s="10"/>
    </row>
    <row r="750" spans="1:11" s="6" customFormat="1" x14ac:dyDescent="0.3">
      <c r="A750" s="7"/>
      <c r="E750" s="8"/>
      <c r="F750" s="8"/>
      <c r="H750" s="9"/>
      <c r="J750" s="10"/>
      <c r="K750" s="10"/>
    </row>
    <row r="751" spans="1:11" s="6" customFormat="1" x14ac:dyDescent="0.3">
      <c r="A751" s="7"/>
      <c r="E751" s="8"/>
      <c r="F751" s="8"/>
      <c r="H751" s="9"/>
      <c r="J751" s="10"/>
      <c r="K751" s="10"/>
    </row>
    <row r="752" spans="1:11" s="6" customFormat="1" x14ac:dyDescent="0.3">
      <c r="A752" s="7"/>
      <c r="E752" s="8"/>
      <c r="F752" s="8"/>
      <c r="H752" s="9"/>
      <c r="J752" s="10"/>
      <c r="K752" s="10"/>
    </row>
    <row r="753" spans="1:11" s="6" customFormat="1" x14ac:dyDescent="0.3">
      <c r="A753" s="7"/>
      <c r="E753" s="8"/>
      <c r="F753" s="8"/>
      <c r="H753" s="9"/>
      <c r="J753" s="10"/>
      <c r="K753" s="10"/>
    </row>
    <row r="754" spans="1:11" s="6" customFormat="1" x14ac:dyDescent="0.3">
      <c r="A754" s="7"/>
      <c r="E754" s="8"/>
      <c r="F754" s="8"/>
      <c r="H754" s="9"/>
      <c r="J754" s="10"/>
      <c r="K754" s="10"/>
    </row>
    <row r="755" spans="1:11" s="6" customFormat="1" x14ac:dyDescent="0.3">
      <c r="A755" s="7"/>
      <c r="E755" s="8"/>
      <c r="F755" s="8"/>
      <c r="H755" s="9"/>
      <c r="J755" s="10"/>
      <c r="K755" s="10"/>
    </row>
    <row r="756" spans="1:11" s="6" customFormat="1" x14ac:dyDescent="0.3">
      <c r="A756" s="7"/>
      <c r="E756" s="8"/>
      <c r="F756" s="8"/>
      <c r="H756" s="9"/>
      <c r="J756" s="10"/>
      <c r="K756" s="10"/>
    </row>
    <row r="757" spans="1:11" s="6" customFormat="1" x14ac:dyDescent="0.3">
      <c r="A757" s="7"/>
      <c r="E757" s="8"/>
      <c r="F757" s="8"/>
      <c r="H757" s="9"/>
      <c r="J757" s="10"/>
      <c r="K757" s="10"/>
    </row>
    <row r="758" spans="1:11" s="6" customFormat="1" x14ac:dyDescent="0.3">
      <c r="A758" s="7"/>
      <c r="E758" s="8"/>
      <c r="F758" s="8"/>
      <c r="H758" s="9"/>
      <c r="J758" s="10"/>
      <c r="K758" s="10"/>
    </row>
    <row r="759" spans="1:11" s="6" customFormat="1" x14ac:dyDescent="0.3">
      <c r="A759" s="7"/>
      <c r="E759" s="8"/>
      <c r="F759" s="8"/>
      <c r="H759" s="9"/>
      <c r="J759" s="10"/>
      <c r="K759" s="10"/>
    </row>
    <row r="760" spans="1:11" s="6" customFormat="1" x14ac:dyDescent="0.3">
      <c r="A760" s="7"/>
      <c r="E760" s="8"/>
      <c r="F760" s="8"/>
      <c r="H760" s="9"/>
      <c r="J760" s="10"/>
      <c r="K760" s="10"/>
    </row>
    <row r="761" spans="1:11" s="6" customFormat="1" x14ac:dyDescent="0.3">
      <c r="A761" s="7"/>
      <c r="E761" s="8"/>
      <c r="F761" s="8"/>
      <c r="H761" s="9"/>
      <c r="J761" s="10"/>
      <c r="K761" s="10"/>
    </row>
    <row r="762" spans="1:11" s="6" customFormat="1" x14ac:dyDescent="0.3">
      <c r="A762" s="7"/>
      <c r="E762" s="8"/>
      <c r="F762" s="8"/>
      <c r="H762" s="9"/>
      <c r="J762" s="10"/>
      <c r="K762" s="10"/>
    </row>
    <row r="763" spans="1:11" s="6" customFormat="1" x14ac:dyDescent="0.3">
      <c r="A763" s="7"/>
      <c r="E763" s="8"/>
      <c r="F763" s="8"/>
      <c r="H763" s="9"/>
      <c r="J763" s="10"/>
      <c r="K763" s="10"/>
    </row>
    <row r="764" spans="1:11" s="6" customFormat="1" x14ac:dyDescent="0.3">
      <c r="A764" s="7"/>
      <c r="E764" s="8"/>
      <c r="F764" s="8"/>
      <c r="H764" s="9"/>
      <c r="J764" s="10"/>
      <c r="K764" s="10"/>
    </row>
    <row r="765" spans="1:11" s="6" customFormat="1" x14ac:dyDescent="0.3">
      <c r="A765" s="7"/>
      <c r="E765" s="8"/>
      <c r="F765" s="8"/>
      <c r="H765" s="9"/>
      <c r="J765" s="10"/>
      <c r="K765" s="10"/>
    </row>
    <row r="766" spans="1:11" s="6" customFormat="1" x14ac:dyDescent="0.3">
      <c r="A766" s="7"/>
      <c r="E766" s="8"/>
      <c r="F766" s="8"/>
      <c r="H766" s="9"/>
      <c r="J766" s="10"/>
      <c r="K766" s="10"/>
    </row>
    <row r="767" spans="1:11" s="6" customFormat="1" x14ac:dyDescent="0.3">
      <c r="A767" s="7"/>
      <c r="E767" s="8"/>
      <c r="F767" s="8"/>
      <c r="H767" s="9"/>
      <c r="J767" s="10"/>
      <c r="K767" s="10"/>
    </row>
    <row r="768" spans="1:11" s="6" customFormat="1" x14ac:dyDescent="0.3">
      <c r="A768" s="7"/>
      <c r="E768" s="8"/>
      <c r="F768" s="8"/>
      <c r="H768" s="9"/>
      <c r="J768" s="10"/>
      <c r="K768" s="10"/>
    </row>
    <row r="769" spans="1:11" s="6" customFormat="1" x14ac:dyDescent="0.3">
      <c r="A769" s="7"/>
      <c r="E769" s="8"/>
      <c r="F769" s="8"/>
      <c r="H769" s="9"/>
      <c r="J769" s="10"/>
      <c r="K769" s="10"/>
    </row>
    <row r="770" spans="1:11" s="6" customFormat="1" x14ac:dyDescent="0.3">
      <c r="A770" s="7"/>
      <c r="E770" s="8"/>
      <c r="F770" s="8"/>
      <c r="H770" s="9"/>
      <c r="J770" s="10"/>
      <c r="K770" s="10"/>
    </row>
    <row r="771" spans="1:11" s="6" customFormat="1" x14ac:dyDescent="0.3">
      <c r="A771" s="7"/>
      <c r="E771" s="8"/>
      <c r="F771" s="8"/>
      <c r="H771" s="9"/>
      <c r="J771" s="10"/>
      <c r="K771" s="10"/>
    </row>
    <row r="772" spans="1:11" s="6" customFormat="1" x14ac:dyDescent="0.3">
      <c r="A772" s="7"/>
      <c r="E772" s="8"/>
      <c r="F772" s="8"/>
      <c r="H772" s="9"/>
      <c r="J772" s="10"/>
      <c r="K772" s="10"/>
    </row>
    <row r="773" spans="1:11" s="6" customFormat="1" x14ac:dyDescent="0.3">
      <c r="A773" s="7"/>
      <c r="E773" s="8"/>
      <c r="F773" s="8"/>
      <c r="H773" s="9"/>
      <c r="J773" s="10"/>
      <c r="K773" s="10"/>
    </row>
    <row r="774" spans="1:11" s="6" customFormat="1" x14ac:dyDescent="0.3">
      <c r="A774" s="7"/>
      <c r="E774" s="8"/>
      <c r="F774" s="8"/>
      <c r="H774" s="9"/>
      <c r="J774" s="10"/>
      <c r="K774" s="10"/>
    </row>
    <row r="775" spans="1:11" s="6" customFormat="1" x14ac:dyDescent="0.3">
      <c r="A775" s="7"/>
      <c r="E775" s="8"/>
      <c r="F775" s="8"/>
      <c r="H775" s="9"/>
      <c r="J775" s="10"/>
      <c r="K775" s="10"/>
    </row>
    <row r="776" spans="1:11" s="6" customFormat="1" x14ac:dyDescent="0.3">
      <c r="A776" s="7"/>
      <c r="E776" s="8"/>
      <c r="F776" s="8"/>
      <c r="H776" s="9"/>
      <c r="J776" s="10"/>
      <c r="K776" s="10"/>
    </row>
    <row r="777" spans="1:11" s="6" customFormat="1" x14ac:dyDescent="0.3">
      <c r="A777" s="7"/>
      <c r="E777" s="8"/>
      <c r="F777" s="8"/>
      <c r="H777" s="9"/>
      <c r="J777" s="10"/>
      <c r="K777" s="10"/>
    </row>
    <row r="778" spans="1:11" s="6" customFormat="1" x14ac:dyDescent="0.3">
      <c r="A778" s="7"/>
      <c r="E778" s="8"/>
      <c r="F778" s="8"/>
      <c r="H778" s="9"/>
      <c r="J778" s="10"/>
      <c r="K778" s="10"/>
    </row>
    <row r="779" spans="1:11" s="6" customFormat="1" x14ac:dyDescent="0.3">
      <c r="A779" s="7"/>
      <c r="E779" s="8"/>
      <c r="F779" s="8"/>
      <c r="H779" s="9"/>
      <c r="J779" s="10"/>
      <c r="K779" s="10"/>
    </row>
    <row r="780" spans="1:11" s="6" customFormat="1" x14ac:dyDescent="0.3">
      <c r="A780" s="7"/>
      <c r="E780" s="8"/>
      <c r="F780" s="8"/>
      <c r="H780" s="9"/>
      <c r="J780" s="10"/>
      <c r="K780" s="10"/>
    </row>
    <row r="781" spans="1:11" s="6" customFormat="1" x14ac:dyDescent="0.3">
      <c r="A781" s="7"/>
      <c r="E781" s="8"/>
      <c r="F781" s="8"/>
      <c r="H781" s="9"/>
      <c r="J781" s="10"/>
      <c r="K781" s="10"/>
    </row>
    <row r="782" spans="1:11" s="6" customFormat="1" x14ac:dyDescent="0.3">
      <c r="A782" s="7"/>
      <c r="E782" s="8"/>
      <c r="F782" s="8"/>
      <c r="H782" s="9"/>
      <c r="J782" s="10"/>
      <c r="K782" s="10"/>
    </row>
    <row r="783" spans="1:11" s="6" customFormat="1" x14ac:dyDescent="0.3">
      <c r="A783" s="7"/>
      <c r="E783" s="8"/>
      <c r="F783" s="8"/>
      <c r="H783" s="9"/>
      <c r="J783" s="10"/>
      <c r="K783" s="10"/>
    </row>
    <row r="784" spans="1:11" s="6" customFormat="1" x14ac:dyDescent="0.3">
      <c r="A784" s="7"/>
      <c r="E784" s="8"/>
      <c r="F784" s="8"/>
      <c r="H784" s="9"/>
      <c r="J784" s="10"/>
      <c r="K784" s="10"/>
    </row>
    <row r="785" spans="1:11" s="6" customFormat="1" x14ac:dyDescent="0.3">
      <c r="A785" s="7"/>
      <c r="E785" s="8"/>
      <c r="F785" s="8"/>
      <c r="H785" s="9"/>
      <c r="J785" s="10"/>
      <c r="K785" s="10"/>
    </row>
    <row r="786" spans="1:11" s="6" customFormat="1" x14ac:dyDescent="0.3">
      <c r="A786" s="7"/>
      <c r="E786" s="8"/>
      <c r="F786" s="8"/>
      <c r="H786" s="9"/>
      <c r="J786" s="10"/>
      <c r="K786" s="10"/>
    </row>
    <row r="787" spans="1:11" s="6" customFormat="1" x14ac:dyDescent="0.3">
      <c r="A787" s="7"/>
      <c r="E787" s="8"/>
      <c r="F787" s="8"/>
      <c r="H787" s="9"/>
      <c r="J787" s="10"/>
      <c r="K787" s="10"/>
    </row>
    <row r="788" spans="1:11" s="6" customFormat="1" x14ac:dyDescent="0.3">
      <c r="A788" s="7"/>
      <c r="E788" s="8"/>
      <c r="F788" s="8"/>
      <c r="H788" s="9"/>
      <c r="J788" s="10"/>
      <c r="K788" s="10"/>
    </row>
    <row r="789" spans="1:11" s="6" customFormat="1" x14ac:dyDescent="0.3">
      <c r="A789" s="7"/>
      <c r="E789" s="8"/>
      <c r="F789" s="8"/>
      <c r="H789" s="9"/>
      <c r="J789" s="10"/>
      <c r="K789" s="10"/>
    </row>
    <row r="790" spans="1:11" s="6" customFormat="1" x14ac:dyDescent="0.3">
      <c r="A790" s="7"/>
      <c r="E790" s="8"/>
      <c r="F790" s="8"/>
      <c r="H790" s="9"/>
      <c r="J790" s="10"/>
      <c r="K790" s="10"/>
    </row>
    <row r="791" spans="1:11" s="6" customFormat="1" x14ac:dyDescent="0.3">
      <c r="A791" s="7"/>
      <c r="E791" s="8"/>
      <c r="F791" s="8"/>
      <c r="H791" s="9"/>
      <c r="J791" s="10"/>
      <c r="K791" s="10"/>
    </row>
    <row r="792" spans="1:11" s="6" customFormat="1" x14ac:dyDescent="0.3">
      <c r="A792" s="7"/>
      <c r="E792" s="8"/>
      <c r="F792" s="8"/>
      <c r="H792" s="9"/>
      <c r="J792" s="10"/>
      <c r="K792" s="10"/>
    </row>
    <row r="793" spans="1:11" s="6" customFormat="1" x14ac:dyDescent="0.3">
      <c r="A793" s="7"/>
      <c r="E793" s="8"/>
      <c r="F793" s="8"/>
      <c r="H793" s="9"/>
      <c r="J793" s="10"/>
      <c r="K793" s="10"/>
    </row>
    <row r="794" spans="1:11" s="6" customFormat="1" x14ac:dyDescent="0.3">
      <c r="A794" s="7"/>
      <c r="E794" s="8"/>
      <c r="F794" s="8"/>
      <c r="H794" s="9"/>
      <c r="J794" s="10"/>
      <c r="K794" s="10"/>
    </row>
    <row r="795" spans="1:11" s="6" customFormat="1" x14ac:dyDescent="0.3">
      <c r="A795" s="7"/>
      <c r="E795" s="8"/>
      <c r="F795" s="8"/>
      <c r="H795" s="9"/>
      <c r="J795" s="10"/>
      <c r="K795" s="10"/>
    </row>
    <row r="796" spans="1:11" s="6" customFormat="1" x14ac:dyDescent="0.3">
      <c r="A796" s="7"/>
      <c r="E796" s="8"/>
      <c r="F796" s="8"/>
      <c r="H796" s="9"/>
      <c r="J796" s="10"/>
      <c r="K796" s="10"/>
    </row>
    <row r="797" spans="1:11" s="6" customFormat="1" x14ac:dyDescent="0.3">
      <c r="A797" s="7"/>
      <c r="E797" s="8"/>
      <c r="F797" s="8"/>
      <c r="H797" s="9"/>
      <c r="J797" s="10"/>
      <c r="K797" s="10"/>
    </row>
    <row r="798" spans="1:11" s="6" customFormat="1" x14ac:dyDescent="0.3">
      <c r="A798" s="7"/>
      <c r="E798" s="8"/>
      <c r="F798" s="8"/>
      <c r="H798" s="9"/>
      <c r="J798" s="10"/>
      <c r="K798" s="10"/>
    </row>
    <row r="799" spans="1:11" s="6" customFormat="1" x14ac:dyDescent="0.3">
      <c r="A799" s="7"/>
      <c r="E799" s="8"/>
      <c r="F799" s="8"/>
      <c r="H799" s="9"/>
      <c r="J799" s="10"/>
      <c r="K799" s="10"/>
    </row>
    <row r="800" spans="1:11" s="6" customFormat="1" x14ac:dyDescent="0.3">
      <c r="A800" s="7"/>
      <c r="E800" s="8"/>
      <c r="F800" s="8"/>
      <c r="H800" s="9"/>
      <c r="J800" s="10"/>
      <c r="K800" s="10"/>
    </row>
    <row r="801" spans="1:11" s="6" customFormat="1" x14ac:dyDescent="0.3">
      <c r="A801" s="7"/>
      <c r="E801" s="8"/>
      <c r="F801" s="8"/>
      <c r="H801" s="9"/>
      <c r="J801" s="10"/>
      <c r="K801" s="10"/>
    </row>
    <row r="802" spans="1:11" s="6" customFormat="1" x14ac:dyDescent="0.3">
      <c r="A802" s="7"/>
      <c r="E802" s="8"/>
      <c r="F802" s="8"/>
      <c r="H802" s="9"/>
      <c r="J802" s="10"/>
      <c r="K802" s="10"/>
    </row>
    <row r="803" spans="1:11" s="6" customFormat="1" x14ac:dyDescent="0.3">
      <c r="A803" s="7"/>
      <c r="E803" s="8"/>
      <c r="F803" s="8"/>
      <c r="H803" s="9"/>
      <c r="J803" s="10"/>
      <c r="K803" s="10"/>
    </row>
    <row r="804" spans="1:11" s="6" customFormat="1" x14ac:dyDescent="0.3">
      <c r="A804" s="7"/>
      <c r="E804" s="8"/>
      <c r="F804" s="8"/>
      <c r="H804" s="9"/>
      <c r="J804" s="10"/>
      <c r="K804" s="10"/>
    </row>
    <row r="805" spans="1:11" s="6" customFormat="1" x14ac:dyDescent="0.3">
      <c r="A805" s="7"/>
      <c r="E805" s="8"/>
      <c r="F805" s="8"/>
      <c r="H805" s="9"/>
      <c r="J805" s="10"/>
      <c r="K805" s="10"/>
    </row>
    <row r="806" spans="1:11" s="6" customFormat="1" x14ac:dyDescent="0.3">
      <c r="A806" s="7"/>
      <c r="E806" s="8"/>
      <c r="F806" s="8"/>
      <c r="H806" s="9"/>
      <c r="J806" s="10"/>
      <c r="K806" s="10"/>
    </row>
    <row r="807" spans="1:11" s="6" customFormat="1" x14ac:dyDescent="0.3">
      <c r="A807" s="7"/>
      <c r="E807" s="8"/>
      <c r="F807" s="8"/>
      <c r="H807" s="9"/>
      <c r="J807" s="10"/>
      <c r="K807" s="10"/>
    </row>
    <row r="808" spans="1:11" s="6" customFormat="1" x14ac:dyDescent="0.3">
      <c r="A808" s="7"/>
      <c r="E808" s="8"/>
      <c r="F808" s="8"/>
      <c r="H808" s="9"/>
      <c r="J808" s="10"/>
      <c r="K808" s="10"/>
    </row>
    <row r="809" spans="1:11" s="6" customFormat="1" x14ac:dyDescent="0.3">
      <c r="A809" s="7"/>
      <c r="E809" s="8"/>
      <c r="F809" s="8"/>
      <c r="H809" s="9"/>
      <c r="J809" s="10"/>
      <c r="K809" s="10"/>
    </row>
    <row r="810" spans="1:11" s="6" customFormat="1" x14ac:dyDescent="0.3">
      <c r="A810" s="7"/>
      <c r="E810" s="8"/>
      <c r="F810" s="8"/>
      <c r="H810" s="9"/>
      <c r="J810" s="10"/>
      <c r="K810" s="10"/>
    </row>
    <row r="811" spans="1:11" s="6" customFormat="1" x14ac:dyDescent="0.3">
      <c r="A811" s="7"/>
      <c r="E811" s="8"/>
      <c r="F811" s="8"/>
      <c r="H811" s="9"/>
      <c r="J811" s="10"/>
      <c r="K811" s="10"/>
    </row>
    <row r="812" spans="1:11" s="6" customFormat="1" x14ac:dyDescent="0.3">
      <c r="A812" s="7"/>
      <c r="E812" s="8"/>
      <c r="F812" s="8"/>
      <c r="H812" s="9"/>
      <c r="J812" s="10"/>
      <c r="K812" s="10"/>
    </row>
    <row r="813" spans="1:11" s="6" customFormat="1" x14ac:dyDescent="0.3">
      <c r="A813" s="7"/>
      <c r="E813" s="8"/>
      <c r="F813" s="8"/>
      <c r="H813" s="9"/>
      <c r="J813" s="10"/>
      <c r="K813" s="10"/>
    </row>
    <row r="814" spans="1:11" s="6" customFormat="1" x14ac:dyDescent="0.3">
      <c r="A814" s="7"/>
      <c r="E814" s="8"/>
      <c r="F814" s="8"/>
      <c r="H814" s="9"/>
      <c r="J814" s="10"/>
      <c r="K814" s="10"/>
    </row>
    <row r="815" spans="1:11" s="6" customFormat="1" x14ac:dyDescent="0.3">
      <c r="A815" s="7"/>
      <c r="E815" s="8"/>
      <c r="F815" s="8"/>
      <c r="H815" s="9"/>
      <c r="J815" s="10"/>
      <c r="K815" s="10"/>
    </row>
    <row r="816" spans="1:11" s="6" customFormat="1" x14ac:dyDescent="0.3">
      <c r="A816" s="7"/>
      <c r="E816" s="8"/>
      <c r="F816" s="8"/>
      <c r="H816" s="9"/>
      <c r="J816" s="10"/>
      <c r="K816" s="10"/>
    </row>
    <row r="817" spans="1:11" s="6" customFormat="1" x14ac:dyDescent="0.3">
      <c r="A817" s="7"/>
      <c r="E817" s="8"/>
      <c r="F817" s="8"/>
      <c r="H817" s="9"/>
      <c r="J817" s="10"/>
      <c r="K817" s="10"/>
    </row>
    <row r="818" spans="1:11" s="6" customFormat="1" x14ac:dyDescent="0.3">
      <c r="A818" s="7"/>
      <c r="E818" s="8"/>
      <c r="F818" s="8"/>
      <c r="H818" s="9"/>
      <c r="J818" s="10"/>
      <c r="K818" s="10"/>
    </row>
    <row r="819" spans="1:11" s="6" customFormat="1" x14ac:dyDescent="0.3">
      <c r="A819" s="7"/>
      <c r="E819" s="8"/>
      <c r="F819" s="8"/>
      <c r="H819" s="9"/>
      <c r="J819" s="10"/>
      <c r="K819" s="10"/>
    </row>
    <row r="820" spans="1:11" s="6" customFormat="1" x14ac:dyDescent="0.3">
      <c r="A820" s="7"/>
      <c r="E820" s="8"/>
      <c r="F820" s="8"/>
      <c r="H820" s="9"/>
      <c r="J820" s="10"/>
      <c r="K820" s="10"/>
    </row>
    <row r="821" spans="1:11" s="6" customFormat="1" x14ac:dyDescent="0.3">
      <c r="A821" s="7"/>
      <c r="E821" s="8"/>
      <c r="F821" s="8"/>
      <c r="H821" s="9"/>
      <c r="J821" s="10"/>
      <c r="K821" s="10"/>
    </row>
    <row r="822" spans="1:11" s="6" customFormat="1" x14ac:dyDescent="0.3">
      <c r="A822" s="7"/>
      <c r="E822" s="8"/>
      <c r="F822" s="8"/>
      <c r="H822" s="9"/>
      <c r="J822" s="10"/>
      <c r="K822" s="10"/>
    </row>
    <row r="823" spans="1:11" s="6" customFormat="1" x14ac:dyDescent="0.3">
      <c r="A823" s="7"/>
      <c r="E823" s="8"/>
      <c r="F823" s="8"/>
      <c r="H823" s="9"/>
      <c r="J823" s="10"/>
      <c r="K823" s="10"/>
    </row>
    <row r="824" spans="1:11" s="6" customFormat="1" x14ac:dyDescent="0.3">
      <c r="A824" s="7"/>
      <c r="E824" s="8"/>
      <c r="F824" s="8"/>
      <c r="H824" s="9"/>
      <c r="J824" s="10"/>
      <c r="K824" s="10"/>
    </row>
    <row r="825" spans="1:11" s="6" customFormat="1" x14ac:dyDescent="0.3">
      <c r="A825" s="7"/>
      <c r="E825" s="8"/>
      <c r="F825" s="8"/>
      <c r="H825" s="9"/>
      <c r="J825" s="10"/>
      <c r="K825" s="10"/>
    </row>
    <row r="826" spans="1:11" s="6" customFormat="1" x14ac:dyDescent="0.3">
      <c r="A826" s="7"/>
      <c r="E826" s="8"/>
      <c r="F826" s="8"/>
      <c r="H826" s="9"/>
      <c r="J826" s="10"/>
      <c r="K826" s="10"/>
    </row>
    <row r="827" spans="1:11" s="6" customFormat="1" x14ac:dyDescent="0.3">
      <c r="A827" s="7"/>
      <c r="E827" s="8"/>
      <c r="F827" s="8"/>
      <c r="H827" s="9"/>
      <c r="J827" s="10"/>
      <c r="K827" s="10"/>
    </row>
    <row r="828" spans="1:11" s="6" customFormat="1" x14ac:dyDescent="0.3">
      <c r="A828" s="7"/>
      <c r="E828" s="8"/>
      <c r="F828" s="8"/>
      <c r="H828" s="9"/>
      <c r="J828" s="10"/>
      <c r="K828" s="10"/>
    </row>
    <row r="829" spans="1:11" s="6" customFormat="1" x14ac:dyDescent="0.3">
      <c r="A829" s="7"/>
      <c r="E829" s="8"/>
      <c r="F829" s="8"/>
      <c r="H829" s="9"/>
      <c r="J829" s="10"/>
      <c r="K829" s="10"/>
    </row>
    <row r="830" spans="1:11" s="6" customFormat="1" x14ac:dyDescent="0.3">
      <c r="A830" s="7"/>
      <c r="E830" s="8"/>
      <c r="F830" s="8"/>
      <c r="H830" s="9"/>
      <c r="J830" s="10"/>
      <c r="K830" s="10"/>
    </row>
    <row r="831" spans="1:11" s="6" customFormat="1" x14ac:dyDescent="0.3">
      <c r="A831" s="7"/>
      <c r="E831" s="8"/>
      <c r="F831" s="8"/>
      <c r="H831" s="9"/>
      <c r="J831" s="10"/>
      <c r="K831" s="10"/>
    </row>
    <row r="832" spans="1:11" s="6" customFormat="1" x14ac:dyDescent="0.3">
      <c r="A832" s="7"/>
      <c r="E832" s="8"/>
      <c r="F832" s="8"/>
      <c r="H832" s="9"/>
      <c r="J832" s="10"/>
      <c r="K832" s="10"/>
    </row>
    <row r="833" spans="1:11" s="6" customFormat="1" x14ac:dyDescent="0.3">
      <c r="A833" s="7"/>
      <c r="E833" s="8"/>
      <c r="F833" s="8"/>
      <c r="H833" s="9"/>
      <c r="J833" s="10"/>
      <c r="K833" s="10"/>
    </row>
    <row r="834" spans="1:11" s="6" customFormat="1" x14ac:dyDescent="0.3">
      <c r="A834" s="7"/>
      <c r="E834" s="8"/>
      <c r="F834" s="8"/>
      <c r="H834" s="9"/>
      <c r="J834" s="10"/>
      <c r="K834" s="10"/>
    </row>
    <row r="835" spans="1:11" s="6" customFormat="1" x14ac:dyDescent="0.3">
      <c r="A835" s="7"/>
      <c r="E835" s="8"/>
      <c r="F835" s="8"/>
      <c r="H835" s="9"/>
      <c r="J835" s="10"/>
      <c r="K835" s="10"/>
    </row>
    <row r="836" spans="1:11" s="6" customFormat="1" x14ac:dyDescent="0.3">
      <c r="A836" s="7"/>
      <c r="E836" s="8"/>
      <c r="F836" s="8"/>
      <c r="H836" s="9"/>
      <c r="J836" s="10"/>
      <c r="K836" s="10"/>
    </row>
    <row r="837" spans="1:11" s="6" customFormat="1" x14ac:dyDescent="0.3">
      <c r="A837" s="7"/>
      <c r="E837" s="8"/>
      <c r="F837" s="8"/>
      <c r="H837" s="9"/>
      <c r="J837" s="10"/>
      <c r="K837" s="10"/>
    </row>
    <row r="838" spans="1:11" s="6" customFormat="1" x14ac:dyDescent="0.3">
      <c r="A838" s="7"/>
      <c r="E838" s="8"/>
      <c r="F838" s="8"/>
      <c r="H838" s="9"/>
      <c r="J838" s="10"/>
      <c r="K838" s="10"/>
    </row>
    <row r="839" spans="1:11" s="6" customFormat="1" x14ac:dyDescent="0.3">
      <c r="A839" s="7"/>
      <c r="E839" s="8"/>
      <c r="F839" s="8"/>
      <c r="H839" s="9"/>
      <c r="J839" s="10"/>
      <c r="K839" s="10"/>
    </row>
    <row r="840" spans="1:11" s="6" customFormat="1" x14ac:dyDescent="0.3">
      <c r="A840" s="7"/>
      <c r="E840" s="8"/>
      <c r="F840" s="8"/>
      <c r="H840" s="9"/>
      <c r="J840" s="10"/>
      <c r="K840" s="10"/>
    </row>
    <row r="841" spans="1:11" s="6" customFormat="1" x14ac:dyDescent="0.3">
      <c r="A841" s="7"/>
      <c r="E841" s="8"/>
      <c r="F841" s="8"/>
      <c r="H841" s="9"/>
      <c r="J841" s="10"/>
      <c r="K841" s="10"/>
    </row>
    <row r="842" spans="1:11" s="6" customFormat="1" x14ac:dyDescent="0.3">
      <c r="A842" s="7"/>
      <c r="E842" s="8"/>
      <c r="F842" s="8"/>
      <c r="H842" s="9"/>
      <c r="J842" s="10"/>
      <c r="K842" s="10"/>
    </row>
    <row r="843" spans="1:11" s="6" customFormat="1" x14ac:dyDescent="0.3">
      <c r="A843" s="7"/>
      <c r="E843" s="8"/>
      <c r="F843" s="8"/>
      <c r="H843" s="9"/>
      <c r="J843" s="10"/>
      <c r="K843" s="10"/>
    </row>
    <row r="844" spans="1:11" s="6" customFormat="1" x14ac:dyDescent="0.3">
      <c r="A844" s="7"/>
      <c r="E844" s="8"/>
      <c r="F844" s="8"/>
      <c r="H844" s="9"/>
      <c r="J844" s="10"/>
      <c r="K844" s="10"/>
    </row>
    <row r="845" spans="1:11" s="6" customFormat="1" x14ac:dyDescent="0.3">
      <c r="A845" s="7"/>
      <c r="E845" s="8"/>
      <c r="F845" s="8"/>
      <c r="H845" s="9"/>
      <c r="J845" s="10"/>
      <c r="K845" s="10"/>
    </row>
    <row r="846" spans="1:11" s="6" customFormat="1" x14ac:dyDescent="0.3">
      <c r="A846" s="7"/>
      <c r="E846" s="8"/>
      <c r="F846" s="8"/>
      <c r="H846" s="9"/>
      <c r="J846" s="10"/>
      <c r="K846" s="10"/>
    </row>
    <row r="847" spans="1:11" s="6" customFormat="1" x14ac:dyDescent="0.3">
      <c r="A847" s="7"/>
      <c r="E847" s="8"/>
      <c r="F847" s="8"/>
      <c r="H847" s="9"/>
      <c r="J847" s="10"/>
      <c r="K847" s="10"/>
    </row>
    <row r="848" spans="1:11" s="6" customFormat="1" x14ac:dyDescent="0.3">
      <c r="A848" s="7"/>
      <c r="E848" s="8"/>
      <c r="F848" s="8"/>
      <c r="H848" s="9"/>
      <c r="J848" s="10"/>
      <c r="K848" s="10"/>
    </row>
    <row r="849" spans="1:11" s="6" customFormat="1" x14ac:dyDescent="0.3">
      <c r="A849" s="7"/>
      <c r="E849" s="8"/>
      <c r="F849" s="8"/>
      <c r="H849" s="9"/>
      <c r="J849" s="10"/>
      <c r="K849" s="10"/>
    </row>
    <row r="850" spans="1:11" s="6" customFormat="1" x14ac:dyDescent="0.3">
      <c r="A850" s="7"/>
      <c r="E850" s="8"/>
      <c r="F850" s="8"/>
      <c r="H850" s="9"/>
      <c r="J850" s="10"/>
      <c r="K850" s="10"/>
    </row>
    <row r="851" spans="1:11" s="6" customFormat="1" x14ac:dyDescent="0.3">
      <c r="A851" s="7"/>
      <c r="E851" s="8"/>
      <c r="F851" s="8"/>
      <c r="H851" s="9"/>
      <c r="J851" s="10"/>
      <c r="K851" s="10"/>
    </row>
    <row r="852" spans="1:11" s="6" customFormat="1" x14ac:dyDescent="0.3">
      <c r="A852" s="7"/>
      <c r="E852" s="8"/>
      <c r="F852" s="8"/>
      <c r="H852" s="9"/>
      <c r="J852" s="10"/>
      <c r="K852" s="10"/>
    </row>
    <row r="853" spans="1:11" s="6" customFormat="1" x14ac:dyDescent="0.3">
      <c r="A853" s="7"/>
      <c r="E853" s="8"/>
      <c r="F853" s="8"/>
      <c r="H853" s="9"/>
      <c r="J853" s="10"/>
      <c r="K853" s="10"/>
    </row>
    <row r="854" spans="1:11" s="6" customFormat="1" x14ac:dyDescent="0.3">
      <c r="A854" s="7"/>
      <c r="E854" s="8"/>
      <c r="F854" s="8"/>
      <c r="H854" s="9"/>
      <c r="J854" s="10"/>
      <c r="K854" s="10"/>
    </row>
    <row r="855" spans="1:11" s="6" customFormat="1" x14ac:dyDescent="0.3">
      <c r="A855" s="7"/>
      <c r="E855" s="8"/>
      <c r="F855" s="8"/>
      <c r="H855" s="9"/>
      <c r="J855" s="10"/>
      <c r="K855" s="10"/>
    </row>
    <row r="856" spans="1:11" s="6" customFormat="1" x14ac:dyDescent="0.3">
      <c r="A856" s="7"/>
      <c r="E856" s="8"/>
      <c r="F856" s="8"/>
      <c r="H856" s="9"/>
      <c r="J856" s="10"/>
      <c r="K856" s="10"/>
    </row>
    <row r="857" spans="1:11" s="6" customFormat="1" x14ac:dyDescent="0.3">
      <c r="A857" s="7"/>
      <c r="E857" s="8"/>
      <c r="F857" s="8"/>
      <c r="H857" s="9"/>
      <c r="J857" s="10"/>
      <c r="K857" s="10"/>
    </row>
    <row r="858" spans="1:11" s="6" customFormat="1" x14ac:dyDescent="0.3">
      <c r="A858" s="7"/>
      <c r="E858" s="8"/>
      <c r="F858" s="8"/>
      <c r="H858" s="9"/>
      <c r="J858" s="10"/>
      <c r="K858" s="10"/>
    </row>
    <row r="859" spans="1:11" s="6" customFormat="1" x14ac:dyDescent="0.3">
      <c r="A859" s="7"/>
      <c r="E859" s="8"/>
      <c r="F859" s="8"/>
      <c r="H859" s="9"/>
      <c r="J859" s="10"/>
      <c r="K859" s="10"/>
    </row>
    <row r="860" spans="1:11" s="6" customFormat="1" x14ac:dyDescent="0.3">
      <c r="A860" s="7"/>
      <c r="E860" s="8"/>
      <c r="F860" s="8"/>
      <c r="H860" s="9"/>
      <c r="J860" s="10"/>
      <c r="K860" s="10"/>
    </row>
    <row r="861" spans="1:11" s="6" customFormat="1" x14ac:dyDescent="0.3">
      <c r="A861" s="7"/>
      <c r="E861" s="8"/>
      <c r="F861" s="8"/>
      <c r="H861" s="9"/>
      <c r="J861" s="10"/>
      <c r="K861" s="10"/>
    </row>
    <row r="862" spans="1:11" s="6" customFormat="1" x14ac:dyDescent="0.3">
      <c r="A862" s="7"/>
      <c r="E862" s="8"/>
      <c r="F862" s="8"/>
      <c r="H862" s="9"/>
      <c r="J862" s="10"/>
      <c r="K862" s="10"/>
    </row>
    <row r="863" spans="1:11" s="6" customFormat="1" x14ac:dyDescent="0.3">
      <c r="A863" s="7"/>
      <c r="E863" s="8"/>
      <c r="F863" s="8"/>
      <c r="H863" s="9"/>
      <c r="J863" s="10"/>
      <c r="K863" s="10"/>
    </row>
    <row r="864" spans="1:11" s="6" customFormat="1" x14ac:dyDescent="0.3">
      <c r="A864" s="7"/>
      <c r="E864" s="8"/>
      <c r="F864" s="8"/>
      <c r="H864" s="9"/>
      <c r="J864" s="10"/>
      <c r="K864" s="10"/>
    </row>
    <row r="865" spans="1:11" s="6" customFormat="1" x14ac:dyDescent="0.3">
      <c r="A865" s="7"/>
      <c r="E865" s="8"/>
      <c r="F865" s="8"/>
      <c r="H865" s="9"/>
      <c r="J865" s="10"/>
      <c r="K865" s="10"/>
    </row>
    <row r="866" spans="1:11" s="6" customFormat="1" x14ac:dyDescent="0.3">
      <c r="A866" s="7"/>
      <c r="E866" s="8"/>
      <c r="F866" s="8"/>
      <c r="H866" s="9"/>
      <c r="J866" s="10"/>
      <c r="K866" s="10"/>
    </row>
    <row r="867" spans="1:11" s="6" customFormat="1" x14ac:dyDescent="0.3">
      <c r="A867" s="7"/>
      <c r="E867" s="8"/>
      <c r="F867" s="8"/>
      <c r="H867" s="9"/>
      <c r="J867" s="10"/>
      <c r="K867" s="10"/>
    </row>
    <row r="868" spans="1:11" s="6" customFormat="1" x14ac:dyDescent="0.3">
      <c r="A868" s="7"/>
      <c r="E868" s="8"/>
      <c r="F868" s="8"/>
      <c r="H868" s="9"/>
      <c r="J868" s="10"/>
      <c r="K868" s="10"/>
    </row>
    <row r="869" spans="1:11" s="6" customFormat="1" x14ac:dyDescent="0.3">
      <c r="A869" s="7"/>
      <c r="E869" s="8"/>
      <c r="F869" s="8"/>
      <c r="H869" s="9"/>
      <c r="J869" s="10"/>
      <c r="K869" s="10"/>
    </row>
    <row r="870" spans="1:11" s="6" customFormat="1" x14ac:dyDescent="0.3">
      <c r="A870" s="7"/>
      <c r="E870" s="8"/>
      <c r="F870" s="8"/>
      <c r="H870" s="9"/>
      <c r="J870" s="10"/>
      <c r="K870" s="10"/>
    </row>
    <row r="871" spans="1:11" s="6" customFormat="1" x14ac:dyDescent="0.3">
      <c r="A871" s="7"/>
      <c r="E871" s="8"/>
      <c r="F871" s="8"/>
      <c r="H871" s="9"/>
      <c r="J871" s="10"/>
      <c r="K871" s="10"/>
    </row>
    <row r="872" spans="1:11" s="6" customFormat="1" x14ac:dyDescent="0.3">
      <c r="A872" s="7"/>
      <c r="E872" s="8"/>
      <c r="F872" s="8"/>
      <c r="H872" s="9"/>
      <c r="J872" s="10"/>
      <c r="K872" s="10"/>
    </row>
    <row r="873" spans="1:11" s="6" customFormat="1" x14ac:dyDescent="0.3">
      <c r="A873" s="7"/>
      <c r="E873" s="8"/>
      <c r="F873" s="8"/>
      <c r="H873" s="9"/>
      <c r="J873" s="10"/>
      <c r="K873" s="10"/>
    </row>
    <row r="874" spans="1:11" s="6" customFormat="1" x14ac:dyDescent="0.3">
      <c r="A874" s="7"/>
      <c r="E874" s="8"/>
      <c r="F874" s="8"/>
      <c r="H874" s="9"/>
      <c r="J874" s="10"/>
      <c r="K874" s="10"/>
    </row>
    <row r="875" spans="1:11" s="6" customFormat="1" x14ac:dyDescent="0.3">
      <c r="A875" s="7"/>
      <c r="E875" s="8"/>
      <c r="F875" s="8"/>
      <c r="H875" s="9"/>
      <c r="J875" s="10"/>
      <c r="K875" s="10"/>
    </row>
    <row r="876" spans="1:11" s="6" customFormat="1" x14ac:dyDescent="0.3">
      <c r="A876" s="7"/>
      <c r="E876" s="8"/>
      <c r="F876" s="8"/>
      <c r="H876" s="9"/>
      <c r="J876" s="10"/>
      <c r="K876" s="10"/>
    </row>
    <row r="877" spans="1:11" s="6" customFormat="1" x14ac:dyDescent="0.3">
      <c r="A877" s="7"/>
      <c r="E877" s="8"/>
      <c r="F877" s="8"/>
      <c r="H877" s="9"/>
      <c r="J877" s="10"/>
      <c r="K877" s="10"/>
    </row>
    <row r="878" spans="1:11" s="6" customFormat="1" x14ac:dyDescent="0.3">
      <c r="A878" s="7"/>
      <c r="E878" s="8"/>
      <c r="F878" s="8"/>
      <c r="H878" s="9"/>
      <c r="J878" s="10"/>
      <c r="K878" s="10"/>
    </row>
    <row r="879" spans="1:11" s="6" customFormat="1" x14ac:dyDescent="0.3">
      <c r="A879" s="7"/>
      <c r="E879" s="8"/>
      <c r="F879" s="8"/>
      <c r="H879" s="9"/>
      <c r="J879" s="10"/>
      <c r="K879" s="10"/>
    </row>
    <row r="880" spans="1:11" s="6" customFormat="1" x14ac:dyDescent="0.3">
      <c r="A880" s="7"/>
      <c r="E880" s="8"/>
      <c r="F880" s="8"/>
      <c r="H880" s="9"/>
      <c r="J880" s="10"/>
      <c r="K880" s="10"/>
    </row>
    <row r="881" spans="1:11" s="6" customFormat="1" x14ac:dyDescent="0.3">
      <c r="A881" s="7"/>
      <c r="E881" s="8"/>
      <c r="F881" s="8"/>
      <c r="H881" s="9"/>
      <c r="J881" s="10"/>
      <c r="K881" s="10"/>
    </row>
    <row r="882" spans="1:11" s="6" customFormat="1" x14ac:dyDescent="0.3">
      <c r="A882" s="7"/>
      <c r="E882" s="8"/>
      <c r="F882" s="8"/>
      <c r="H882" s="9"/>
      <c r="J882" s="10"/>
      <c r="K882" s="10"/>
    </row>
    <row r="883" spans="1:11" s="6" customFormat="1" x14ac:dyDescent="0.3">
      <c r="A883" s="7"/>
      <c r="E883" s="8"/>
      <c r="F883" s="8"/>
      <c r="H883" s="9"/>
      <c r="J883" s="10"/>
      <c r="K883" s="10"/>
    </row>
    <row r="884" spans="1:11" s="6" customFormat="1" x14ac:dyDescent="0.3">
      <c r="A884" s="7"/>
      <c r="E884" s="8"/>
      <c r="F884" s="8"/>
      <c r="H884" s="9"/>
      <c r="J884" s="10"/>
      <c r="K884" s="10"/>
    </row>
    <row r="885" spans="1:11" s="6" customFormat="1" x14ac:dyDescent="0.3">
      <c r="A885" s="7"/>
      <c r="E885" s="8"/>
      <c r="F885" s="8"/>
      <c r="H885" s="9"/>
      <c r="J885" s="10"/>
      <c r="K885" s="10"/>
    </row>
    <row r="886" spans="1:11" s="6" customFormat="1" x14ac:dyDescent="0.3">
      <c r="A886" s="7"/>
      <c r="E886" s="8"/>
      <c r="F886" s="8"/>
      <c r="H886" s="9"/>
      <c r="J886" s="10"/>
      <c r="K886" s="10"/>
    </row>
    <row r="887" spans="1:11" s="6" customFormat="1" x14ac:dyDescent="0.3">
      <c r="A887" s="7"/>
      <c r="E887" s="8"/>
      <c r="F887" s="8"/>
      <c r="H887" s="9"/>
      <c r="J887" s="10"/>
      <c r="K887" s="10"/>
    </row>
    <row r="888" spans="1:11" s="6" customFormat="1" x14ac:dyDescent="0.3">
      <c r="A888" s="7"/>
      <c r="E888" s="8"/>
      <c r="F888" s="8"/>
      <c r="H888" s="9"/>
      <c r="J888" s="10"/>
      <c r="K888" s="10"/>
    </row>
    <row r="889" spans="1:11" s="6" customFormat="1" x14ac:dyDescent="0.3">
      <c r="A889" s="7"/>
      <c r="E889" s="8"/>
      <c r="F889" s="8"/>
      <c r="H889" s="9"/>
      <c r="J889" s="10"/>
      <c r="K889" s="10"/>
    </row>
    <row r="890" spans="1:11" s="6" customFormat="1" x14ac:dyDescent="0.3">
      <c r="A890" s="7"/>
      <c r="E890" s="8"/>
      <c r="F890" s="8"/>
      <c r="H890" s="9"/>
      <c r="J890" s="10"/>
      <c r="K890" s="10"/>
    </row>
    <row r="891" spans="1:11" s="6" customFormat="1" x14ac:dyDescent="0.3">
      <c r="A891" s="7"/>
      <c r="E891" s="8"/>
      <c r="F891" s="8"/>
      <c r="H891" s="9"/>
      <c r="J891" s="10"/>
      <c r="K891" s="10"/>
    </row>
    <row r="892" spans="1:11" s="6" customFormat="1" x14ac:dyDescent="0.3">
      <c r="A892" s="7"/>
      <c r="E892" s="8"/>
      <c r="F892" s="8"/>
      <c r="H892" s="9"/>
      <c r="J892" s="10"/>
      <c r="K892" s="10"/>
    </row>
    <row r="893" spans="1:11" s="6" customFormat="1" x14ac:dyDescent="0.3">
      <c r="A893" s="7"/>
      <c r="E893" s="8"/>
      <c r="F893" s="8"/>
      <c r="H893" s="9"/>
      <c r="J893" s="10"/>
      <c r="K893" s="10"/>
    </row>
    <row r="894" spans="1:11" s="6" customFormat="1" x14ac:dyDescent="0.3">
      <c r="A894" s="7"/>
      <c r="E894" s="8"/>
      <c r="F894" s="8"/>
      <c r="H894" s="9"/>
      <c r="J894" s="10"/>
      <c r="K894" s="10"/>
    </row>
    <row r="895" spans="1:11" s="6" customFormat="1" x14ac:dyDescent="0.3">
      <c r="A895" s="7"/>
      <c r="E895" s="8"/>
      <c r="F895" s="8"/>
      <c r="H895" s="9"/>
      <c r="J895" s="10"/>
      <c r="K895" s="10"/>
    </row>
    <row r="896" spans="1:11" s="6" customFormat="1" x14ac:dyDescent="0.3">
      <c r="A896" s="7"/>
      <c r="E896" s="8"/>
      <c r="F896" s="8"/>
      <c r="H896" s="9"/>
      <c r="J896" s="10"/>
      <c r="K896" s="10"/>
    </row>
    <row r="897" spans="1:11" s="6" customFormat="1" x14ac:dyDescent="0.3">
      <c r="A897" s="7"/>
      <c r="E897" s="8"/>
      <c r="F897" s="8"/>
      <c r="H897" s="9"/>
      <c r="J897" s="10"/>
      <c r="K897" s="10"/>
    </row>
    <row r="898" spans="1:11" s="6" customFormat="1" x14ac:dyDescent="0.3">
      <c r="A898" s="7"/>
      <c r="E898" s="8"/>
      <c r="F898" s="8"/>
      <c r="H898" s="9"/>
      <c r="J898" s="10"/>
      <c r="K898" s="10"/>
    </row>
    <row r="899" spans="1:11" s="6" customFormat="1" x14ac:dyDescent="0.3">
      <c r="A899" s="7"/>
      <c r="E899" s="8"/>
      <c r="F899" s="8"/>
      <c r="H899" s="9"/>
      <c r="J899" s="10"/>
      <c r="K899" s="10"/>
    </row>
    <row r="900" spans="1:11" s="6" customFormat="1" x14ac:dyDescent="0.3">
      <c r="A900" s="7"/>
      <c r="E900" s="8"/>
      <c r="F900" s="8"/>
      <c r="H900" s="9"/>
      <c r="J900" s="10"/>
      <c r="K900" s="10"/>
    </row>
    <row r="901" spans="1:11" s="6" customFormat="1" x14ac:dyDescent="0.3">
      <c r="A901" s="7"/>
      <c r="E901" s="8"/>
      <c r="F901" s="8"/>
      <c r="H901" s="9"/>
      <c r="J901" s="10"/>
      <c r="K901" s="10"/>
    </row>
    <row r="902" spans="1:11" s="6" customFormat="1" x14ac:dyDescent="0.3">
      <c r="A902" s="7"/>
      <c r="E902" s="8"/>
      <c r="F902" s="8"/>
      <c r="H902" s="9"/>
      <c r="J902" s="10"/>
      <c r="K902" s="10"/>
    </row>
    <row r="903" spans="1:11" s="6" customFormat="1" x14ac:dyDescent="0.3">
      <c r="A903" s="7"/>
      <c r="E903" s="8"/>
      <c r="F903" s="8"/>
      <c r="H903" s="9"/>
      <c r="J903" s="10"/>
      <c r="K903" s="10"/>
    </row>
    <row r="904" spans="1:11" s="6" customFormat="1" x14ac:dyDescent="0.3">
      <c r="A904" s="7"/>
      <c r="E904" s="8"/>
      <c r="F904" s="8"/>
      <c r="H904" s="9"/>
      <c r="J904" s="10"/>
      <c r="K904" s="10"/>
    </row>
    <row r="905" spans="1:11" s="6" customFormat="1" x14ac:dyDescent="0.3">
      <c r="A905" s="7"/>
      <c r="E905" s="8"/>
      <c r="F905" s="8"/>
      <c r="H905" s="9"/>
      <c r="J905" s="10"/>
      <c r="K905" s="10"/>
    </row>
    <row r="906" spans="1:11" s="6" customFormat="1" x14ac:dyDescent="0.3">
      <c r="A906" s="7"/>
      <c r="E906" s="8"/>
      <c r="F906" s="8"/>
      <c r="H906" s="9"/>
      <c r="J906" s="10"/>
      <c r="K906" s="10"/>
    </row>
    <row r="907" spans="1:11" s="6" customFormat="1" x14ac:dyDescent="0.3">
      <c r="A907" s="7"/>
      <c r="E907" s="8"/>
      <c r="F907" s="8"/>
      <c r="H907" s="9"/>
      <c r="J907" s="10"/>
      <c r="K907" s="10"/>
    </row>
    <row r="908" spans="1:11" s="6" customFormat="1" x14ac:dyDescent="0.3">
      <c r="A908" s="7"/>
      <c r="E908" s="8"/>
      <c r="F908" s="8"/>
      <c r="H908" s="9"/>
      <c r="J908" s="10"/>
      <c r="K908" s="10"/>
    </row>
    <row r="909" spans="1:11" s="6" customFormat="1" x14ac:dyDescent="0.3">
      <c r="A909" s="7"/>
      <c r="E909" s="8"/>
      <c r="F909" s="8"/>
      <c r="H909" s="9"/>
      <c r="J909" s="10"/>
      <c r="K909" s="10"/>
    </row>
    <row r="910" spans="1:11" s="6" customFormat="1" x14ac:dyDescent="0.3">
      <c r="A910" s="7"/>
      <c r="E910" s="8"/>
      <c r="F910" s="8"/>
      <c r="H910" s="9"/>
      <c r="J910" s="10"/>
      <c r="K910" s="10"/>
    </row>
    <row r="911" spans="1:11" s="6" customFormat="1" x14ac:dyDescent="0.3">
      <c r="A911" s="7"/>
      <c r="E911" s="8"/>
      <c r="F911" s="8"/>
      <c r="H911" s="9"/>
      <c r="J911" s="10"/>
      <c r="K911" s="10"/>
    </row>
    <row r="912" spans="1:11" s="6" customFormat="1" x14ac:dyDescent="0.3">
      <c r="A912" s="7"/>
      <c r="E912" s="8"/>
      <c r="F912" s="8"/>
      <c r="H912" s="9"/>
      <c r="J912" s="10"/>
      <c r="K912" s="10"/>
    </row>
    <row r="913" spans="1:11" s="6" customFormat="1" x14ac:dyDescent="0.3">
      <c r="A913" s="7"/>
      <c r="E913" s="8"/>
      <c r="F913" s="8"/>
      <c r="H913" s="9"/>
      <c r="J913" s="10"/>
      <c r="K913" s="10"/>
    </row>
    <row r="914" spans="1:11" s="6" customFormat="1" x14ac:dyDescent="0.3">
      <c r="A914" s="7"/>
      <c r="E914" s="8"/>
      <c r="F914" s="8"/>
      <c r="H914" s="9"/>
      <c r="J914" s="10"/>
      <c r="K914" s="10"/>
    </row>
    <row r="915" spans="1:11" s="6" customFormat="1" x14ac:dyDescent="0.3">
      <c r="A915" s="7"/>
      <c r="E915" s="8"/>
      <c r="F915" s="8"/>
      <c r="H915" s="9"/>
      <c r="J915" s="10"/>
      <c r="K915" s="10"/>
    </row>
    <row r="916" spans="1:11" s="6" customFormat="1" x14ac:dyDescent="0.3">
      <c r="A916" s="7"/>
      <c r="E916" s="8"/>
      <c r="F916" s="8"/>
      <c r="H916" s="9"/>
      <c r="J916" s="10"/>
      <c r="K916" s="10"/>
    </row>
    <row r="917" spans="1:11" s="6" customFormat="1" x14ac:dyDescent="0.3">
      <c r="A917" s="7"/>
      <c r="E917" s="8"/>
      <c r="F917" s="8"/>
      <c r="H917" s="9"/>
      <c r="J917" s="10"/>
      <c r="K917" s="10"/>
    </row>
    <row r="918" spans="1:11" s="6" customFormat="1" x14ac:dyDescent="0.3">
      <c r="A918" s="7"/>
      <c r="E918" s="8"/>
      <c r="F918" s="8"/>
      <c r="H918" s="9"/>
      <c r="J918" s="10"/>
      <c r="K918" s="10"/>
    </row>
    <row r="919" spans="1:11" s="6" customFormat="1" x14ac:dyDescent="0.3">
      <c r="A919" s="7"/>
      <c r="E919" s="8"/>
      <c r="F919" s="8"/>
      <c r="H919" s="9"/>
      <c r="J919" s="10"/>
      <c r="K919" s="10"/>
    </row>
    <row r="920" spans="1:11" s="6" customFormat="1" x14ac:dyDescent="0.3">
      <c r="A920" s="7"/>
      <c r="E920" s="8"/>
      <c r="F920" s="8"/>
      <c r="H920" s="9"/>
      <c r="J920" s="10"/>
      <c r="K920" s="10"/>
    </row>
    <row r="921" spans="1:11" s="6" customFormat="1" x14ac:dyDescent="0.3">
      <c r="A921" s="7"/>
      <c r="E921" s="8"/>
      <c r="F921" s="8"/>
      <c r="H921" s="9"/>
      <c r="J921" s="10"/>
      <c r="K921" s="10"/>
    </row>
    <row r="922" spans="1:11" s="6" customFormat="1" x14ac:dyDescent="0.3">
      <c r="A922" s="7"/>
      <c r="E922" s="8"/>
      <c r="F922" s="8"/>
      <c r="H922" s="9"/>
      <c r="J922" s="10"/>
      <c r="K922" s="10"/>
    </row>
    <row r="923" spans="1:11" s="6" customFormat="1" x14ac:dyDescent="0.3">
      <c r="A923" s="7"/>
      <c r="E923" s="8"/>
      <c r="F923" s="8"/>
      <c r="H923" s="9"/>
      <c r="J923" s="10"/>
      <c r="K923" s="10"/>
    </row>
    <row r="924" spans="1:11" s="6" customFormat="1" x14ac:dyDescent="0.3">
      <c r="A924" s="7"/>
      <c r="E924" s="8"/>
      <c r="F924" s="8"/>
      <c r="H924" s="9"/>
      <c r="J924" s="10"/>
      <c r="K924" s="10"/>
    </row>
    <row r="925" spans="1:11" s="6" customFormat="1" x14ac:dyDescent="0.3">
      <c r="A925" s="7"/>
      <c r="E925" s="8"/>
      <c r="F925" s="8"/>
      <c r="H925" s="9"/>
      <c r="J925" s="10"/>
      <c r="K925" s="10"/>
    </row>
    <row r="926" spans="1:11" s="6" customFormat="1" x14ac:dyDescent="0.3">
      <c r="A926" s="7"/>
      <c r="E926" s="8"/>
      <c r="F926" s="8"/>
      <c r="H926" s="9"/>
      <c r="J926" s="10"/>
      <c r="K926" s="10"/>
    </row>
    <row r="927" spans="1:11" s="6" customFormat="1" x14ac:dyDescent="0.3">
      <c r="A927" s="7"/>
      <c r="E927" s="8"/>
      <c r="F927" s="8"/>
      <c r="H927" s="9"/>
      <c r="J927" s="10"/>
      <c r="K927" s="10"/>
    </row>
    <row r="928" spans="1:11" s="6" customFormat="1" x14ac:dyDescent="0.3">
      <c r="A928" s="7"/>
      <c r="E928" s="8"/>
      <c r="F928" s="8"/>
      <c r="H928" s="9"/>
      <c r="J928" s="10"/>
      <c r="K928" s="10"/>
    </row>
    <row r="929" spans="1:11" s="6" customFormat="1" x14ac:dyDescent="0.3">
      <c r="A929" s="7"/>
      <c r="E929" s="8"/>
      <c r="F929" s="8"/>
      <c r="H929" s="9"/>
      <c r="J929" s="10"/>
      <c r="K929" s="10"/>
    </row>
    <row r="930" spans="1:11" s="6" customFormat="1" x14ac:dyDescent="0.3">
      <c r="A930" s="7"/>
      <c r="E930" s="8"/>
      <c r="F930" s="8"/>
      <c r="H930" s="9"/>
      <c r="J930" s="10"/>
      <c r="K930" s="10"/>
    </row>
    <row r="931" spans="1:11" s="6" customFormat="1" x14ac:dyDescent="0.3">
      <c r="A931" s="7"/>
      <c r="E931" s="8"/>
      <c r="F931" s="8"/>
      <c r="H931" s="9"/>
      <c r="J931" s="10"/>
      <c r="K931" s="10"/>
    </row>
    <row r="932" spans="1:11" s="6" customFormat="1" x14ac:dyDescent="0.3">
      <c r="A932" s="7"/>
      <c r="E932" s="8"/>
      <c r="F932" s="8"/>
      <c r="H932" s="9"/>
      <c r="J932" s="10"/>
      <c r="K932" s="10"/>
    </row>
    <row r="933" spans="1:11" s="6" customFormat="1" x14ac:dyDescent="0.3">
      <c r="A933" s="7"/>
      <c r="E933" s="8"/>
      <c r="F933" s="8"/>
      <c r="H933" s="9"/>
      <c r="J933" s="10"/>
      <c r="K933" s="10"/>
    </row>
    <row r="934" spans="1:11" s="6" customFormat="1" x14ac:dyDescent="0.3">
      <c r="A934" s="7"/>
      <c r="E934" s="8"/>
      <c r="F934" s="8"/>
      <c r="H934" s="9"/>
      <c r="J934" s="10"/>
      <c r="K934" s="10"/>
    </row>
    <row r="935" spans="1:11" s="6" customFormat="1" x14ac:dyDescent="0.3">
      <c r="A935" s="7"/>
      <c r="E935" s="8"/>
      <c r="F935" s="8"/>
      <c r="H935" s="9"/>
      <c r="J935" s="10"/>
      <c r="K935" s="10"/>
    </row>
    <row r="936" spans="1:11" s="6" customFormat="1" x14ac:dyDescent="0.3">
      <c r="A936" s="7"/>
      <c r="E936" s="8"/>
      <c r="F936" s="8"/>
      <c r="H936" s="9"/>
      <c r="J936" s="10"/>
      <c r="K936" s="10"/>
    </row>
    <row r="937" spans="1:11" s="6" customFormat="1" x14ac:dyDescent="0.3">
      <c r="A937" s="7"/>
      <c r="E937" s="8"/>
      <c r="F937" s="8"/>
      <c r="H937" s="9"/>
      <c r="J937" s="10"/>
      <c r="K937" s="10"/>
    </row>
    <row r="938" spans="1:11" s="6" customFormat="1" x14ac:dyDescent="0.3">
      <c r="A938" s="7"/>
      <c r="E938" s="8"/>
      <c r="F938" s="8"/>
      <c r="H938" s="9"/>
      <c r="J938" s="10"/>
      <c r="K938" s="10"/>
    </row>
    <row r="939" spans="1:11" s="6" customFormat="1" x14ac:dyDescent="0.3">
      <c r="A939" s="7"/>
      <c r="E939" s="8"/>
      <c r="F939" s="8"/>
      <c r="H939" s="9"/>
      <c r="J939" s="10"/>
      <c r="K939" s="10"/>
    </row>
    <row r="940" spans="1:11" s="6" customFormat="1" x14ac:dyDescent="0.3">
      <c r="A940" s="7"/>
      <c r="E940" s="8"/>
      <c r="F940" s="8"/>
      <c r="H940" s="9"/>
      <c r="J940" s="10"/>
      <c r="K940" s="10"/>
    </row>
    <row r="941" spans="1:11" s="6" customFormat="1" x14ac:dyDescent="0.3">
      <c r="A941" s="7"/>
      <c r="E941" s="8"/>
      <c r="F941" s="8"/>
      <c r="H941" s="9"/>
      <c r="J941" s="10"/>
      <c r="K941" s="10"/>
    </row>
    <row r="942" spans="1:11" s="6" customFormat="1" x14ac:dyDescent="0.3">
      <c r="A942" s="7"/>
      <c r="E942" s="8"/>
      <c r="F942" s="8"/>
      <c r="H942" s="9"/>
      <c r="J942" s="10"/>
      <c r="K942" s="10"/>
    </row>
    <row r="943" spans="1:11" s="6" customFormat="1" x14ac:dyDescent="0.3">
      <c r="A943" s="7"/>
      <c r="E943" s="8"/>
      <c r="F943" s="8"/>
      <c r="H943" s="9"/>
      <c r="J943" s="10"/>
      <c r="K943" s="10"/>
    </row>
    <row r="944" spans="1:11" s="6" customFormat="1" x14ac:dyDescent="0.3">
      <c r="A944" s="7"/>
      <c r="E944" s="8"/>
      <c r="F944" s="8"/>
      <c r="H944" s="9"/>
      <c r="J944" s="10"/>
      <c r="K944" s="10"/>
    </row>
    <row r="945" spans="1:11" s="6" customFormat="1" x14ac:dyDescent="0.3">
      <c r="A945" s="7"/>
      <c r="E945" s="8"/>
      <c r="F945" s="8"/>
      <c r="H945" s="9"/>
      <c r="J945" s="10"/>
      <c r="K945" s="10"/>
    </row>
    <row r="946" spans="1:11" s="6" customFormat="1" x14ac:dyDescent="0.3">
      <c r="A946" s="7"/>
      <c r="E946" s="8"/>
      <c r="F946" s="8"/>
      <c r="H946" s="9"/>
      <c r="J946" s="10"/>
      <c r="K946" s="10"/>
    </row>
    <row r="947" spans="1:11" s="6" customFormat="1" x14ac:dyDescent="0.3">
      <c r="A947" s="7"/>
      <c r="E947" s="8"/>
      <c r="F947" s="8"/>
      <c r="H947" s="9"/>
      <c r="J947" s="10"/>
      <c r="K947" s="10"/>
    </row>
    <row r="948" spans="1:11" s="6" customFormat="1" x14ac:dyDescent="0.3">
      <c r="A948" s="7"/>
      <c r="E948" s="8"/>
      <c r="F948" s="8"/>
      <c r="H948" s="9"/>
      <c r="J948" s="10"/>
      <c r="K948" s="10"/>
    </row>
    <row r="949" spans="1:11" s="6" customFormat="1" x14ac:dyDescent="0.3">
      <c r="A949" s="7"/>
      <c r="E949" s="8"/>
      <c r="F949" s="8"/>
      <c r="H949" s="9"/>
      <c r="J949" s="10"/>
      <c r="K949" s="10"/>
    </row>
    <row r="950" spans="1:11" s="6" customFormat="1" x14ac:dyDescent="0.3">
      <c r="A950" s="7"/>
      <c r="E950" s="8"/>
      <c r="F950" s="8"/>
      <c r="H950" s="9"/>
      <c r="J950" s="10"/>
      <c r="K950" s="10"/>
    </row>
    <row r="951" spans="1:11" s="6" customFormat="1" x14ac:dyDescent="0.3">
      <c r="A951" s="7"/>
      <c r="E951" s="8"/>
      <c r="F951" s="8"/>
      <c r="H951" s="9"/>
      <c r="J951" s="10"/>
      <c r="K951" s="10"/>
    </row>
    <row r="952" spans="1:11" s="6" customFormat="1" x14ac:dyDescent="0.3">
      <c r="A952" s="7"/>
      <c r="E952" s="8"/>
      <c r="F952" s="8"/>
      <c r="H952" s="9"/>
      <c r="J952" s="10"/>
      <c r="K952" s="10"/>
    </row>
    <row r="953" spans="1:11" s="6" customFormat="1" x14ac:dyDescent="0.3">
      <c r="A953" s="7"/>
      <c r="E953" s="8"/>
      <c r="F953" s="8"/>
      <c r="H953" s="9"/>
      <c r="J953" s="10"/>
      <c r="K953" s="10"/>
    </row>
    <row r="954" spans="1:11" s="6" customFormat="1" x14ac:dyDescent="0.3">
      <c r="A954" s="7"/>
      <c r="E954" s="8"/>
      <c r="F954" s="8"/>
      <c r="H954" s="9"/>
      <c r="J954" s="10"/>
      <c r="K954" s="10"/>
    </row>
    <row r="955" spans="1:11" s="6" customFormat="1" x14ac:dyDescent="0.3">
      <c r="A955" s="7"/>
      <c r="E955" s="8"/>
      <c r="F955" s="8"/>
      <c r="H955" s="9"/>
      <c r="J955" s="10"/>
      <c r="K955" s="10"/>
    </row>
    <row r="956" spans="1:11" s="6" customFormat="1" x14ac:dyDescent="0.3">
      <c r="A956" s="7"/>
      <c r="E956" s="8"/>
      <c r="F956" s="8"/>
      <c r="H956" s="9"/>
      <c r="J956" s="10"/>
      <c r="K956" s="10"/>
    </row>
    <row r="957" spans="1:11" s="6" customFormat="1" x14ac:dyDescent="0.3">
      <c r="A957" s="16"/>
      <c r="B957" s="17"/>
      <c r="C957" s="17"/>
      <c r="D957" s="17"/>
      <c r="E957" s="18"/>
      <c r="F957" s="18"/>
      <c r="G957" s="17"/>
      <c r="H957" s="19"/>
      <c r="I957" s="17"/>
      <c r="J957" s="20"/>
      <c r="K957" s="20"/>
    </row>
    <row r="958" spans="1:11" s="6" customFormat="1" x14ac:dyDescent="0.3">
      <c r="A958" s="16"/>
      <c r="B958" s="17"/>
      <c r="C958" s="17"/>
      <c r="D958" s="17"/>
      <c r="E958" s="18"/>
      <c r="F958" s="18"/>
      <c r="G958" s="17"/>
      <c r="H958" s="19"/>
      <c r="I958" s="17"/>
      <c r="J958" s="20"/>
      <c r="K958" s="20"/>
    </row>
    <row r="959" spans="1:11" s="6" customFormat="1" x14ac:dyDescent="0.3">
      <c r="A959" s="16"/>
      <c r="B959" s="17"/>
      <c r="C959" s="17"/>
      <c r="D959" s="17"/>
      <c r="E959" s="18"/>
      <c r="F959" s="18"/>
      <c r="G959" s="17"/>
      <c r="H959" s="19"/>
      <c r="I959" s="17"/>
      <c r="J959" s="20"/>
      <c r="K959" s="20"/>
    </row>
    <row r="960" spans="1:11" s="6" customFormat="1" x14ac:dyDescent="0.3">
      <c r="A960" s="16"/>
      <c r="B960" s="17"/>
      <c r="C960" s="17"/>
      <c r="D960" s="17"/>
      <c r="E960" s="18"/>
      <c r="F960" s="18"/>
      <c r="G960" s="17"/>
      <c r="H960" s="19"/>
      <c r="I960" s="17"/>
      <c r="J960" s="20"/>
      <c r="K960" s="20"/>
    </row>
    <row r="961" spans="1:11" s="6" customFormat="1" x14ac:dyDescent="0.3">
      <c r="A961" s="16"/>
      <c r="B961" s="17"/>
      <c r="C961" s="17"/>
      <c r="D961" s="17"/>
      <c r="E961" s="18"/>
      <c r="F961" s="18"/>
      <c r="G961" s="17"/>
      <c r="H961" s="19"/>
      <c r="I961" s="17"/>
      <c r="J961" s="20"/>
      <c r="K961" s="20"/>
    </row>
    <row r="962" spans="1:11" s="6" customFormat="1" x14ac:dyDescent="0.3">
      <c r="A962" s="16"/>
      <c r="B962" s="17"/>
      <c r="C962" s="17"/>
      <c r="D962" s="17"/>
      <c r="E962" s="18"/>
      <c r="F962" s="18"/>
      <c r="G962" s="17"/>
      <c r="H962" s="19"/>
      <c r="I962" s="17"/>
      <c r="J962" s="20"/>
      <c r="K962" s="20"/>
    </row>
    <row r="963" spans="1:11" s="6" customFormat="1" x14ac:dyDescent="0.3">
      <c r="A963" s="16"/>
      <c r="B963" s="17"/>
      <c r="C963" s="17"/>
      <c r="D963" s="17"/>
      <c r="E963" s="18"/>
      <c r="F963" s="18"/>
      <c r="G963" s="17"/>
      <c r="H963" s="19"/>
      <c r="I963" s="17"/>
      <c r="J963" s="20"/>
      <c r="K963" s="20"/>
    </row>
    <row r="964" spans="1:11" s="6" customFormat="1" x14ac:dyDescent="0.3">
      <c r="A964" s="16"/>
      <c r="B964" s="17"/>
      <c r="C964" s="17"/>
      <c r="D964" s="17"/>
      <c r="E964" s="18"/>
      <c r="F964" s="18"/>
      <c r="G964" s="17"/>
      <c r="H964" s="19"/>
      <c r="I964" s="17"/>
      <c r="J964" s="20"/>
      <c r="K964" s="20"/>
    </row>
    <row r="965" spans="1:11" s="6" customFormat="1" x14ac:dyDescent="0.3">
      <c r="A965" s="16"/>
      <c r="B965" s="17"/>
      <c r="C965" s="17"/>
      <c r="D965" s="17"/>
      <c r="E965" s="18"/>
      <c r="F965" s="18"/>
      <c r="G965" s="17"/>
      <c r="H965" s="19"/>
      <c r="I965" s="17"/>
      <c r="J965" s="20"/>
      <c r="K965" s="20"/>
    </row>
    <row r="966" spans="1:11" s="6" customFormat="1" x14ac:dyDescent="0.3">
      <c r="A966" s="16"/>
      <c r="B966" s="17"/>
      <c r="C966" s="17"/>
      <c r="D966" s="17"/>
      <c r="E966" s="18"/>
      <c r="F966" s="18"/>
      <c r="G966" s="17"/>
      <c r="H966" s="19"/>
      <c r="I966" s="17"/>
      <c r="J966" s="20"/>
      <c r="K966" s="20"/>
    </row>
    <row r="967" spans="1:11" s="6" customFormat="1" x14ac:dyDescent="0.3">
      <c r="A967" s="16"/>
      <c r="B967" s="17"/>
      <c r="C967" s="17"/>
      <c r="D967" s="17"/>
      <c r="E967" s="18"/>
      <c r="F967" s="18"/>
      <c r="G967" s="17"/>
      <c r="H967" s="19"/>
      <c r="I967" s="17"/>
      <c r="J967" s="20"/>
      <c r="K967" s="20"/>
    </row>
    <row r="968" spans="1:11" s="6" customFormat="1" x14ac:dyDescent="0.3">
      <c r="A968" s="16"/>
      <c r="B968" s="17"/>
      <c r="C968" s="17"/>
      <c r="D968" s="17"/>
      <c r="E968" s="18"/>
      <c r="F968" s="18"/>
      <c r="G968" s="17"/>
      <c r="H968" s="19"/>
      <c r="I968" s="17"/>
      <c r="J968" s="20"/>
      <c r="K968" s="20"/>
    </row>
    <row r="969" spans="1:11" s="6" customFormat="1" x14ac:dyDescent="0.3">
      <c r="A969" s="16"/>
      <c r="B969" s="17"/>
      <c r="C969" s="17"/>
      <c r="D969" s="17"/>
      <c r="E969" s="18"/>
      <c r="F969" s="18"/>
      <c r="G969" s="17"/>
      <c r="H969" s="19"/>
      <c r="I969" s="17"/>
      <c r="J969" s="20"/>
      <c r="K969" s="20"/>
    </row>
    <row r="970" spans="1:11" s="6" customFormat="1" x14ac:dyDescent="0.3">
      <c r="A970" s="16"/>
      <c r="B970" s="17"/>
      <c r="C970" s="17"/>
      <c r="D970" s="17"/>
      <c r="E970" s="18"/>
      <c r="F970" s="18"/>
      <c r="G970" s="17"/>
      <c r="H970" s="19"/>
      <c r="I970" s="17"/>
      <c r="J970" s="20"/>
      <c r="K970" s="20"/>
    </row>
    <row r="971" spans="1:11" s="6" customFormat="1" x14ac:dyDescent="0.3">
      <c r="A971" s="16"/>
      <c r="B971" s="17"/>
      <c r="C971" s="17"/>
      <c r="D971" s="17"/>
      <c r="E971" s="18"/>
      <c r="F971" s="18"/>
      <c r="G971" s="17"/>
      <c r="H971" s="19"/>
      <c r="I971" s="17"/>
      <c r="J971" s="20"/>
      <c r="K971" s="20"/>
    </row>
    <row r="972" spans="1:11" s="6" customFormat="1" x14ac:dyDescent="0.3">
      <c r="A972" s="16"/>
      <c r="B972" s="17"/>
      <c r="C972" s="17"/>
      <c r="D972" s="17"/>
      <c r="E972" s="18"/>
      <c r="F972" s="18"/>
      <c r="G972" s="17"/>
      <c r="H972" s="19"/>
      <c r="I972" s="17"/>
      <c r="J972" s="20"/>
      <c r="K972" s="20"/>
    </row>
    <row r="973" spans="1:11" s="6" customFormat="1" x14ac:dyDescent="0.3">
      <c r="A973" s="16"/>
      <c r="B973" s="17"/>
      <c r="C973" s="17"/>
      <c r="D973" s="17"/>
      <c r="E973" s="18"/>
      <c r="F973" s="18"/>
      <c r="G973" s="17"/>
      <c r="H973" s="19"/>
      <c r="I973" s="17"/>
      <c r="J973" s="20"/>
      <c r="K973" s="20"/>
    </row>
    <row r="974" spans="1:11" s="6" customFormat="1" x14ac:dyDescent="0.3">
      <c r="A974" s="16"/>
      <c r="B974" s="17"/>
      <c r="C974" s="17"/>
      <c r="D974" s="17"/>
      <c r="E974" s="18"/>
      <c r="F974" s="18"/>
      <c r="G974" s="17"/>
      <c r="H974" s="19"/>
      <c r="I974" s="17"/>
      <c r="J974" s="20"/>
      <c r="K974" s="20"/>
    </row>
    <row r="975" spans="1:11" s="6" customFormat="1" x14ac:dyDescent="0.3">
      <c r="A975" s="16"/>
      <c r="B975" s="17"/>
      <c r="C975" s="17"/>
      <c r="D975" s="17"/>
      <c r="E975" s="18"/>
      <c r="F975" s="18"/>
      <c r="G975" s="17"/>
      <c r="H975" s="19"/>
      <c r="I975" s="17"/>
      <c r="J975" s="20"/>
      <c r="K975" s="20"/>
    </row>
    <row r="976" spans="1:11" s="6" customFormat="1" x14ac:dyDescent="0.3">
      <c r="A976" s="16"/>
      <c r="B976" s="17"/>
      <c r="C976" s="17"/>
      <c r="D976" s="17"/>
      <c r="E976" s="18"/>
      <c r="F976" s="18"/>
      <c r="G976" s="17"/>
      <c r="H976" s="19"/>
      <c r="I976" s="17"/>
      <c r="J976" s="20"/>
      <c r="K976" s="20"/>
    </row>
    <row r="977" spans="1:11" s="6" customFormat="1" x14ac:dyDescent="0.3">
      <c r="A977" s="16"/>
      <c r="B977" s="17"/>
      <c r="C977" s="17"/>
      <c r="D977" s="17"/>
      <c r="E977" s="18"/>
      <c r="F977" s="18"/>
      <c r="G977" s="17"/>
      <c r="H977" s="19"/>
      <c r="I977" s="17"/>
      <c r="J977" s="20"/>
      <c r="K977" s="20"/>
    </row>
    <row r="978" spans="1:11" s="6" customFormat="1" x14ac:dyDescent="0.3">
      <c r="A978" s="16"/>
      <c r="B978" s="17"/>
      <c r="C978" s="17"/>
      <c r="D978" s="17"/>
      <c r="E978" s="18"/>
      <c r="F978" s="18"/>
      <c r="G978" s="17"/>
      <c r="H978" s="19"/>
      <c r="I978" s="17"/>
      <c r="J978" s="20"/>
      <c r="K978" s="20"/>
    </row>
    <row r="979" spans="1:11" s="6" customFormat="1" x14ac:dyDescent="0.3">
      <c r="A979" s="16"/>
      <c r="B979" s="17"/>
      <c r="C979" s="17"/>
      <c r="D979" s="17"/>
      <c r="E979" s="18"/>
      <c r="F979" s="18"/>
      <c r="G979" s="17"/>
      <c r="H979" s="19"/>
      <c r="I979" s="17"/>
      <c r="J979" s="20"/>
      <c r="K979" s="20"/>
    </row>
    <row r="980" spans="1:11" s="6" customFormat="1" x14ac:dyDescent="0.3">
      <c r="A980" s="16"/>
      <c r="B980" s="17"/>
      <c r="C980" s="17"/>
      <c r="D980" s="17"/>
      <c r="E980" s="18"/>
      <c r="F980" s="18"/>
      <c r="G980" s="17"/>
      <c r="H980" s="19"/>
      <c r="I980" s="17"/>
      <c r="J980" s="20"/>
      <c r="K980" s="20"/>
    </row>
    <row r="981" spans="1:11" s="6" customFormat="1" x14ac:dyDescent="0.3">
      <c r="A981" s="16"/>
      <c r="B981" s="17"/>
      <c r="C981" s="17"/>
      <c r="D981" s="17"/>
      <c r="E981" s="18"/>
      <c r="F981" s="18"/>
      <c r="G981" s="17"/>
      <c r="H981" s="19"/>
      <c r="I981" s="17"/>
      <c r="J981" s="20"/>
      <c r="K981" s="20"/>
    </row>
    <row r="982" spans="1:11" s="6" customFormat="1" x14ac:dyDescent="0.3">
      <c r="A982" s="16"/>
      <c r="B982" s="17"/>
      <c r="C982" s="17"/>
      <c r="D982" s="17"/>
      <c r="E982" s="18"/>
      <c r="F982" s="18"/>
      <c r="G982" s="17"/>
      <c r="H982" s="19"/>
      <c r="I982" s="17"/>
      <c r="J982" s="20"/>
      <c r="K982" s="20"/>
    </row>
    <row r="983" spans="1:11" s="6" customFormat="1" x14ac:dyDescent="0.3">
      <c r="A983" s="16"/>
      <c r="B983" s="17"/>
      <c r="C983" s="17"/>
      <c r="D983" s="17"/>
      <c r="E983" s="18"/>
      <c r="F983" s="18"/>
      <c r="G983" s="17"/>
      <c r="H983" s="19"/>
      <c r="I983" s="17"/>
      <c r="J983" s="20"/>
      <c r="K983" s="20"/>
    </row>
    <row r="984" spans="1:11" s="6" customFormat="1" x14ac:dyDescent="0.3">
      <c r="A984" s="16"/>
      <c r="B984" s="17"/>
      <c r="C984" s="17"/>
      <c r="D984" s="17"/>
      <c r="E984" s="18"/>
      <c r="F984" s="18"/>
      <c r="G984" s="17"/>
      <c r="H984" s="19"/>
      <c r="I984" s="17"/>
      <c r="J984" s="20"/>
      <c r="K984" s="20"/>
    </row>
    <row r="985" spans="1:11" s="6" customFormat="1" x14ac:dyDescent="0.3">
      <c r="A985" s="16"/>
      <c r="B985" s="17"/>
      <c r="C985" s="17"/>
      <c r="D985" s="17"/>
      <c r="E985" s="18"/>
      <c r="F985" s="18"/>
      <c r="G985" s="17"/>
      <c r="H985" s="19"/>
      <c r="I985" s="17"/>
      <c r="J985" s="20"/>
      <c r="K985" s="20"/>
    </row>
    <row r="986" spans="1:11" s="6" customFormat="1" x14ac:dyDescent="0.3">
      <c r="A986" s="16"/>
      <c r="B986" s="17"/>
      <c r="C986" s="17"/>
      <c r="D986" s="17"/>
      <c r="E986" s="18"/>
      <c r="F986" s="18"/>
      <c r="G986" s="17"/>
      <c r="H986" s="19"/>
      <c r="I986" s="17"/>
      <c r="J986" s="20"/>
      <c r="K986" s="20"/>
    </row>
    <row r="987" spans="1:11" s="6" customFormat="1" x14ac:dyDescent="0.3">
      <c r="A987" s="16"/>
      <c r="B987" s="17"/>
      <c r="C987" s="17"/>
      <c r="D987" s="17"/>
      <c r="E987" s="18"/>
      <c r="F987" s="18"/>
      <c r="G987" s="17"/>
      <c r="H987" s="19"/>
      <c r="I987" s="17"/>
      <c r="J987" s="20"/>
      <c r="K987" s="20"/>
    </row>
    <row r="988" spans="1:11" s="6" customFormat="1" x14ac:dyDescent="0.3">
      <c r="A988" s="16"/>
      <c r="B988" s="17"/>
      <c r="C988" s="17"/>
      <c r="D988" s="17"/>
      <c r="E988" s="18"/>
      <c r="F988" s="18"/>
      <c r="G988" s="17"/>
      <c r="H988" s="19"/>
      <c r="I988" s="17"/>
      <c r="J988" s="20"/>
      <c r="K988" s="20"/>
    </row>
    <row r="989" spans="1:11" s="6" customFormat="1" x14ac:dyDescent="0.3">
      <c r="A989" s="16"/>
      <c r="B989" s="17"/>
      <c r="C989" s="17"/>
      <c r="D989" s="17"/>
      <c r="E989" s="18"/>
      <c r="F989" s="18"/>
      <c r="G989" s="17"/>
      <c r="H989" s="19"/>
      <c r="I989" s="17"/>
      <c r="J989" s="20"/>
      <c r="K989" s="20"/>
    </row>
    <row r="990" spans="1:11" s="6" customFormat="1" x14ac:dyDescent="0.3">
      <c r="A990" s="16"/>
      <c r="B990" s="17"/>
      <c r="C990" s="17"/>
      <c r="D990" s="17"/>
      <c r="E990" s="18"/>
      <c r="F990" s="18"/>
      <c r="G990" s="17"/>
      <c r="H990" s="19"/>
      <c r="I990" s="17"/>
      <c r="J990" s="20"/>
      <c r="K990" s="20"/>
    </row>
    <row r="991" spans="1:11" s="6" customFormat="1" x14ac:dyDescent="0.3">
      <c r="A991" s="16"/>
      <c r="B991" s="17"/>
      <c r="C991" s="17"/>
      <c r="D991" s="17"/>
      <c r="E991" s="18"/>
      <c r="F991" s="18"/>
      <c r="G991" s="17"/>
      <c r="H991" s="19"/>
      <c r="I991" s="17"/>
      <c r="J991" s="20"/>
      <c r="K991" s="20"/>
    </row>
    <row r="992" spans="1:11" s="6" customFormat="1" x14ac:dyDescent="0.3">
      <c r="A992" s="16"/>
      <c r="B992" s="17"/>
      <c r="C992" s="17"/>
      <c r="D992" s="17"/>
      <c r="E992" s="18"/>
      <c r="F992" s="18"/>
      <c r="G992" s="17"/>
      <c r="H992" s="19"/>
      <c r="I992" s="17"/>
      <c r="J992" s="20"/>
      <c r="K992" s="20"/>
    </row>
    <row r="993" spans="1:11" s="6" customFormat="1" x14ac:dyDescent="0.3">
      <c r="A993" s="16"/>
      <c r="B993" s="17"/>
      <c r="C993" s="17"/>
      <c r="D993" s="17"/>
      <c r="E993" s="18"/>
      <c r="F993" s="18"/>
      <c r="G993" s="17"/>
      <c r="H993" s="19"/>
      <c r="I993" s="17"/>
      <c r="J993" s="20"/>
      <c r="K993" s="20"/>
    </row>
    <row r="994" spans="1:11" s="6" customFormat="1" x14ac:dyDescent="0.3">
      <c r="A994" s="16"/>
      <c r="B994" s="17"/>
      <c r="C994" s="17"/>
      <c r="D994" s="17"/>
      <c r="E994" s="18"/>
      <c r="F994" s="18"/>
      <c r="G994" s="17"/>
      <c r="H994" s="19"/>
      <c r="I994" s="17"/>
      <c r="J994" s="20"/>
      <c r="K994" s="20"/>
    </row>
    <row r="995" spans="1:11" s="6" customFormat="1" x14ac:dyDescent="0.3">
      <c r="A995" s="16"/>
      <c r="B995" s="17"/>
      <c r="C995" s="17"/>
      <c r="D995" s="17"/>
      <c r="E995" s="18"/>
      <c r="F995" s="18"/>
      <c r="G995" s="17"/>
      <c r="H995" s="19"/>
      <c r="I995" s="17"/>
      <c r="J995" s="20"/>
      <c r="K995" s="20"/>
    </row>
    <row r="996" spans="1:11" s="6" customFormat="1" x14ac:dyDescent="0.3">
      <c r="A996" s="16"/>
      <c r="B996" s="17"/>
      <c r="C996" s="17"/>
      <c r="D996" s="17"/>
      <c r="E996" s="18"/>
      <c r="F996" s="18"/>
      <c r="G996" s="17"/>
      <c r="H996" s="19"/>
      <c r="I996" s="17"/>
      <c r="J996" s="20"/>
      <c r="K996" s="20"/>
    </row>
    <row r="997" spans="1:11" s="6" customFormat="1" x14ac:dyDescent="0.3">
      <c r="A997" s="16"/>
      <c r="B997" s="17"/>
      <c r="C997" s="17"/>
      <c r="D997" s="17"/>
      <c r="E997" s="18"/>
      <c r="F997" s="18"/>
      <c r="G997" s="17"/>
      <c r="H997" s="19"/>
      <c r="I997" s="17"/>
      <c r="J997" s="20"/>
      <c r="K997" s="20"/>
    </row>
    <row r="998" spans="1:11" s="6" customFormat="1" x14ac:dyDescent="0.3">
      <c r="A998" s="16"/>
      <c r="B998" s="17"/>
      <c r="C998" s="17"/>
      <c r="D998" s="17"/>
      <c r="E998" s="18"/>
      <c r="F998" s="18"/>
      <c r="G998" s="17"/>
      <c r="H998" s="19"/>
      <c r="I998" s="17"/>
      <c r="J998" s="20"/>
      <c r="K998" s="20"/>
    </row>
    <row r="999" spans="1:11" s="6" customFormat="1" x14ac:dyDescent="0.3">
      <c r="A999" s="16"/>
      <c r="B999" s="17"/>
      <c r="C999" s="17"/>
      <c r="D999" s="17"/>
      <c r="E999" s="18"/>
      <c r="F999" s="18"/>
      <c r="G999" s="17"/>
      <c r="H999" s="19"/>
      <c r="I999" s="17"/>
      <c r="J999" s="20"/>
      <c r="K999" s="20"/>
    </row>
    <row r="1000" spans="1:11" s="6" customFormat="1" x14ac:dyDescent="0.3">
      <c r="A1000" s="16"/>
      <c r="B1000" s="17"/>
      <c r="C1000" s="17"/>
      <c r="D1000" s="17"/>
      <c r="E1000" s="18"/>
      <c r="F1000" s="18"/>
      <c r="G1000" s="17"/>
      <c r="H1000" s="19"/>
      <c r="I1000" s="17"/>
      <c r="J1000" s="20"/>
      <c r="K1000" s="20"/>
    </row>
    <row r="1001" spans="1:11" s="6" customFormat="1" x14ac:dyDescent="0.3">
      <c r="A1001" s="16"/>
      <c r="B1001" s="17"/>
      <c r="C1001" s="17"/>
      <c r="D1001" s="17"/>
      <c r="E1001" s="18"/>
      <c r="F1001" s="18"/>
      <c r="G1001" s="17"/>
      <c r="H1001" s="19"/>
      <c r="I1001" s="17"/>
      <c r="J1001" s="20"/>
      <c r="K1001" s="20"/>
    </row>
    <row r="1002" spans="1:11" s="6" customFormat="1" x14ac:dyDescent="0.3">
      <c r="A1002" s="16"/>
      <c r="B1002" s="17"/>
      <c r="C1002" s="17"/>
      <c r="D1002" s="17"/>
      <c r="E1002" s="18"/>
      <c r="F1002" s="18"/>
      <c r="G1002" s="17"/>
      <c r="H1002" s="19"/>
      <c r="I1002" s="17"/>
      <c r="J1002" s="20"/>
      <c r="K1002" s="20"/>
    </row>
    <row r="1003" spans="1:11" s="6" customFormat="1" x14ac:dyDescent="0.3">
      <c r="A1003" s="16"/>
      <c r="B1003" s="17"/>
      <c r="C1003" s="17"/>
      <c r="D1003" s="17"/>
      <c r="E1003" s="18"/>
      <c r="F1003" s="18"/>
      <c r="G1003" s="17"/>
      <c r="H1003" s="19"/>
      <c r="I1003" s="17"/>
      <c r="J1003" s="20"/>
      <c r="K1003" s="20"/>
    </row>
    <row r="1004" spans="1:11" s="6" customFormat="1" x14ac:dyDescent="0.3">
      <c r="A1004" s="16"/>
      <c r="B1004" s="17"/>
      <c r="C1004" s="17"/>
      <c r="D1004" s="17"/>
      <c r="E1004" s="18"/>
      <c r="F1004" s="18"/>
      <c r="G1004" s="17"/>
      <c r="H1004" s="19"/>
      <c r="I1004" s="17"/>
      <c r="J1004" s="20"/>
      <c r="K1004" s="20"/>
    </row>
    <row r="1005" spans="1:11" s="6" customFormat="1" x14ac:dyDescent="0.3">
      <c r="A1005" s="16"/>
      <c r="B1005" s="17"/>
      <c r="C1005" s="17"/>
      <c r="D1005" s="17"/>
      <c r="E1005" s="18"/>
      <c r="F1005" s="18"/>
      <c r="G1005" s="17"/>
      <c r="H1005" s="19"/>
      <c r="I1005" s="17"/>
      <c r="J1005" s="20"/>
      <c r="K1005" s="20"/>
    </row>
    <row r="1006" spans="1:11" s="6" customFormat="1" x14ac:dyDescent="0.3">
      <c r="A1006" s="16"/>
      <c r="B1006" s="17"/>
      <c r="C1006" s="17"/>
      <c r="D1006" s="17"/>
      <c r="E1006" s="18"/>
      <c r="F1006" s="18"/>
      <c r="G1006" s="17"/>
      <c r="H1006" s="19"/>
      <c r="I1006" s="17"/>
      <c r="J1006" s="20"/>
      <c r="K1006" s="2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3">
      <c r="A2" s="23" t="s">
        <v>19</v>
      </c>
      <c r="B2" s="24">
        <v>460</v>
      </c>
      <c r="C2" s="24">
        <v>610</v>
      </c>
      <c r="D2" s="25">
        <v>660</v>
      </c>
      <c r="E2" s="24">
        <f t="shared" ref="E2:E28" si="0">AVERAGE(B2:D2)</f>
        <v>576.66666666666663</v>
      </c>
      <c r="F2" s="24">
        <f t="shared" ref="F2:F28" si="1">MAX(B2:D2)</f>
        <v>660</v>
      </c>
      <c r="G2" s="26">
        <v>0</v>
      </c>
      <c r="H2" s="25">
        <v>0</v>
      </c>
    </row>
    <row r="3" spans="1:8" x14ac:dyDescent="0.3">
      <c r="A3" s="23" t="s">
        <v>19</v>
      </c>
      <c r="B3" s="24">
        <v>125</v>
      </c>
      <c r="C3" s="24">
        <v>125</v>
      </c>
      <c r="D3" s="25">
        <v>125</v>
      </c>
      <c r="E3" s="24">
        <f t="shared" si="0"/>
        <v>125</v>
      </c>
      <c r="F3" s="24">
        <f t="shared" si="1"/>
        <v>125</v>
      </c>
      <c r="G3" s="26">
        <v>53.166666666666664</v>
      </c>
      <c r="H3" s="25">
        <v>209</v>
      </c>
    </row>
    <row r="4" spans="1:8" x14ac:dyDescent="0.3">
      <c r="A4" s="27" t="s">
        <v>11</v>
      </c>
      <c r="B4" s="24">
        <v>8010</v>
      </c>
      <c r="C4" s="24">
        <v>8510</v>
      </c>
      <c r="D4" s="25">
        <v>9510</v>
      </c>
      <c r="E4" s="24">
        <f t="shared" si="0"/>
        <v>8676.6666666666661</v>
      </c>
      <c r="F4" s="24">
        <f t="shared" si="1"/>
        <v>9510</v>
      </c>
      <c r="G4" s="26">
        <v>7759.083333333333</v>
      </c>
      <c r="H4" s="25">
        <v>11340</v>
      </c>
    </row>
    <row r="5" spans="1:8" x14ac:dyDescent="0.3">
      <c r="A5" s="27" t="s">
        <v>11</v>
      </c>
      <c r="B5" s="24">
        <v>1010</v>
      </c>
      <c r="C5" s="24">
        <v>1360</v>
      </c>
      <c r="D5" s="25">
        <v>1660</v>
      </c>
      <c r="E5" s="24">
        <f t="shared" si="0"/>
        <v>1343.3333333333333</v>
      </c>
      <c r="F5" s="24">
        <f t="shared" si="1"/>
        <v>1660</v>
      </c>
      <c r="G5" s="26">
        <v>1251.9166666666667</v>
      </c>
      <c r="H5" s="25">
        <v>2513</v>
      </c>
    </row>
    <row r="6" spans="1:8" x14ac:dyDescent="0.3">
      <c r="A6" s="27" t="s">
        <v>11</v>
      </c>
      <c r="B6" s="24">
        <v>560</v>
      </c>
      <c r="C6" s="24">
        <v>560</v>
      </c>
      <c r="D6" s="25">
        <v>660</v>
      </c>
      <c r="E6" s="24">
        <f t="shared" si="0"/>
        <v>593.33333333333337</v>
      </c>
      <c r="F6" s="24">
        <f t="shared" si="1"/>
        <v>660</v>
      </c>
      <c r="G6" s="26">
        <v>612.91666666666663</v>
      </c>
      <c r="H6" s="25">
        <v>994</v>
      </c>
    </row>
    <row r="7" spans="1:8" x14ac:dyDescent="0.3">
      <c r="A7" s="27" t="s">
        <v>18</v>
      </c>
      <c r="B7" s="24">
        <v>150</v>
      </c>
      <c r="C7" s="24">
        <v>150</v>
      </c>
      <c r="D7" s="25">
        <v>250</v>
      </c>
      <c r="E7" s="24">
        <f t="shared" si="0"/>
        <v>183.33333333333334</v>
      </c>
      <c r="F7" s="24">
        <f t="shared" si="1"/>
        <v>250</v>
      </c>
      <c r="G7" s="26">
        <v>236.33333333333334</v>
      </c>
      <c r="H7" s="25">
        <v>1048</v>
      </c>
    </row>
    <row r="8" spans="1:8" x14ac:dyDescent="0.3">
      <c r="A8" s="27" t="s">
        <v>11</v>
      </c>
      <c r="B8" s="24">
        <v>310</v>
      </c>
      <c r="C8" s="24">
        <v>310</v>
      </c>
      <c r="D8" s="25">
        <v>510</v>
      </c>
      <c r="E8" s="24">
        <f t="shared" si="0"/>
        <v>376.66666666666669</v>
      </c>
      <c r="F8" s="24">
        <f t="shared" si="1"/>
        <v>510</v>
      </c>
      <c r="G8" s="26">
        <v>677.41666666666663</v>
      </c>
      <c r="H8" s="25">
        <v>3582</v>
      </c>
    </row>
    <row r="9" spans="1:8" x14ac:dyDescent="0.3">
      <c r="A9" s="27" t="s">
        <v>16</v>
      </c>
      <c r="B9" s="24">
        <v>65</v>
      </c>
      <c r="C9" s="24">
        <v>65</v>
      </c>
      <c r="D9" s="25">
        <v>75</v>
      </c>
      <c r="E9" s="24">
        <f t="shared" si="0"/>
        <v>68.333333333333329</v>
      </c>
      <c r="F9" s="24">
        <f t="shared" si="1"/>
        <v>75</v>
      </c>
      <c r="G9" s="26">
        <v>39.916666666666664</v>
      </c>
      <c r="H9" s="25">
        <v>54</v>
      </c>
    </row>
    <row r="10" spans="1:8" x14ac:dyDescent="0.3">
      <c r="A10" s="27" t="s">
        <v>16</v>
      </c>
      <c r="B10" s="24">
        <v>2335</v>
      </c>
      <c r="C10" s="24">
        <v>2385</v>
      </c>
      <c r="D10" s="25">
        <v>2720</v>
      </c>
      <c r="E10" s="24">
        <f t="shared" si="0"/>
        <v>2480</v>
      </c>
      <c r="F10" s="24">
        <f t="shared" si="1"/>
        <v>2720</v>
      </c>
      <c r="G10" s="26">
        <v>2112.25</v>
      </c>
      <c r="H10" s="25">
        <v>3278</v>
      </c>
    </row>
    <row r="11" spans="1:8" x14ac:dyDescent="0.3">
      <c r="A11" s="27" t="s">
        <v>16</v>
      </c>
      <c r="B11" s="24">
        <v>825</v>
      </c>
      <c r="C11" s="24">
        <v>945</v>
      </c>
      <c r="D11" s="25">
        <v>1045</v>
      </c>
      <c r="E11" s="24">
        <f t="shared" si="0"/>
        <v>938.33333333333337</v>
      </c>
      <c r="F11" s="24">
        <f t="shared" si="1"/>
        <v>1045</v>
      </c>
      <c r="G11" s="26">
        <v>817.58333333333337</v>
      </c>
      <c r="H11" s="25">
        <v>2636</v>
      </c>
    </row>
    <row r="12" spans="1:8" x14ac:dyDescent="0.3">
      <c r="A12" s="23" t="s">
        <v>15</v>
      </c>
      <c r="B12" s="24">
        <v>103</v>
      </c>
      <c r="C12" s="24">
        <v>113</v>
      </c>
      <c r="D12" s="25">
        <v>123</v>
      </c>
      <c r="E12" s="24">
        <f t="shared" si="0"/>
        <v>113</v>
      </c>
      <c r="F12" s="24">
        <f t="shared" si="1"/>
        <v>123</v>
      </c>
      <c r="G12" s="26">
        <v>108.25</v>
      </c>
      <c r="H12" s="25">
        <v>185</v>
      </c>
    </row>
    <row r="13" spans="1:8" x14ac:dyDescent="0.3">
      <c r="A13" s="23" t="s">
        <v>15</v>
      </c>
      <c r="B13" s="24">
        <v>135</v>
      </c>
      <c r="C13" s="24">
        <v>210</v>
      </c>
      <c r="D13" s="25">
        <v>180</v>
      </c>
      <c r="E13" s="24">
        <f t="shared" si="0"/>
        <v>175</v>
      </c>
      <c r="F13" s="24">
        <f t="shared" si="1"/>
        <v>210</v>
      </c>
      <c r="G13" s="26">
        <v>174.33333333333334</v>
      </c>
      <c r="H13" s="25">
        <v>396</v>
      </c>
    </row>
    <row r="14" spans="1:8" x14ac:dyDescent="0.3">
      <c r="A14" s="23" t="s">
        <v>15</v>
      </c>
      <c r="B14" s="24">
        <v>80</v>
      </c>
      <c r="C14" s="24">
        <v>80</v>
      </c>
      <c r="D14" s="25">
        <v>100</v>
      </c>
      <c r="E14" s="24">
        <f t="shared" si="0"/>
        <v>86.666666666666671</v>
      </c>
      <c r="F14" s="24">
        <f t="shared" si="1"/>
        <v>100</v>
      </c>
      <c r="G14" s="26">
        <v>93.916666666666671</v>
      </c>
      <c r="H14" s="25">
        <v>206</v>
      </c>
    </row>
    <row r="15" spans="1:8" x14ac:dyDescent="0.3">
      <c r="A15" s="23" t="s">
        <v>15</v>
      </c>
      <c r="B15" s="24">
        <v>90</v>
      </c>
      <c r="C15" s="24">
        <v>100</v>
      </c>
      <c r="D15" s="25">
        <v>145</v>
      </c>
      <c r="E15" s="24">
        <f t="shared" si="0"/>
        <v>111.66666666666667</v>
      </c>
      <c r="F15" s="24">
        <f t="shared" si="1"/>
        <v>145</v>
      </c>
      <c r="G15" s="26">
        <v>128.58333333333334</v>
      </c>
      <c r="H15" s="25">
        <v>252</v>
      </c>
    </row>
    <row r="16" spans="1:8" x14ac:dyDescent="0.3">
      <c r="A16" s="23" t="s">
        <v>15</v>
      </c>
      <c r="B16" s="24">
        <v>165</v>
      </c>
      <c r="C16" s="24">
        <v>175</v>
      </c>
      <c r="D16" s="25">
        <v>175</v>
      </c>
      <c r="E16" s="24">
        <f t="shared" si="0"/>
        <v>171.66666666666666</v>
      </c>
      <c r="F16" s="24">
        <f t="shared" si="1"/>
        <v>175</v>
      </c>
      <c r="G16" s="26">
        <v>200.25</v>
      </c>
      <c r="H16" s="25">
        <v>337</v>
      </c>
    </row>
    <row r="17" spans="1:8" x14ac:dyDescent="0.3">
      <c r="A17" s="23" t="s">
        <v>19</v>
      </c>
      <c r="B17" s="24">
        <v>140</v>
      </c>
      <c r="C17" s="24">
        <v>50</v>
      </c>
      <c r="D17" s="25">
        <v>50</v>
      </c>
      <c r="E17" s="24">
        <f t="shared" si="0"/>
        <v>80</v>
      </c>
      <c r="F17" s="24">
        <f t="shared" si="1"/>
        <v>140</v>
      </c>
      <c r="G17" s="26">
        <v>95</v>
      </c>
      <c r="H17" s="25">
        <v>157</v>
      </c>
    </row>
    <row r="18" spans="1:8" x14ac:dyDescent="0.3">
      <c r="A18" s="27" t="s">
        <v>18</v>
      </c>
      <c r="B18" s="24">
        <v>150</v>
      </c>
      <c r="C18" s="24">
        <v>300</v>
      </c>
      <c r="D18" s="25">
        <v>400</v>
      </c>
      <c r="E18" s="24">
        <f t="shared" si="0"/>
        <v>283.33333333333331</v>
      </c>
      <c r="F18" s="24">
        <f t="shared" si="1"/>
        <v>400</v>
      </c>
      <c r="G18" s="26">
        <v>0</v>
      </c>
      <c r="H18" s="25">
        <v>0</v>
      </c>
    </row>
    <row r="19" spans="1:8" x14ac:dyDescent="0.3">
      <c r="A19" s="27" t="s">
        <v>18</v>
      </c>
      <c r="B19" s="24">
        <v>640</v>
      </c>
      <c r="C19" s="24">
        <v>850</v>
      </c>
      <c r="D19" s="25">
        <v>1050</v>
      </c>
      <c r="E19" s="24">
        <f t="shared" si="0"/>
        <v>846.66666666666663</v>
      </c>
      <c r="F19" s="24">
        <f t="shared" si="1"/>
        <v>1050</v>
      </c>
      <c r="G19" s="26">
        <v>984.83333333333337</v>
      </c>
      <c r="H19" s="25">
        <v>1854</v>
      </c>
    </row>
    <row r="20" spans="1:8" x14ac:dyDescent="0.3">
      <c r="A20" s="23" t="s">
        <v>17</v>
      </c>
      <c r="B20" s="24">
        <v>115</v>
      </c>
      <c r="C20" s="24">
        <v>195</v>
      </c>
      <c r="D20" s="25">
        <v>235</v>
      </c>
      <c r="E20" s="24">
        <f t="shared" si="0"/>
        <v>181.66666666666666</v>
      </c>
      <c r="F20" s="24">
        <f t="shared" si="1"/>
        <v>235</v>
      </c>
      <c r="G20" s="26">
        <v>0</v>
      </c>
      <c r="H20" s="25">
        <v>0</v>
      </c>
    </row>
    <row r="21" spans="1:8" x14ac:dyDescent="0.3">
      <c r="A21" s="23" t="s">
        <v>17</v>
      </c>
      <c r="B21" s="24">
        <v>175</v>
      </c>
      <c r="C21" s="24">
        <v>315</v>
      </c>
      <c r="D21" s="25">
        <v>365</v>
      </c>
      <c r="E21" s="24">
        <f t="shared" si="0"/>
        <v>285</v>
      </c>
      <c r="F21" s="24">
        <f t="shared" si="1"/>
        <v>365</v>
      </c>
      <c r="G21" s="26">
        <v>0</v>
      </c>
      <c r="H21" s="25">
        <v>0</v>
      </c>
    </row>
    <row r="22" spans="1:8" x14ac:dyDescent="0.3">
      <c r="A22" s="23" t="s">
        <v>17</v>
      </c>
      <c r="B22" s="24">
        <v>120</v>
      </c>
      <c r="C22" s="24">
        <v>135</v>
      </c>
      <c r="D22" s="25">
        <v>140</v>
      </c>
      <c r="E22" s="24">
        <f t="shared" si="0"/>
        <v>131.66666666666666</v>
      </c>
      <c r="F22" s="24">
        <f t="shared" si="1"/>
        <v>140</v>
      </c>
      <c r="G22" s="26">
        <v>114.08333333333333</v>
      </c>
      <c r="H22" s="25">
        <v>163</v>
      </c>
    </row>
    <row r="23" spans="1:8" x14ac:dyDescent="0.3">
      <c r="A23" s="23" t="s">
        <v>17</v>
      </c>
      <c r="B23" s="24">
        <v>200</v>
      </c>
      <c r="C23" s="24">
        <v>280</v>
      </c>
      <c r="D23" s="25">
        <v>235</v>
      </c>
      <c r="E23" s="24">
        <f t="shared" si="0"/>
        <v>238.33333333333334</v>
      </c>
      <c r="F23" s="24">
        <f t="shared" si="1"/>
        <v>280</v>
      </c>
      <c r="G23" s="26">
        <v>229.58333333333334</v>
      </c>
      <c r="H23" s="25">
        <v>427</v>
      </c>
    </row>
    <row r="24" spans="1:8" x14ac:dyDescent="0.3">
      <c r="A24" s="23" t="s">
        <v>13</v>
      </c>
      <c r="B24" s="24">
        <v>530</v>
      </c>
      <c r="C24" s="24">
        <v>530</v>
      </c>
      <c r="D24" s="25">
        <v>530</v>
      </c>
      <c r="E24" s="24">
        <f t="shared" si="0"/>
        <v>530</v>
      </c>
      <c r="F24" s="24">
        <f t="shared" si="1"/>
        <v>530</v>
      </c>
      <c r="G24" s="26">
        <v>148.16666666666666</v>
      </c>
      <c r="H24" s="25">
        <v>773</v>
      </c>
    </row>
    <row r="25" spans="1:8" x14ac:dyDescent="0.3">
      <c r="A25" s="23" t="s">
        <v>13</v>
      </c>
      <c r="B25" s="24">
        <v>70</v>
      </c>
      <c r="C25" s="24">
        <v>70</v>
      </c>
      <c r="D25" s="25">
        <v>120</v>
      </c>
      <c r="E25" s="24">
        <f t="shared" si="0"/>
        <v>86.666666666666671</v>
      </c>
      <c r="F25" s="24">
        <f t="shared" si="1"/>
        <v>120</v>
      </c>
      <c r="G25" s="26">
        <v>28.916666666666668</v>
      </c>
      <c r="H25" s="25">
        <v>265</v>
      </c>
    </row>
    <row r="26" spans="1:8" x14ac:dyDescent="0.3">
      <c r="A26" s="23" t="s">
        <v>19</v>
      </c>
      <c r="B26" s="24">
        <v>0</v>
      </c>
      <c r="C26" s="24">
        <v>0</v>
      </c>
      <c r="D26" s="25">
        <v>0</v>
      </c>
      <c r="E26" s="24">
        <f t="shared" si="0"/>
        <v>0</v>
      </c>
      <c r="F26" s="24">
        <f t="shared" si="1"/>
        <v>0</v>
      </c>
      <c r="G26" s="26">
        <v>0</v>
      </c>
      <c r="H26" s="25">
        <v>0</v>
      </c>
    </row>
    <row r="27" spans="1:8" x14ac:dyDescent="0.3">
      <c r="A27" s="23" t="s">
        <v>19</v>
      </c>
      <c r="B27" s="24">
        <v>45</v>
      </c>
      <c r="C27" s="24">
        <v>45</v>
      </c>
      <c r="D27" s="25">
        <v>45</v>
      </c>
      <c r="E27" s="24">
        <f t="shared" si="0"/>
        <v>45</v>
      </c>
      <c r="F27" s="24">
        <f t="shared" si="1"/>
        <v>45</v>
      </c>
      <c r="G27" s="26">
        <v>0</v>
      </c>
      <c r="H27" s="25">
        <v>0</v>
      </c>
    </row>
    <row r="28" spans="1:8" x14ac:dyDescent="0.3">
      <c r="A28" s="23" t="s">
        <v>19</v>
      </c>
      <c r="B28" s="24">
        <v>340</v>
      </c>
      <c r="C28" s="24">
        <v>440</v>
      </c>
      <c r="D28" s="25">
        <v>490</v>
      </c>
      <c r="E28" s="24">
        <f t="shared" si="0"/>
        <v>423.33333333333331</v>
      </c>
      <c r="F28" s="24">
        <f t="shared" si="1"/>
        <v>490</v>
      </c>
      <c r="G28" s="26">
        <v>0</v>
      </c>
      <c r="H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G8"/>
  <sheetViews>
    <sheetView tabSelected="1" workbookViewId="0">
      <selection activeCell="J14" sqref="J14"/>
    </sheetView>
  </sheetViews>
  <sheetFormatPr defaultRowHeight="14.4" x14ac:dyDescent="0.3"/>
  <cols>
    <col min="1" max="1" width="21.5546875" bestFit="1" customWidth="1"/>
  </cols>
  <sheetData>
    <row r="1" spans="1:7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31</v>
      </c>
    </row>
    <row r="2" spans="1:7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181</v>
      </c>
      <c r="G2" s="24">
        <f>SUM(B2:F2)</f>
        <v>5500</v>
      </c>
    </row>
    <row r="3" spans="1:7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993</v>
      </c>
      <c r="G3" s="24">
        <f t="shared" ref="G3:G8" si="0">SUM(B3:F3)</f>
        <v>34995</v>
      </c>
    </row>
    <row r="4" spans="1:7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f t="shared" si="0"/>
        <v>1795</v>
      </c>
    </row>
    <row r="5" spans="1:7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v>100</v>
      </c>
      <c r="G5" s="24">
        <f t="shared" si="0"/>
        <v>12546</v>
      </c>
    </row>
    <row r="6" spans="1:7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38</v>
      </c>
      <c r="G6" s="24">
        <f t="shared" si="0"/>
        <v>3320</v>
      </c>
    </row>
    <row r="7" spans="1:7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28</v>
      </c>
      <c r="G7" s="24">
        <f t="shared" si="0"/>
        <v>4683</v>
      </c>
    </row>
    <row r="8" spans="1:7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2</v>
      </c>
      <c r="G8" s="24">
        <f t="shared" si="0"/>
        <v>1146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2026-05-06T15:01:12Z</dcterms:modified>
</cp:coreProperties>
</file>