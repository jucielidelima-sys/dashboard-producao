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24015C30-4895-4651-AAB8-C18709E1FD4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LANC.!$A$1:$K$1252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45" i="1" l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H3" i="3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<sst xmlns="http://schemas.openxmlformats.org/spreadsheetml/2006/main" count="2567" uniqueCount="41">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</sst>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252" totalsRowShown="0" headerRowDxfId="13" dataDxfId="12" tableBorderDxfId="11">
  <autoFilter ref="A1:K125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20"/>
  <sheetViews>
    <sheetView showGridLines="0" tabSelected="1" zoomScale="70" zoomScaleNormal="70" zoomScaleSheetLayoutView="70" workbookViewId="0">
      <pane ySplit="1" topLeftCell="A1225" activePane="bottomLeft" state="frozen"/>
      <selection pane="bottomLeft" activeCell="E1257" sqref="E125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28">
        <v>46226</v>
      </c>
      <c r="B1226" s="29" t="str">
        <f>UPPER(TEXT(A1226,"MMMM"))</f>
        <v>JULHO</v>
      </c>
      <c r="C1226" s="12" t="s">
        <v>15</v>
      </c>
      <c r="D1226" s="12" t="s">
        <v>12</v>
      </c>
      <c r="E1226" s="30">
        <v>75</v>
      </c>
      <c r="F1226" s="30">
        <v>63</v>
      </c>
      <c r="G1226" s="29">
        <v>5</v>
      </c>
      <c r="H1226" s="31">
        <v>5</v>
      </c>
      <c r="I1226" s="29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28">
        <v>46226</v>
      </c>
      <c r="B1227" s="29" t="str">
        <f t="shared" ref="B1227:B1234" si="135">UPPER(TEXT(A1227,"MMMM"))</f>
        <v>JULHO</v>
      </c>
      <c r="C1227" s="12" t="s">
        <v>16</v>
      </c>
      <c r="D1227" s="12" t="s">
        <v>12</v>
      </c>
      <c r="E1227" s="30">
        <v>204</v>
      </c>
      <c r="F1227" s="30">
        <v>231</v>
      </c>
      <c r="G1227" s="29">
        <v>6</v>
      </c>
      <c r="H1227" s="31">
        <v>6</v>
      </c>
      <c r="I1227" s="29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28">
        <v>46226</v>
      </c>
      <c r="B1228" s="29" t="str">
        <f t="shared" si="135"/>
        <v>JULHO</v>
      </c>
      <c r="C1228" s="12" t="s">
        <v>17</v>
      </c>
      <c r="D1228" s="12" t="s">
        <v>12</v>
      </c>
      <c r="E1228" s="30">
        <v>224</v>
      </c>
      <c r="F1228" s="30">
        <v>284</v>
      </c>
      <c r="G1228" s="29">
        <v>14</v>
      </c>
      <c r="H1228" s="31">
        <v>14</v>
      </c>
      <c r="I1228" s="29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28">
        <v>46226</v>
      </c>
      <c r="B1229" s="29" t="str">
        <f t="shared" si="135"/>
        <v>JULHO</v>
      </c>
      <c r="C1229" s="12" t="s">
        <v>18</v>
      </c>
      <c r="D1229" s="12" t="s">
        <v>12</v>
      </c>
      <c r="E1229" s="30"/>
      <c r="F1229" s="30"/>
      <c r="G1229" s="29"/>
      <c r="H1229" s="31"/>
      <c r="I1229" s="29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28">
        <v>46226</v>
      </c>
      <c r="B1230" s="29" t="str">
        <f t="shared" si="135"/>
        <v>JULHO</v>
      </c>
      <c r="C1230" s="12" t="s">
        <v>19</v>
      </c>
      <c r="D1230" s="12" t="s">
        <v>12</v>
      </c>
      <c r="E1230" s="30"/>
      <c r="F1230" s="30"/>
      <c r="G1230" s="29"/>
      <c r="H1230" s="31"/>
      <c r="I1230" s="29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28">
        <v>46226</v>
      </c>
      <c r="B1231" s="29" t="str">
        <f t="shared" si="135"/>
        <v>JULHO</v>
      </c>
      <c r="C1231" s="12" t="s">
        <v>20</v>
      </c>
      <c r="D1231" s="12" t="s">
        <v>12</v>
      </c>
      <c r="E1231" s="30">
        <v>503</v>
      </c>
      <c r="F1231" s="30">
        <v>578</v>
      </c>
      <c r="G1231" s="29">
        <v>90</v>
      </c>
      <c r="H1231" s="31">
        <v>90</v>
      </c>
      <c r="I1231" s="29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28">
        <v>46226</v>
      </c>
      <c r="B1232" s="29" t="str">
        <f t="shared" si="135"/>
        <v>JULHO</v>
      </c>
      <c r="C1232" s="12" t="s">
        <v>11</v>
      </c>
      <c r="D1232" s="12" t="s">
        <v>12</v>
      </c>
      <c r="E1232" s="30">
        <v>700</v>
      </c>
      <c r="F1232" s="30">
        <v>720</v>
      </c>
      <c r="G1232" s="29">
        <v>35</v>
      </c>
      <c r="H1232" s="31">
        <v>35</v>
      </c>
      <c r="I1232" s="29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28">
        <v>46226</v>
      </c>
      <c r="B1233" s="29" t="str">
        <f t="shared" si="135"/>
        <v>JULHO</v>
      </c>
      <c r="C1233" s="12" t="s">
        <v>32</v>
      </c>
      <c r="D1233" s="12" t="s">
        <v>12</v>
      </c>
      <c r="E1233" s="30">
        <v>77</v>
      </c>
      <c r="F1233" s="30">
        <v>82</v>
      </c>
      <c r="G1233" s="29">
        <v>7</v>
      </c>
      <c r="H1233" s="31">
        <v>7</v>
      </c>
      <c r="I1233" s="29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28">
        <v>46226</v>
      </c>
      <c r="B1234" s="29" t="str">
        <f t="shared" si="135"/>
        <v>JULHO</v>
      </c>
      <c r="C1234" s="12" t="s">
        <v>14</v>
      </c>
      <c r="D1234" s="12" t="s">
        <v>12</v>
      </c>
      <c r="E1234" s="30">
        <v>777</v>
      </c>
      <c r="F1234" s="30">
        <v>802</v>
      </c>
      <c r="G1234" s="29">
        <v>95</v>
      </c>
      <c r="H1234" s="31">
        <v>92</v>
      </c>
      <c r="I1234" s="29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28">
        <v>46227</v>
      </c>
      <c r="B1235" s="29" t="str">
        <f>UPPER(TEXT(A1235,"MMMM"))</f>
        <v>JULHO</v>
      </c>
      <c r="C1235" s="12" t="s">
        <v>15</v>
      </c>
      <c r="D1235" s="12" t="s">
        <v>12</v>
      </c>
      <c r="E1235" s="30">
        <v>75</v>
      </c>
      <c r="F1235" s="30">
        <v>20</v>
      </c>
      <c r="G1235" s="29">
        <v>5</v>
      </c>
      <c r="H1235" s="31">
        <v>5</v>
      </c>
      <c r="I1235" s="29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28">
        <v>46227</v>
      </c>
      <c r="B1236" s="29" t="str">
        <f t="shared" ref="B1236:B1243" si="136">UPPER(TEXT(A1236,"MMMM"))</f>
        <v>JULHO</v>
      </c>
      <c r="C1236" s="12" t="s">
        <v>16</v>
      </c>
      <c r="D1236" s="12" t="s">
        <v>12</v>
      </c>
      <c r="E1236" s="30">
        <v>238</v>
      </c>
      <c r="F1236" s="30">
        <v>223</v>
      </c>
      <c r="G1236" s="29">
        <v>7</v>
      </c>
      <c r="H1236" s="31">
        <v>7</v>
      </c>
      <c r="I1236" s="29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28">
        <v>46227</v>
      </c>
      <c r="B1237" s="29" t="str">
        <f t="shared" si="136"/>
        <v>JULHO</v>
      </c>
      <c r="C1237" s="12" t="s">
        <v>17</v>
      </c>
      <c r="D1237" s="12" t="s">
        <v>12</v>
      </c>
      <c r="E1237" s="30">
        <v>208</v>
      </c>
      <c r="F1237" s="30">
        <v>242</v>
      </c>
      <c r="G1237" s="29">
        <v>13</v>
      </c>
      <c r="H1237" s="31">
        <v>13</v>
      </c>
      <c r="I1237" s="29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28">
        <v>46227</v>
      </c>
      <c r="B1238" s="29" t="str">
        <f t="shared" si="136"/>
        <v>JULHO</v>
      </c>
      <c r="C1238" s="12" t="s">
        <v>18</v>
      </c>
      <c r="D1238" s="12" t="s">
        <v>12</v>
      </c>
      <c r="E1238" s="30"/>
      <c r="F1238" s="30"/>
      <c r="G1238" s="29"/>
      <c r="H1238" s="31"/>
      <c r="I1238" s="29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28">
        <v>46227</v>
      </c>
      <c r="B1239" s="29" t="str">
        <f t="shared" si="136"/>
        <v>JULHO</v>
      </c>
      <c r="C1239" s="12" t="s">
        <v>19</v>
      </c>
      <c r="D1239" s="12" t="s">
        <v>12</v>
      </c>
      <c r="E1239" s="30"/>
      <c r="F1239" s="30"/>
      <c r="G1239" s="29"/>
      <c r="H1239" s="31"/>
      <c r="I1239" s="29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28">
        <v>46227</v>
      </c>
      <c r="B1240" s="29" t="str">
        <f t="shared" si="136"/>
        <v>JULHO</v>
      </c>
      <c r="C1240" s="12" t="s">
        <v>20</v>
      </c>
      <c r="D1240" s="12" t="s">
        <v>12</v>
      </c>
      <c r="E1240" s="30">
        <v>521</v>
      </c>
      <c r="F1240" s="30">
        <v>485</v>
      </c>
      <c r="G1240" s="29">
        <v>90</v>
      </c>
      <c r="H1240" s="31">
        <v>90</v>
      </c>
      <c r="I1240" s="29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28">
        <v>46227</v>
      </c>
      <c r="B1241" s="29" t="str">
        <f t="shared" si="136"/>
        <v>JULHO</v>
      </c>
      <c r="C1241" s="12" t="s">
        <v>11</v>
      </c>
      <c r="D1241" s="12" t="s">
        <v>12</v>
      </c>
      <c r="E1241" s="30">
        <v>620</v>
      </c>
      <c r="F1241" s="30">
        <v>621</v>
      </c>
      <c r="G1241" s="29">
        <v>31</v>
      </c>
      <c r="H1241" s="31">
        <v>31</v>
      </c>
      <c r="I1241" s="29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28">
        <v>46227</v>
      </c>
      <c r="B1242" s="29" t="str">
        <f t="shared" si="136"/>
        <v>JULHO</v>
      </c>
      <c r="C1242" s="12" t="s">
        <v>32</v>
      </c>
      <c r="D1242" s="12" t="s">
        <v>12</v>
      </c>
      <c r="E1242" s="30">
        <v>55</v>
      </c>
      <c r="F1242" s="30">
        <v>60</v>
      </c>
      <c r="G1242" s="29">
        <v>5</v>
      </c>
      <c r="H1242" s="31">
        <v>5</v>
      </c>
      <c r="I1242" s="29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28">
        <v>46227</v>
      </c>
      <c r="B1243" s="29" t="str">
        <f t="shared" si="136"/>
        <v>JULHO</v>
      </c>
      <c r="C1243" s="12" t="s">
        <v>14</v>
      </c>
      <c r="D1243" s="12" t="s">
        <v>12</v>
      </c>
      <c r="E1243" s="30">
        <v>675</v>
      </c>
      <c r="F1243" s="30">
        <v>681</v>
      </c>
      <c r="G1243" s="29">
        <v>80</v>
      </c>
      <c r="H1243" s="31">
        <v>80</v>
      </c>
      <c r="I1243" s="29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28">
        <v>46230</v>
      </c>
      <c r="B1244" s="29" t="str">
        <f>UPPER(TEXT(A1244,"MMMM"))</f>
        <v>JULHO</v>
      </c>
      <c r="C1244" s="12" t="s">
        <v>15</v>
      </c>
      <c r="D1244" s="12" t="s">
        <v>12</v>
      </c>
      <c r="E1244" s="30"/>
      <c r="F1244" s="30"/>
      <c r="G1244" s="29"/>
      <c r="H1244" s="31"/>
      <c r="I1244" s="29">
        <f>IFERROR(IF(T_PROD[[#This Row],[PREVISTO]]-T_PROD[[#This Row],[EFETIVO]]&lt; 0,0,T_PROD[[#This Row],[PREVISTO]]-T_PROD[[#This Row],[EFETIVO]] ),"")</f>
        <v>0</v>
      </c>
      <c r="J1244" s="15" t="str">
        <f>IFERROR(IF(T_PROD[[#This Row],[META]]&gt;0,(T_PROD[[#This Row],[META]]/T_PROD[[#This Row],[PREVISTO]]),""),"")</f>
        <v/>
      </c>
      <c r="K1244" s="15" t="str">
        <f>IFERROR(IF(T_PROD[[#This Row],[PRODUÇÃO]]&gt;0,(T_PROD[[#This Row],[PRODUÇÃO]]/T_PROD[[#This Row],[EFETIVO]]),""),"")</f>
        <v/>
      </c>
    </row>
    <row r="1245" spans="1:11" x14ac:dyDescent="0.3">
      <c r="A1245" s="28">
        <v>46230</v>
      </c>
      <c r="B1245" s="29" t="str">
        <f t="shared" ref="B1245:B1252" si="137">UPPER(TEXT(A1245,"MMMM"))</f>
        <v>JULHO</v>
      </c>
      <c r="C1245" s="12" t="s">
        <v>16</v>
      </c>
      <c r="D1245" s="12" t="s">
        <v>12</v>
      </c>
      <c r="E1245" s="30"/>
      <c r="F1245" s="30"/>
      <c r="G1245" s="29"/>
      <c r="H1245" s="31"/>
      <c r="I1245" s="29">
        <f>IFERROR(IF(T_PROD[[#This Row],[PREVISTO]]-T_PROD[[#This Row],[EFETIVO]]&lt; 0,0,T_PROD[[#This Row],[PREVISTO]]-T_PROD[[#This Row],[EFETIVO]] ),"")</f>
        <v>0</v>
      </c>
      <c r="J1245" s="15" t="str">
        <f>IFERROR(IF(T_PROD[[#This Row],[META]]&gt;0,(T_PROD[[#This Row],[META]]/T_PROD[[#This Row],[PREVISTO]]),""),"")</f>
        <v/>
      </c>
      <c r="K1245" s="15" t="str">
        <f>IFERROR(IF(T_PROD[[#This Row],[PRODUÇÃO]]&gt;0,(T_PROD[[#This Row],[PRODUÇÃO]]/T_PROD[[#This Row],[EFETIVO]]),""),"")</f>
        <v/>
      </c>
    </row>
    <row r="1246" spans="1:11" x14ac:dyDescent="0.3">
      <c r="A1246" s="28">
        <v>46230</v>
      </c>
      <c r="B1246" s="29" t="str">
        <f t="shared" si="137"/>
        <v>JULHO</v>
      </c>
      <c r="C1246" s="12" t="s">
        <v>17</v>
      </c>
      <c r="D1246" s="12" t="s">
        <v>12</v>
      </c>
      <c r="E1246" s="30">
        <v>208</v>
      </c>
      <c r="F1246" s="30">
        <v>286</v>
      </c>
      <c r="G1246" s="29">
        <v>13</v>
      </c>
      <c r="H1246" s="31">
        <v>13</v>
      </c>
      <c r="I1246" s="29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28">
        <v>46230</v>
      </c>
      <c r="B1247" s="29" t="str">
        <f t="shared" si="137"/>
        <v>JULHO</v>
      </c>
      <c r="C1247" s="12" t="s">
        <v>18</v>
      </c>
      <c r="D1247" s="12" t="s">
        <v>12</v>
      </c>
      <c r="E1247" s="30"/>
      <c r="F1247" s="30"/>
      <c r="G1247" s="29"/>
      <c r="H1247" s="31"/>
      <c r="I1247" s="29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28">
        <v>46230</v>
      </c>
      <c r="B1248" s="29" t="str">
        <f t="shared" si="137"/>
        <v>JULHO</v>
      </c>
      <c r="C1248" s="12" t="s">
        <v>19</v>
      </c>
      <c r="D1248" s="12" t="s">
        <v>12</v>
      </c>
      <c r="E1248" s="30"/>
      <c r="F1248" s="30"/>
      <c r="G1248" s="29"/>
      <c r="H1248" s="31"/>
      <c r="I1248" s="29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28">
        <v>46230</v>
      </c>
      <c r="B1249" s="29" t="str">
        <f t="shared" si="137"/>
        <v>JULHO</v>
      </c>
      <c r="C1249" s="12" t="s">
        <v>20</v>
      </c>
      <c r="D1249" s="12" t="s">
        <v>12</v>
      </c>
      <c r="E1249" s="30"/>
      <c r="F1249" s="30"/>
      <c r="G1249" s="29"/>
      <c r="H1249" s="31"/>
      <c r="I1249" s="29">
        <f>IFERROR(IF(T_PROD[[#This Row],[PREVISTO]]-T_PROD[[#This Row],[EFETIVO]]&lt; 0,0,T_PROD[[#This Row],[PREVISTO]]-T_PROD[[#This Row],[EFETIVO]] ),"")</f>
        <v>0</v>
      </c>
      <c r="J1249" s="15" t="str">
        <f>IFERROR(IF(T_PROD[[#This Row],[META]]&gt;0,(T_PROD[[#This Row],[META]]/T_PROD[[#This Row],[PREVISTO]]),""),"")</f>
        <v/>
      </c>
      <c r="K1249" s="15" t="str">
        <f>IFERROR(IF(T_PROD[[#This Row],[PRODUÇÃO]]&gt;0,(T_PROD[[#This Row],[PRODUÇÃO]]/T_PROD[[#This Row],[EFETIVO]]),""),"")</f>
        <v/>
      </c>
    </row>
    <row r="1250" spans="1:11" x14ac:dyDescent="0.3">
      <c r="A1250" s="28">
        <v>46230</v>
      </c>
      <c r="B1250" s="29" t="str">
        <f t="shared" si="137"/>
        <v>JULHO</v>
      </c>
      <c r="C1250" s="12" t="s">
        <v>11</v>
      </c>
      <c r="D1250" s="12" t="s">
        <v>12</v>
      </c>
      <c r="E1250" s="30">
        <v>760</v>
      </c>
      <c r="F1250" s="30">
        <v>800</v>
      </c>
      <c r="G1250" s="29">
        <v>38</v>
      </c>
      <c r="H1250" s="31">
        <v>38</v>
      </c>
      <c r="I1250" s="29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28">
        <v>46230</v>
      </c>
      <c r="B1251" s="29" t="str">
        <f t="shared" si="137"/>
        <v>JULHO</v>
      </c>
      <c r="C1251" s="12" t="s">
        <v>32</v>
      </c>
      <c r="D1251" s="12" t="s">
        <v>12</v>
      </c>
      <c r="E1251" s="30">
        <v>66</v>
      </c>
      <c r="F1251" s="30">
        <v>73</v>
      </c>
      <c r="G1251" s="29">
        <v>6</v>
      </c>
      <c r="H1251" s="31">
        <v>6</v>
      </c>
      <c r="I1251" s="29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28">
        <v>46230</v>
      </c>
      <c r="B1252" s="29" t="str">
        <f t="shared" si="137"/>
        <v>JULHO</v>
      </c>
      <c r="C1252" s="12" t="s">
        <v>14</v>
      </c>
      <c r="D1252" s="12" t="s">
        <v>12</v>
      </c>
      <c r="E1252" s="30">
        <v>826</v>
      </c>
      <c r="F1252" s="30">
        <v>873</v>
      </c>
      <c r="G1252" s="29">
        <v>97</v>
      </c>
      <c r="H1252" s="31">
        <v>96</v>
      </c>
      <c r="I1252" s="29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2026-07-28T13:47:31Z</dcterms:modified>
</cp:coreProperties>
</file>