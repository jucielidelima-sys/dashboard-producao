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08018B43-F511-4E6C-9383-23E1252408B7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LANC.!$A$1:$K$415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8" i="1" l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J397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D6" i="3"/>
  <c r="C6" i="3"/>
  <c r="D5" i="3"/>
  <c r="C5" i="3"/>
  <c r="C4" i="3"/>
  <c r="D3" i="3"/>
  <c r="C3" i="3"/>
  <c r="E3" i="3" s="1"/>
  <c r="E8" i="3"/>
  <c r="E4" i="3"/>
  <c r="E5" i="3"/>
  <c r="E6" i="3"/>
  <c r="E7" i="3"/>
  <c r="E2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J379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J370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<sst xmlns="http://schemas.openxmlformats.org/spreadsheetml/2006/main" count="886" uniqueCount="34">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</sst>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415" totalsRowShown="0" headerRowDxfId="13" dataDxfId="12" tableBorderDxfId="11">
  <autoFilter ref="A1:K415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382" activePane="bottomLeft" state="frozen"/>
      <selection pane="bottomLeft" activeCell="K418" sqref="K418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26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5.2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34</v>
      </c>
      <c r="G367" s="12">
        <v>92</v>
      </c>
      <c r="H367" s="14">
        <v>0</v>
      </c>
      <c r="I367" s="12">
        <f>IFERROR(IF(T_PROD[[#This Row],[PREVISTO]]-T_PROD[[#This Row],[EFETIVO]]&lt; 0,0,T_PROD[[#This Row],[PREVISTO]]-T_PROD[[#This Row],[EFETIVO]] ),"")</f>
        <v>92</v>
      </c>
      <c r="J367" s="15">
        <f>IFERROR(IF(T_PROD[[#This Row],[META]]&gt;0,(T_PROD[[#This Row],[META]]/T_PROD[[#This Row],[PREVISTO]]),""),"")</f>
        <v>5.2826086956521738</v>
      </c>
      <c r="K367" s="15" t="str">
        <f>IFERROR(IF(T_PROD[[#This Row],[PRODUÇÃO]]&gt;0,(T_PROD[[#This Row],[PRODUÇÃO]]/T_PROD[[#This Row],[EFETIVO]]),""),"")</f>
        <v/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f>IFERROR(IF(T_PROD[[#This Row],[META]]&gt;0,(T_PROD[[#This Row],[META]]/T_PROD[[#This Row],[PREVISTO]]),""),"")</f>
        <v>1.1764705882352942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54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10.8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62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0.6966292134831461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f>IFERROR(IF(T_PROD[[#This Row],[META]]&gt;0,(T_PROD[[#This Row],[META]]/T_PROD[[#This Row],[PREVISTO]]),""),"")</f>
        <v>7.1428571428571432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24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6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88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14.666666666666666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75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>
        <f>IFERROR(IF(T_PROD[[#This Row],[PRODUÇÃO]]&gt;0,(T_PROD[[#This Row],[PRODUÇÃO]]/T_PROD[[#This Row],[EFETIVO]]),""),"")</f>
        <v>9.375</v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219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2.4333333333333331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f>IFERROR(IF(T_PROD[[#This Row],[META]]&gt;0,(T_PROD[[#This Row],[META]]/T_PROD[[#This Row],[PREVISTO]]),""),"")</f>
        <v>7.1428571428571432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44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11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54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9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219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2.4333333333333331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33">
        <v>46090</v>
      </c>
      <c r="B407" s="34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35">
        <v>54</v>
      </c>
      <c r="G407" s="12">
        <v>4</v>
      </c>
      <c r="H407" s="36">
        <v>4</v>
      </c>
      <c r="I407" s="34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33">
        <v>46090</v>
      </c>
      <c r="B408" s="34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35">
        <v>146</v>
      </c>
      <c r="G408" s="12">
        <v>6</v>
      </c>
      <c r="H408" s="36">
        <v>5</v>
      </c>
      <c r="I408" s="34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33">
        <v>46090</v>
      </c>
      <c r="B409" s="34" t="str">
        <f t="shared" si="44"/>
        <v>MARÇO</v>
      </c>
      <c r="C409" s="12" t="s">
        <v>17</v>
      </c>
      <c r="D409" s="12" t="s">
        <v>12</v>
      </c>
      <c r="E409" s="13">
        <v>128</v>
      </c>
      <c r="F409" s="35">
        <v>52</v>
      </c>
      <c r="G409" s="12">
        <v>8</v>
      </c>
      <c r="H409" s="36">
        <v>4</v>
      </c>
      <c r="I409" s="34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33">
        <v>46090</v>
      </c>
      <c r="B410" s="34" t="str">
        <f t="shared" si="44"/>
        <v>MARÇO</v>
      </c>
      <c r="C410" s="12" t="s">
        <v>18</v>
      </c>
      <c r="D410" s="12" t="s">
        <v>12</v>
      </c>
      <c r="E410" s="13">
        <v>100</v>
      </c>
      <c r="F410" s="35">
        <v>0</v>
      </c>
      <c r="G410" s="12">
        <v>4</v>
      </c>
      <c r="H410" s="36"/>
      <c r="I410" s="34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33">
        <v>46090</v>
      </c>
      <c r="B411" s="34" t="str">
        <f t="shared" si="44"/>
        <v>MARÇO</v>
      </c>
      <c r="C411" s="12" t="s">
        <v>19</v>
      </c>
      <c r="D411" s="12" t="s">
        <v>12</v>
      </c>
      <c r="E411" s="13">
        <v>100</v>
      </c>
      <c r="F411" s="35">
        <v>0</v>
      </c>
      <c r="G411" s="12">
        <v>11</v>
      </c>
      <c r="H411" s="36"/>
      <c r="I411" s="34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33">
        <v>46090</v>
      </c>
      <c r="B412" s="34" t="str">
        <f t="shared" si="44"/>
        <v>MARÇO</v>
      </c>
      <c r="C412" s="12" t="s">
        <v>20</v>
      </c>
      <c r="D412" s="12" t="s">
        <v>12</v>
      </c>
      <c r="E412" s="13">
        <v>486</v>
      </c>
      <c r="F412" s="35">
        <v>252</v>
      </c>
      <c r="G412" s="12">
        <v>92</v>
      </c>
      <c r="H412" s="36">
        <v>90</v>
      </c>
      <c r="I412" s="34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33">
        <v>46090</v>
      </c>
      <c r="B413" s="34" t="str">
        <f t="shared" si="44"/>
        <v>MARÇO</v>
      </c>
      <c r="C413" s="12" t="s">
        <v>11</v>
      </c>
      <c r="D413" s="12" t="s">
        <v>12</v>
      </c>
      <c r="E413" s="13">
        <v>500</v>
      </c>
      <c r="F413" s="35">
        <v>530</v>
      </c>
      <c r="G413" s="12">
        <v>33</v>
      </c>
      <c r="H413" s="36">
        <v>26</v>
      </c>
      <c r="I413" s="34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33">
        <v>46090</v>
      </c>
      <c r="B414" s="34" t="str">
        <f t="shared" si="44"/>
        <v>MARÇO</v>
      </c>
      <c r="C414" s="6" t="s">
        <v>32</v>
      </c>
      <c r="D414" s="12" t="s">
        <v>12</v>
      </c>
      <c r="E414" s="13">
        <v>150</v>
      </c>
      <c r="F414" s="35">
        <v>120</v>
      </c>
      <c r="G414" s="12">
        <v>15</v>
      </c>
      <c r="H414" s="36">
        <v>15</v>
      </c>
      <c r="I414" s="34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33">
        <v>46090</v>
      </c>
      <c r="B415" s="34" t="str">
        <f t="shared" si="44"/>
        <v>MARÇO</v>
      </c>
      <c r="C415" s="12" t="s">
        <v>14</v>
      </c>
      <c r="D415" s="12" t="s">
        <v>12</v>
      </c>
      <c r="E415" s="13">
        <v>650</v>
      </c>
      <c r="F415" s="35">
        <v>650</v>
      </c>
      <c r="G415" s="12">
        <v>84</v>
      </c>
      <c r="H415" s="36">
        <v>78</v>
      </c>
      <c r="I415" s="34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6"/>
      <c r="B416" s="17"/>
      <c r="C416" s="17"/>
      <c r="D416" s="17"/>
      <c r="E416" s="18"/>
      <c r="F416" s="18"/>
      <c r="G416" s="17"/>
      <c r="H416" s="19"/>
      <c r="I416" s="17"/>
      <c r="J416" s="20"/>
      <c r="K416" s="20"/>
    </row>
    <row r="417" spans="1:11" s="6" customFormat="1" x14ac:dyDescent="0.3">
      <c r="A417" s="16"/>
      <c r="B417" s="17"/>
      <c r="C417" s="17"/>
      <c r="D417" s="17"/>
      <c r="E417" s="18"/>
      <c r="F417" s="18"/>
      <c r="G417" s="17"/>
      <c r="H417" s="19"/>
      <c r="I417" s="17"/>
      <c r="J417" s="20"/>
      <c r="K417" s="20"/>
    </row>
    <row r="418" spans="1:11" s="6" customFormat="1" x14ac:dyDescent="0.3">
      <c r="A418" s="16"/>
      <c r="B418" s="17"/>
      <c r="C418" s="17"/>
      <c r="D418" s="17"/>
      <c r="E418" s="18"/>
      <c r="F418" s="18"/>
      <c r="G418" s="17"/>
      <c r="H418" s="19"/>
      <c r="I418" s="17"/>
      <c r="J418" s="20"/>
      <c r="K418" s="20"/>
    </row>
    <row r="419" spans="1:11" s="6" customFormat="1" x14ac:dyDescent="0.3">
      <c r="A419" s="16"/>
      <c r="B419" s="17"/>
      <c r="C419" s="17"/>
      <c r="D419" s="17"/>
      <c r="E419" s="18"/>
      <c r="F419" s="18"/>
      <c r="G419" s="17"/>
      <c r="H419" s="19"/>
      <c r="I419" s="17"/>
      <c r="J419" s="20"/>
      <c r="K419" s="20"/>
    </row>
    <row r="420" spans="1:11" s="6" customFormat="1" x14ac:dyDescent="0.3">
      <c r="A420" s="16"/>
      <c r="B420" s="17"/>
      <c r="C420" s="17"/>
      <c r="D420" s="17"/>
      <c r="E420" s="18"/>
      <c r="F420" s="18"/>
      <c r="G420" s="17"/>
      <c r="H420" s="19"/>
      <c r="I420" s="17"/>
      <c r="J420" s="20"/>
      <c r="K420" s="20"/>
    </row>
    <row r="421" spans="1:11" s="6" customFormat="1" x14ac:dyDescent="0.3">
      <c r="A421" s="16"/>
      <c r="B421" s="17"/>
      <c r="C421" s="17"/>
      <c r="D421" s="17"/>
      <c r="E421" s="18"/>
      <c r="F421" s="18"/>
      <c r="G421" s="17"/>
      <c r="H421" s="19"/>
      <c r="I421" s="17"/>
      <c r="J421" s="20"/>
      <c r="K421" s="20"/>
    </row>
    <row r="422" spans="1:11" s="6" customFormat="1" x14ac:dyDescent="0.3">
      <c r="A422" s="16"/>
      <c r="B422" s="17"/>
      <c r="C422" s="17"/>
      <c r="D422" s="17"/>
      <c r="E422" s="18"/>
      <c r="F422" s="18"/>
      <c r="G422" s="17"/>
      <c r="H422" s="19"/>
      <c r="I422" s="17"/>
      <c r="J422" s="20"/>
      <c r="K422" s="20"/>
    </row>
    <row r="423" spans="1:11" s="6" customFormat="1" x14ac:dyDescent="0.3">
      <c r="A423" s="16"/>
      <c r="B423" s="17"/>
      <c r="C423" s="17"/>
      <c r="D423" s="17"/>
      <c r="E423" s="18"/>
      <c r="F423" s="18"/>
      <c r="G423" s="17"/>
      <c r="H423" s="19"/>
      <c r="I423" s="17"/>
      <c r="J423" s="20"/>
      <c r="K423" s="20"/>
    </row>
    <row r="424" spans="1:11" s="6" customFormat="1" x14ac:dyDescent="0.3">
      <c r="A424" s="16"/>
      <c r="B424" s="17"/>
      <c r="C424" s="17"/>
      <c r="D424" s="17"/>
      <c r="E424" s="18"/>
      <c r="F424" s="18"/>
      <c r="G424" s="17"/>
      <c r="H424" s="19"/>
      <c r="I424" s="17"/>
      <c r="J424" s="20"/>
      <c r="K424" s="20"/>
    </row>
    <row r="425" spans="1:11" s="6" customFormat="1" x14ac:dyDescent="0.3">
      <c r="A425" s="16"/>
      <c r="B425" s="17"/>
      <c r="C425" s="17"/>
      <c r="D425" s="17"/>
      <c r="E425" s="18"/>
      <c r="F425" s="18"/>
      <c r="G425" s="17"/>
      <c r="H425" s="19"/>
      <c r="I425" s="17"/>
      <c r="J425" s="20"/>
      <c r="K425" s="20"/>
    </row>
    <row r="426" spans="1:11" s="6" customFormat="1" x14ac:dyDescent="0.3">
      <c r="A426" s="16"/>
      <c r="B426" s="17"/>
      <c r="C426" s="17"/>
      <c r="D426" s="17"/>
      <c r="E426" s="18"/>
      <c r="F426" s="18"/>
      <c r="G426" s="17"/>
      <c r="H426" s="19"/>
      <c r="I426" s="17"/>
      <c r="J426" s="20"/>
      <c r="K426" s="20"/>
    </row>
    <row r="427" spans="1:11" s="6" customFormat="1" x14ac:dyDescent="0.3">
      <c r="A427" s="16"/>
      <c r="B427" s="17"/>
      <c r="C427" s="17"/>
      <c r="D427" s="17"/>
      <c r="E427" s="18"/>
      <c r="F427" s="18"/>
      <c r="G427" s="17"/>
      <c r="H427" s="19"/>
      <c r="I427" s="17"/>
      <c r="J427" s="20"/>
      <c r="K427" s="20"/>
    </row>
    <row r="428" spans="1:11" s="6" customFormat="1" x14ac:dyDescent="0.3">
      <c r="A428" s="16"/>
      <c r="B428" s="17"/>
      <c r="C428" s="17"/>
      <c r="D428" s="17"/>
      <c r="E428" s="18"/>
      <c r="F428" s="18"/>
      <c r="G428" s="17"/>
      <c r="H428" s="19"/>
      <c r="I428" s="17"/>
      <c r="J428" s="20"/>
      <c r="K428" s="20"/>
    </row>
    <row r="429" spans="1:11" s="6" customFormat="1" x14ac:dyDescent="0.3">
      <c r="A429" s="16"/>
      <c r="B429" s="17"/>
      <c r="C429" s="17"/>
      <c r="D429" s="17"/>
      <c r="E429" s="18"/>
      <c r="F429" s="18"/>
      <c r="G429" s="17"/>
      <c r="H429" s="19"/>
      <c r="I429" s="17"/>
      <c r="J429" s="20"/>
      <c r="K429" s="20"/>
    </row>
    <row r="430" spans="1:11" s="6" customFormat="1" x14ac:dyDescent="0.3">
      <c r="A430" s="16"/>
      <c r="B430" s="17"/>
      <c r="C430" s="17"/>
      <c r="D430" s="17"/>
      <c r="E430" s="18"/>
      <c r="F430" s="18"/>
      <c r="G430" s="17"/>
      <c r="H430" s="19"/>
      <c r="I430" s="17"/>
      <c r="J430" s="20"/>
      <c r="K430" s="20"/>
    </row>
    <row r="431" spans="1:11" s="6" customFormat="1" x14ac:dyDescent="0.3">
      <c r="A431" s="16"/>
      <c r="B431" s="17"/>
      <c r="C431" s="17"/>
      <c r="D431" s="17"/>
      <c r="E431" s="18"/>
      <c r="F431" s="18"/>
      <c r="G431" s="17"/>
      <c r="H431" s="19"/>
      <c r="I431" s="17"/>
      <c r="J431" s="20"/>
      <c r="K431" s="20"/>
    </row>
    <row r="432" spans="1:11" s="6" customFormat="1" x14ac:dyDescent="0.3">
      <c r="A432" s="16"/>
      <c r="B432" s="17"/>
      <c r="C432" s="17"/>
      <c r="D432" s="17"/>
      <c r="E432" s="18"/>
      <c r="F432" s="18"/>
      <c r="G432" s="17"/>
      <c r="H432" s="19"/>
      <c r="I432" s="17"/>
      <c r="J432" s="20"/>
      <c r="K432" s="20"/>
    </row>
    <row r="433" spans="1:11" s="6" customFormat="1" x14ac:dyDescent="0.3">
      <c r="A433" s="16"/>
      <c r="B433" s="17"/>
      <c r="C433" s="17"/>
      <c r="D433" s="17"/>
      <c r="E433" s="18"/>
      <c r="F433" s="18"/>
      <c r="G433" s="17"/>
      <c r="H433" s="19"/>
      <c r="I433" s="17"/>
      <c r="J433" s="20"/>
      <c r="K433" s="20"/>
    </row>
    <row r="434" spans="1:11" s="6" customFormat="1" x14ac:dyDescent="0.3">
      <c r="A434" s="16"/>
      <c r="B434" s="17"/>
      <c r="C434" s="17"/>
      <c r="D434" s="17"/>
      <c r="E434" s="18"/>
      <c r="F434" s="18"/>
      <c r="G434" s="17"/>
      <c r="H434" s="19"/>
      <c r="I434" s="17"/>
      <c r="J434" s="20"/>
      <c r="K434" s="20"/>
    </row>
    <row r="435" spans="1:11" s="6" customFormat="1" x14ac:dyDescent="0.3">
      <c r="A435" s="16"/>
      <c r="B435" s="17"/>
      <c r="C435" s="17"/>
      <c r="D435" s="17"/>
      <c r="E435" s="18"/>
      <c r="F435" s="18"/>
      <c r="G435" s="17"/>
      <c r="H435" s="19"/>
      <c r="I435" s="17"/>
      <c r="J435" s="20"/>
      <c r="K435" s="20"/>
    </row>
    <row r="436" spans="1:11" s="6" customFormat="1" x14ac:dyDescent="0.3">
      <c r="A436" s="16"/>
      <c r="B436" s="17"/>
      <c r="C436" s="17"/>
      <c r="D436" s="17"/>
      <c r="E436" s="18"/>
      <c r="F436" s="18"/>
      <c r="G436" s="17"/>
      <c r="H436" s="19"/>
      <c r="I436" s="17"/>
      <c r="J436" s="20"/>
      <c r="K436" s="20"/>
    </row>
    <row r="437" spans="1:11" s="6" customFormat="1" x14ac:dyDescent="0.3">
      <c r="A437" s="16"/>
      <c r="B437" s="17"/>
      <c r="C437" s="17"/>
      <c r="D437" s="17"/>
      <c r="E437" s="18"/>
      <c r="F437" s="18"/>
      <c r="G437" s="17"/>
      <c r="H437" s="19"/>
      <c r="I437" s="17"/>
      <c r="J437" s="20"/>
      <c r="K437" s="20"/>
    </row>
    <row r="438" spans="1:11" s="6" customFormat="1" x14ac:dyDescent="0.3">
      <c r="A438" s="16"/>
      <c r="B438" s="17"/>
      <c r="C438" s="17"/>
      <c r="D438" s="17"/>
      <c r="E438" s="18"/>
      <c r="F438" s="18"/>
      <c r="G438" s="17"/>
      <c r="H438" s="19"/>
      <c r="I438" s="17"/>
      <c r="J438" s="20"/>
      <c r="K438" s="20"/>
    </row>
    <row r="439" spans="1:11" s="6" customFormat="1" x14ac:dyDescent="0.3">
      <c r="A439" s="7"/>
      <c r="E439" s="8"/>
      <c r="F439" s="8"/>
      <c r="H439" s="9"/>
      <c r="J439" s="10"/>
      <c r="K439" s="10"/>
    </row>
    <row r="440" spans="1:11" s="6" customFormat="1" x14ac:dyDescent="0.3">
      <c r="A440" s="7"/>
      <c r="E440" s="8"/>
      <c r="F440" s="8"/>
      <c r="H440" s="9"/>
      <c r="J440" s="10"/>
      <c r="K440" s="10"/>
    </row>
    <row r="441" spans="1:11" s="6" customFormat="1" x14ac:dyDescent="0.3">
      <c r="A441" s="7"/>
      <c r="E441" s="8"/>
      <c r="F441" s="8"/>
      <c r="H441" s="9"/>
      <c r="J441" s="10"/>
      <c r="K441" s="10"/>
    </row>
    <row r="442" spans="1:11" s="6" customFormat="1" x14ac:dyDescent="0.3">
      <c r="A442" s="7"/>
      <c r="E442" s="8"/>
      <c r="F442" s="8"/>
      <c r="H442" s="9"/>
      <c r="J442" s="10"/>
      <c r="K442" s="10"/>
    </row>
    <row r="443" spans="1:11" s="6" customFormat="1" x14ac:dyDescent="0.3">
      <c r="A443" s="7"/>
      <c r="E443" s="8"/>
      <c r="F443" s="8"/>
      <c r="H443" s="9"/>
      <c r="J443" s="10"/>
      <c r="K443" s="10"/>
    </row>
    <row r="444" spans="1:11" s="6" customFormat="1" x14ac:dyDescent="0.3">
      <c r="A444" s="7"/>
      <c r="E444" s="8"/>
      <c r="F444" s="8"/>
      <c r="H444" s="9"/>
      <c r="J444" s="10"/>
      <c r="K444" s="10"/>
    </row>
    <row r="445" spans="1:11" s="6" customFormat="1" x14ac:dyDescent="0.3">
      <c r="A445" s="7"/>
      <c r="E445" s="8"/>
      <c r="F445" s="8"/>
      <c r="H445" s="9"/>
      <c r="J445" s="10"/>
      <c r="K445" s="10"/>
    </row>
    <row r="446" spans="1:11" s="6" customFormat="1" x14ac:dyDescent="0.3">
      <c r="A446" s="7"/>
      <c r="E446" s="8"/>
      <c r="F446" s="8"/>
      <c r="H446" s="9"/>
      <c r="J446" s="10"/>
      <c r="K446" s="10"/>
    </row>
    <row r="447" spans="1:11" s="6" customFormat="1" x14ac:dyDescent="0.3">
      <c r="A447" s="7"/>
      <c r="E447" s="8"/>
      <c r="F447" s="8"/>
      <c r="H447" s="9"/>
      <c r="J447" s="10"/>
      <c r="K447" s="10"/>
    </row>
    <row r="448" spans="1:11" s="6" customFormat="1" x14ac:dyDescent="0.3">
      <c r="A448" s="7"/>
      <c r="E448" s="8"/>
      <c r="F448" s="8"/>
      <c r="H448" s="9"/>
      <c r="J448" s="10"/>
      <c r="K448" s="10"/>
    </row>
    <row r="449" spans="1:11" s="6" customFormat="1" x14ac:dyDescent="0.3">
      <c r="A449" s="7"/>
      <c r="E449" s="8"/>
      <c r="F449" s="8"/>
      <c r="H449" s="9"/>
      <c r="J449" s="10"/>
      <c r="K449" s="10"/>
    </row>
    <row r="450" spans="1:11" s="6" customFormat="1" x14ac:dyDescent="0.3">
      <c r="A450" s="7"/>
      <c r="E450" s="8"/>
      <c r="F450" s="8"/>
      <c r="H450" s="9"/>
      <c r="J450" s="10"/>
      <c r="K450" s="10"/>
    </row>
    <row r="451" spans="1:11" s="6" customFormat="1" x14ac:dyDescent="0.3">
      <c r="A451" s="7"/>
      <c r="E451" s="8"/>
      <c r="F451" s="8"/>
      <c r="H451" s="9"/>
      <c r="J451" s="10"/>
      <c r="K451" s="10"/>
    </row>
    <row r="452" spans="1:11" s="6" customFormat="1" x14ac:dyDescent="0.3">
      <c r="A452" s="7"/>
      <c r="E452" s="8"/>
      <c r="F452" s="8"/>
      <c r="H452" s="9"/>
      <c r="J452" s="10"/>
      <c r="K452" s="10"/>
    </row>
    <row r="453" spans="1:11" s="6" customFormat="1" x14ac:dyDescent="0.3">
      <c r="A453" s="7"/>
      <c r="E453" s="8"/>
      <c r="F453" s="8"/>
      <c r="H453" s="9"/>
      <c r="J453" s="10"/>
      <c r="K453" s="10"/>
    </row>
    <row r="454" spans="1:11" s="6" customFormat="1" x14ac:dyDescent="0.3">
      <c r="A454" s="7"/>
      <c r="E454" s="8"/>
      <c r="F454" s="8"/>
      <c r="H454" s="9"/>
      <c r="J454" s="10"/>
      <c r="K454" s="10"/>
    </row>
    <row r="455" spans="1:11" s="6" customFormat="1" x14ac:dyDescent="0.3">
      <c r="A455" s="7"/>
      <c r="E455" s="8"/>
      <c r="F455" s="8"/>
      <c r="H455" s="9"/>
      <c r="J455" s="10"/>
      <c r="K455" s="10"/>
    </row>
    <row r="456" spans="1:11" s="6" customFormat="1" x14ac:dyDescent="0.3">
      <c r="A456" s="7"/>
      <c r="E456" s="8"/>
      <c r="F456" s="8"/>
      <c r="H456" s="9"/>
      <c r="J456" s="10"/>
      <c r="K456" s="10"/>
    </row>
    <row r="457" spans="1:11" s="6" customFormat="1" x14ac:dyDescent="0.3">
      <c r="A457" s="7"/>
      <c r="E457" s="8"/>
      <c r="F457" s="8"/>
      <c r="H457" s="9"/>
      <c r="J457" s="10"/>
      <c r="K457" s="10"/>
    </row>
    <row r="458" spans="1:11" s="6" customFormat="1" x14ac:dyDescent="0.3">
      <c r="A458" s="7"/>
      <c r="E458" s="8"/>
      <c r="F458" s="8"/>
      <c r="H458" s="9"/>
      <c r="J458" s="10"/>
      <c r="K458" s="10"/>
    </row>
    <row r="459" spans="1:11" s="6" customFormat="1" x14ac:dyDescent="0.3">
      <c r="A459" s="7"/>
      <c r="E459" s="8"/>
      <c r="F459" s="8"/>
      <c r="H459" s="9"/>
      <c r="J459" s="10"/>
      <c r="K459" s="10"/>
    </row>
    <row r="460" spans="1:11" s="6" customFormat="1" x14ac:dyDescent="0.3">
      <c r="A460" s="7"/>
      <c r="E460" s="8"/>
      <c r="F460" s="8"/>
      <c r="H460" s="9"/>
      <c r="J460" s="10"/>
      <c r="K460" s="10"/>
    </row>
    <row r="461" spans="1:11" s="6" customFormat="1" x14ac:dyDescent="0.3">
      <c r="A461" s="7"/>
      <c r="E461" s="8"/>
      <c r="F461" s="8"/>
      <c r="H461" s="9"/>
      <c r="J461" s="10"/>
      <c r="K461" s="10"/>
    </row>
    <row r="462" spans="1:11" s="6" customFormat="1" x14ac:dyDescent="0.3">
      <c r="A462" s="7"/>
      <c r="E462" s="8"/>
      <c r="F462" s="8"/>
      <c r="H462" s="9"/>
      <c r="J462" s="10"/>
      <c r="K462" s="10"/>
    </row>
    <row r="463" spans="1:11" s="6" customFormat="1" x14ac:dyDescent="0.3">
      <c r="A463" s="7"/>
      <c r="E463" s="8"/>
      <c r="F463" s="8"/>
      <c r="H463" s="9"/>
      <c r="J463" s="10"/>
      <c r="K463" s="10"/>
    </row>
    <row r="464" spans="1:11" s="6" customFormat="1" x14ac:dyDescent="0.3">
      <c r="A464" s="7"/>
      <c r="E464" s="8"/>
      <c r="F464" s="8"/>
      <c r="H464" s="9"/>
      <c r="J464" s="10"/>
      <c r="K464" s="10"/>
    </row>
    <row r="465" spans="1:11" s="6" customFormat="1" x14ac:dyDescent="0.3">
      <c r="A465" s="7"/>
      <c r="E465" s="8"/>
      <c r="F465" s="8"/>
      <c r="H465" s="9"/>
      <c r="J465" s="10"/>
      <c r="K465" s="10"/>
    </row>
    <row r="466" spans="1:11" s="6" customFormat="1" x14ac:dyDescent="0.3">
      <c r="A466" s="7"/>
      <c r="E466" s="8"/>
      <c r="F466" s="8"/>
      <c r="H466" s="9"/>
      <c r="J466" s="10"/>
      <c r="K466" s="10"/>
    </row>
    <row r="467" spans="1:11" s="6" customFormat="1" x14ac:dyDescent="0.3">
      <c r="A467" s="7"/>
      <c r="E467" s="8"/>
      <c r="F467" s="8"/>
      <c r="H467" s="9"/>
      <c r="J467" s="10"/>
      <c r="K467" s="10"/>
    </row>
    <row r="468" spans="1:11" s="6" customFormat="1" x14ac:dyDescent="0.3">
      <c r="A468" s="7"/>
      <c r="E468" s="8"/>
      <c r="F468" s="8"/>
      <c r="H468" s="9"/>
      <c r="J468" s="10"/>
      <c r="K468" s="10"/>
    </row>
    <row r="469" spans="1:11" s="6" customFormat="1" x14ac:dyDescent="0.3">
      <c r="A469" s="7"/>
      <c r="E469" s="8"/>
      <c r="F469" s="8"/>
      <c r="H469" s="9"/>
      <c r="J469" s="10"/>
      <c r="K469" s="10"/>
    </row>
    <row r="470" spans="1:11" s="6" customFormat="1" x14ac:dyDescent="0.3">
      <c r="A470" s="7"/>
      <c r="E470" s="8"/>
      <c r="F470" s="8"/>
      <c r="H470" s="9"/>
      <c r="J470" s="10"/>
      <c r="K470" s="10"/>
    </row>
    <row r="471" spans="1:11" s="6" customFormat="1" x14ac:dyDescent="0.3">
      <c r="A471" s="7"/>
      <c r="E471" s="8"/>
      <c r="F471" s="8"/>
      <c r="H471" s="9"/>
      <c r="J471" s="10"/>
      <c r="K471" s="10"/>
    </row>
    <row r="472" spans="1:11" s="6" customFormat="1" x14ac:dyDescent="0.3">
      <c r="A472" s="7"/>
      <c r="E472" s="8"/>
      <c r="F472" s="8"/>
      <c r="H472" s="9"/>
      <c r="J472" s="10"/>
      <c r="K472" s="10"/>
    </row>
    <row r="473" spans="1:11" s="6" customFormat="1" x14ac:dyDescent="0.3">
      <c r="A473" s="7"/>
      <c r="E473" s="8"/>
      <c r="F473" s="8"/>
      <c r="H473" s="9"/>
      <c r="J473" s="10"/>
      <c r="K473" s="10"/>
    </row>
    <row r="474" spans="1:11" s="6" customFormat="1" x14ac:dyDescent="0.3">
      <c r="A474" s="7"/>
      <c r="E474" s="8"/>
      <c r="F474" s="8"/>
      <c r="H474" s="9"/>
      <c r="J474" s="10"/>
      <c r="K474" s="10"/>
    </row>
    <row r="475" spans="1:11" s="6" customFormat="1" x14ac:dyDescent="0.3">
      <c r="A475" s="7"/>
      <c r="E475" s="8"/>
      <c r="F475" s="8"/>
      <c r="H475" s="9"/>
      <c r="J475" s="10"/>
      <c r="K475" s="10"/>
    </row>
    <row r="476" spans="1:11" s="6" customFormat="1" x14ac:dyDescent="0.3">
      <c r="A476" s="7"/>
      <c r="E476" s="8"/>
      <c r="F476" s="8"/>
      <c r="H476" s="9"/>
      <c r="J476" s="10"/>
      <c r="K476" s="10"/>
    </row>
    <row r="477" spans="1:11" s="6" customFormat="1" x14ac:dyDescent="0.3">
      <c r="A477" s="7"/>
      <c r="E477" s="8"/>
      <c r="F477" s="8"/>
      <c r="H477" s="9"/>
      <c r="J477" s="10"/>
      <c r="K477" s="10"/>
    </row>
    <row r="478" spans="1:11" s="6" customFormat="1" x14ac:dyDescent="0.3">
      <c r="A478" s="7"/>
      <c r="E478" s="8"/>
      <c r="F478" s="8"/>
      <c r="H478" s="9"/>
      <c r="J478" s="10"/>
      <c r="K478" s="10"/>
    </row>
    <row r="479" spans="1:11" s="6" customFormat="1" x14ac:dyDescent="0.3">
      <c r="A479" s="7"/>
      <c r="E479" s="8"/>
      <c r="F479" s="8"/>
      <c r="H479" s="9"/>
      <c r="J479" s="10"/>
      <c r="K479" s="10"/>
    </row>
    <row r="480" spans="1:11" s="6" customFormat="1" x14ac:dyDescent="0.3">
      <c r="A480" s="7"/>
      <c r="E480" s="8"/>
      <c r="F480" s="8"/>
      <c r="H480" s="9"/>
      <c r="J480" s="10"/>
      <c r="K480" s="10"/>
    </row>
    <row r="481" spans="1:11" s="6" customFormat="1" x14ac:dyDescent="0.3">
      <c r="A481" s="7"/>
      <c r="E481" s="8"/>
      <c r="F481" s="8"/>
      <c r="H481" s="9"/>
      <c r="J481" s="10"/>
      <c r="K481" s="10"/>
    </row>
    <row r="482" spans="1:11" s="6" customFormat="1" x14ac:dyDescent="0.3">
      <c r="A482" s="7"/>
      <c r="E482" s="8"/>
      <c r="F482" s="8"/>
      <c r="H482" s="9"/>
      <c r="J482" s="10"/>
      <c r="K482" s="10"/>
    </row>
    <row r="483" spans="1:11" s="6" customFormat="1" x14ac:dyDescent="0.3">
      <c r="A483" s="7"/>
      <c r="E483" s="8"/>
      <c r="F483" s="8"/>
      <c r="H483" s="9"/>
      <c r="J483" s="10"/>
      <c r="K483" s="10"/>
    </row>
    <row r="484" spans="1:11" s="6" customFormat="1" x14ac:dyDescent="0.3">
      <c r="A484" s="7"/>
      <c r="E484" s="8"/>
      <c r="F484" s="8"/>
      <c r="H484" s="9"/>
      <c r="J484" s="10"/>
      <c r="K484" s="10"/>
    </row>
    <row r="485" spans="1:11" s="6" customFormat="1" x14ac:dyDescent="0.3">
      <c r="A485" s="7"/>
      <c r="E485" s="8"/>
      <c r="F485" s="8"/>
      <c r="H485" s="9"/>
      <c r="J485" s="10"/>
      <c r="K485" s="10"/>
    </row>
    <row r="486" spans="1:11" s="6" customFormat="1" x14ac:dyDescent="0.3">
      <c r="A486" s="7"/>
      <c r="E486" s="8"/>
      <c r="F486" s="8"/>
      <c r="H486" s="9"/>
      <c r="J486" s="10"/>
      <c r="K486" s="10"/>
    </row>
    <row r="487" spans="1:11" s="6" customFormat="1" x14ac:dyDescent="0.3">
      <c r="A487" s="7"/>
      <c r="E487" s="8"/>
      <c r="F487" s="8"/>
      <c r="H487" s="9"/>
      <c r="J487" s="10"/>
      <c r="K487" s="10"/>
    </row>
    <row r="488" spans="1:11" s="6" customFormat="1" x14ac:dyDescent="0.3">
      <c r="A488" s="7"/>
      <c r="E488" s="8"/>
      <c r="F488" s="8"/>
      <c r="H488" s="9"/>
      <c r="J488" s="10"/>
      <c r="K488" s="10"/>
    </row>
    <row r="489" spans="1:11" s="6" customFormat="1" x14ac:dyDescent="0.3">
      <c r="A489" s="7"/>
      <c r="E489" s="8"/>
      <c r="F489" s="8"/>
      <c r="H489" s="9"/>
      <c r="J489" s="10"/>
      <c r="K489" s="10"/>
    </row>
    <row r="490" spans="1:11" s="6" customFormat="1" x14ac:dyDescent="0.3">
      <c r="A490" s="7"/>
      <c r="E490" s="8"/>
      <c r="F490" s="8"/>
      <c r="H490" s="9"/>
      <c r="J490" s="10"/>
      <c r="K490" s="10"/>
    </row>
    <row r="491" spans="1:11" s="6" customFormat="1" x14ac:dyDescent="0.3">
      <c r="A491" s="7"/>
      <c r="E491" s="8"/>
      <c r="F491" s="8"/>
      <c r="H491" s="9"/>
      <c r="J491" s="10"/>
      <c r="K491" s="10"/>
    </row>
    <row r="492" spans="1:11" s="6" customFormat="1" x14ac:dyDescent="0.3">
      <c r="A492" s="7"/>
      <c r="E492" s="8"/>
      <c r="F492" s="8"/>
      <c r="H492" s="9"/>
      <c r="J492" s="10"/>
      <c r="K492" s="10"/>
    </row>
    <row r="493" spans="1:11" s="6" customFormat="1" x14ac:dyDescent="0.3">
      <c r="A493" s="7"/>
      <c r="E493" s="8"/>
      <c r="F493" s="8"/>
      <c r="H493" s="9"/>
      <c r="J493" s="10"/>
      <c r="K493" s="10"/>
    </row>
    <row r="494" spans="1:11" s="6" customFormat="1" x14ac:dyDescent="0.3">
      <c r="A494" s="7"/>
      <c r="E494" s="8"/>
      <c r="F494" s="8"/>
      <c r="H494" s="9"/>
      <c r="J494" s="10"/>
      <c r="K494" s="10"/>
    </row>
    <row r="495" spans="1:11" s="6" customFormat="1" x14ac:dyDescent="0.3">
      <c r="A495" s="7"/>
      <c r="E495" s="8"/>
      <c r="F495" s="8"/>
      <c r="H495" s="9"/>
      <c r="J495" s="10"/>
      <c r="K495" s="10"/>
    </row>
    <row r="496" spans="1:11" s="6" customFormat="1" x14ac:dyDescent="0.3">
      <c r="A496" s="7"/>
      <c r="E496" s="8"/>
      <c r="F496" s="8"/>
      <c r="H496" s="9"/>
      <c r="J496" s="10"/>
      <c r="K496" s="10"/>
    </row>
    <row r="497" spans="1:11" s="6" customFormat="1" x14ac:dyDescent="0.3">
      <c r="A497" s="7"/>
      <c r="E497" s="8"/>
      <c r="F497" s="8"/>
      <c r="H497" s="9"/>
      <c r="J497" s="10"/>
      <c r="K497" s="10"/>
    </row>
    <row r="498" spans="1:11" s="6" customFormat="1" x14ac:dyDescent="0.3">
      <c r="A498" s="7"/>
      <c r="E498" s="8"/>
      <c r="F498" s="8"/>
      <c r="H498" s="9"/>
      <c r="J498" s="10"/>
      <c r="K498" s="10"/>
    </row>
    <row r="499" spans="1:11" s="6" customFormat="1" x14ac:dyDescent="0.3">
      <c r="A499" s="7"/>
      <c r="E499" s="8"/>
      <c r="F499" s="8"/>
      <c r="H499" s="9"/>
      <c r="J499" s="10"/>
      <c r="K499" s="10"/>
    </row>
    <row r="500" spans="1:11" s="6" customFormat="1" x14ac:dyDescent="0.3">
      <c r="A500" s="7"/>
      <c r="E500" s="8"/>
      <c r="F500" s="8"/>
      <c r="H500" s="9"/>
      <c r="J500" s="10"/>
      <c r="K500" s="10"/>
    </row>
    <row r="501" spans="1:11" s="6" customFormat="1" x14ac:dyDescent="0.3">
      <c r="A501" s="7"/>
      <c r="E501" s="8"/>
      <c r="F501" s="8"/>
      <c r="H501" s="9"/>
      <c r="J501" s="10"/>
      <c r="K501" s="10"/>
    </row>
    <row r="502" spans="1:11" s="6" customFormat="1" x14ac:dyDescent="0.3">
      <c r="A502" s="7"/>
      <c r="E502" s="8"/>
      <c r="F502" s="8"/>
      <c r="H502" s="9"/>
      <c r="J502" s="10"/>
      <c r="K502" s="10"/>
    </row>
    <row r="503" spans="1:11" s="6" customFormat="1" x14ac:dyDescent="0.3">
      <c r="A503" s="7"/>
      <c r="E503" s="8"/>
      <c r="F503" s="8"/>
      <c r="H503" s="9"/>
      <c r="J503" s="10"/>
      <c r="K503" s="10"/>
    </row>
    <row r="504" spans="1:11" s="6" customFormat="1" x14ac:dyDescent="0.3">
      <c r="A504" s="7"/>
      <c r="E504" s="8"/>
      <c r="F504" s="8"/>
      <c r="H504" s="9"/>
      <c r="J504" s="10"/>
      <c r="K504" s="10"/>
    </row>
    <row r="505" spans="1:11" s="6" customFormat="1" x14ac:dyDescent="0.3">
      <c r="A505" s="7"/>
      <c r="E505" s="8"/>
      <c r="F505" s="8"/>
      <c r="H505" s="9"/>
      <c r="J505" s="10"/>
      <c r="K505" s="10"/>
    </row>
    <row r="506" spans="1:11" s="6" customFormat="1" x14ac:dyDescent="0.3">
      <c r="A506" s="7"/>
      <c r="E506" s="8"/>
      <c r="F506" s="8"/>
      <c r="H506" s="9"/>
      <c r="J506" s="10"/>
      <c r="K506" s="10"/>
    </row>
    <row r="507" spans="1:11" s="6" customFormat="1" x14ac:dyDescent="0.3">
      <c r="A507" s="7"/>
      <c r="E507" s="8"/>
      <c r="F507" s="8"/>
      <c r="H507" s="9"/>
      <c r="J507" s="10"/>
      <c r="K507" s="10"/>
    </row>
    <row r="508" spans="1:11" s="6" customFormat="1" x14ac:dyDescent="0.3">
      <c r="A508" s="7"/>
      <c r="E508" s="8"/>
      <c r="F508" s="8"/>
      <c r="H508" s="9"/>
      <c r="J508" s="10"/>
      <c r="K508" s="10"/>
    </row>
    <row r="509" spans="1:11" s="6" customFormat="1" x14ac:dyDescent="0.3">
      <c r="A509" s="7"/>
      <c r="E509" s="8"/>
      <c r="F509" s="8"/>
      <c r="H509" s="9"/>
      <c r="J509" s="10"/>
      <c r="K509" s="10"/>
    </row>
    <row r="510" spans="1:11" s="6" customFormat="1" x14ac:dyDescent="0.3">
      <c r="A510" s="7"/>
      <c r="E510" s="8"/>
      <c r="F510" s="8"/>
      <c r="H510" s="9"/>
      <c r="J510" s="10"/>
      <c r="K510" s="10"/>
    </row>
    <row r="511" spans="1:11" s="6" customFormat="1" x14ac:dyDescent="0.3">
      <c r="A511" s="7"/>
      <c r="E511" s="8"/>
      <c r="F511" s="8"/>
      <c r="H511" s="9"/>
      <c r="J511" s="10"/>
      <c r="K511" s="10"/>
    </row>
    <row r="512" spans="1:11" s="6" customFormat="1" x14ac:dyDescent="0.3">
      <c r="A512" s="7"/>
      <c r="E512" s="8"/>
      <c r="F512" s="8"/>
      <c r="H512" s="9"/>
      <c r="J512" s="10"/>
      <c r="K512" s="10"/>
    </row>
    <row r="513" spans="1:11" s="6" customFormat="1" x14ac:dyDescent="0.3">
      <c r="A513" s="7"/>
      <c r="E513" s="8"/>
      <c r="F513" s="8"/>
      <c r="H513" s="9"/>
      <c r="J513" s="10"/>
      <c r="K513" s="10"/>
    </row>
    <row r="514" spans="1:11" s="6" customFormat="1" x14ac:dyDescent="0.3">
      <c r="A514" s="7"/>
      <c r="E514" s="8"/>
      <c r="F514" s="8"/>
      <c r="H514" s="9"/>
      <c r="J514" s="10"/>
      <c r="K514" s="10"/>
    </row>
    <row r="515" spans="1:11" s="6" customFormat="1" x14ac:dyDescent="0.3">
      <c r="A515" s="7"/>
      <c r="E515" s="8"/>
      <c r="F515" s="8"/>
      <c r="H515" s="9"/>
      <c r="J515" s="10"/>
      <c r="K515" s="10"/>
    </row>
    <row r="516" spans="1:11" s="6" customFormat="1" x14ac:dyDescent="0.3">
      <c r="A516" s="7"/>
      <c r="E516" s="8"/>
      <c r="F516" s="8"/>
      <c r="H516" s="9"/>
      <c r="J516" s="10"/>
      <c r="K516" s="10"/>
    </row>
    <row r="517" spans="1:11" s="6" customFormat="1" x14ac:dyDescent="0.3">
      <c r="A517" s="7"/>
      <c r="E517" s="8"/>
      <c r="F517" s="8"/>
      <c r="H517" s="9"/>
      <c r="J517" s="10"/>
      <c r="K517" s="10"/>
    </row>
    <row r="518" spans="1:11" s="6" customFormat="1" x14ac:dyDescent="0.3">
      <c r="A518" s="7"/>
      <c r="E518" s="8"/>
      <c r="F518" s="8"/>
      <c r="H518" s="9"/>
      <c r="J518" s="10"/>
      <c r="K518" s="10"/>
    </row>
    <row r="519" spans="1:11" s="6" customFormat="1" x14ac:dyDescent="0.3">
      <c r="A519" s="7"/>
      <c r="E519" s="8"/>
      <c r="F519" s="8"/>
      <c r="H519" s="9"/>
      <c r="J519" s="10"/>
      <c r="K519" s="10"/>
    </row>
    <row r="520" spans="1:11" s="6" customFormat="1" x14ac:dyDescent="0.3">
      <c r="A520" s="7"/>
      <c r="E520" s="8"/>
      <c r="F520" s="8"/>
      <c r="H520" s="9"/>
      <c r="J520" s="10"/>
      <c r="K520" s="10"/>
    </row>
    <row r="521" spans="1:11" s="6" customFormat="1" x14ac:dyDescent="0.3">
      <c r="A521" s="7"/>
      <c r="E521" s="8"/>
      <c r="F521" s="8"/>
      <c r="H521" s="9"/>
      <c r="J521" s="10"/>
      <c r="K521" s="10"/>
    </row>
    <row r="522" spans="1:11" s="6" customFormat="1" x14ac:dyDescent="0.3">
      <c r="A522" s="7"/>
      <c r="E522" s="8"/>
      <c r="F522" s="8"/>
      <c r="H522" s="9"/>
      <c r="J522" s="10"/>
      <c r="K522" s="10"/>
    </row>
    <row r="523" spans="1:11" s="6" customFormat="1" x14ac:dyDescent="0.3">
      <c r="A523" s="7"/>
      <c r="E523" s="8"/>
      <c r="F523" s="8"/>
      <c r="H523" s="9"/>
      <c r="J523" s="10"/>
      <c r="K523" s="10"/>
    </row>
    <row r="524" spans="1:11" s="6" customFormat="1" x14ac:dyDescent="0.3">
      <c r="A524" s="7"/>
      <c r="E524" s="8"/>
      <c r="F524" s="8"/>
      <c r="H524" s="9"/>
      <c r="J524" s="10"/>
      <c r="K524" s="10"/>
    </row>
    <row r="525" spans="1:11" s="6" customFormat="1" x14ac:dyDescent="0.3">
      <c r="A525" s="7"/>
      <c r="E525" s="8"/>
      <c r="F525" s="8"/>
      <c r="H525" s="9"/>
      <c r="J525" s="10"/>
      <c r="K525" s="10"/>
    </row>
    <row r="526" spans="1:11" s="6" customFormat="1" x14ac:dyDescent="0.3">
      <c r="A526" s="7"/>
      <c r="E526" s="8"/>
      <c r="F526" s="8"/>
      <c r="H526" s="9"/>
      <c r="J526" s="10"/>
      <c r="K526" s="10"/>
    </row>
    <row r="527" spans="1:11" s="6" customFormat="1" x14ac:dyDescent="0.3">
      <c r="A527" s="7"/>
      <c r="E527" s="8"/>
      <c r="F527" s="8"/>
      <c r="H527" s="9"/>
      <c r="J527" s="10"/>
      <c r="K527" s="10"/>
    </row>
    <row r="528" spans="1:11" s="6" customFormat="1" x14ac:dyDescent="0.3">
      <c r="A528" s="7"/>
      <c r="E528" s="8"/>
      <c r="F528" s="8"/>
      <c r="H528" s="9"/>
      <c r="J528" s="10"/>
      <c r="K528" s="10"/>
    </row>
    <row r="529" spans="1:11" s="6" customFormat="1" x14ac:dyDescent="0.3">
      <c r="A529" s="7"/>
      <c r="E529" s="8"/>
      <c r="F529" s="8"/>
      <c r="H529" s="9"/>
      <c r="J529" s="10"/>
      <c r="K529" s="10"/>
    </row>
    <row r="530" spans="1:11" s="6" customFormat="1" x14ac:dyDescent="0.3">
      <c r="A530" s="7"/>
      <c r="E530" s="8"/>
      <c r="F530" s="8"/>
      <c r="H530" s="9"/>
      <c r="J530" s="10"/>
      <c r="K530" s="10"/>
    </row>
    <row r="531" spans="1:11" s="6" customFormat="1" x14ac:dyDescent="0.3">
      <c r="A531" s="7"/>
      <c r="E531" s="8"/>
      <c r="F531" s="8"/>
      <c r="H531" s="9"/>
      <c r="J531" s="10"/>
      <c r="K531" s="10"/>
    </row>
    <row r="532" spans="1:11" s="6" customFormat="1" x14ac:dyDescent="0.3">
      <c r="A532" s="7"/>
      <c r="E532" s="8"/>
      <c r="F532" s="8"/>
      <c r="H532" s="9"/>
      <c r="J532" s="10"/>
      <c r="K532" s="10"/>
    </row>
    <row r="533" spans="1:11" s="6" customFormat="1" x14ac:dyDescent="0.3">
      <c r="A533" s="7"/>
      <c r="E533" s="8"/>
      <c r="F533" s="8"/>
      <c r="H533" s="9"/>
      <c r="J533" s="10"/>
      <c r="K533" s="10"/>
    </row>
    <row r="534" spans="1:11" s="6" customFormat="1" x14ac:dyDescent="0.3">
      <c r="A534" s="7"/>
      <c r="E534" s="8"/>
      <c r="F534" s="8"/>
      <c r="H534" s="9"/>
      <c r="J534" s="10"/>
      <c r="K534" s="10"/>
    </row>
    <row r="535" spans="1:11" s="6" customFormat="1" x14ac:dyDescent="0.3">
      <c r="A535" s="7"/>
      <c r="E535" s="8"/>
      <c r="F535" s="8"/>
      <c r="H535" s="9"/>
      <c r="J535" s="10"/>
      <c r="K535" s="10"/>
    </row>
    <row r="536" spans="1:11" s="6" customFormat="1" x14ac:dyDescent="0.3">
      <c r="A536" s="7"/>
      <c r="E536" s="8"/>
      <c r="F536" s="8"/>
      <c r="H536" s="9"/>
      <c r="J536" s="10"/>
      <c r="K536" s="10"/>
    </row>
    <row r="537" spans="1:11" s="6" customFormat="1" x14ac:dyDescent="0.3">
      <c r="A537" s="7"/>
      <c r="E537" s="8"/>
      <c r="F537" s="8"/>
      <c r="H537" s="9"/>
      <c r="J537" s="10"/>
      <c r="K537" s="10"/>
    </row>
    <row r="538" spans="1:11" s="6" customFormat="1" x14ac:dyDescent="0.3">
      <c r="A538" s="7"/>
      <c r="E538" s="8"/>
      <c r="F538" s="8"/>
      <c r="H538" s="9"/>
      <c r="J538" s="10"/>
      <c r="K538" s="10"/>
    </row>
    <row r="539" spans="1:11" s="6" customFormat="1" x14ac:dyDescent="0.3">
      <c r="A539" s="7"/>
      <c r="E539" s="8"/>
      <c r="F539" s="8"/>
      <c r="H539" s="9"/>
      <c r="J539" s="10"/>
      <c r="K539" s="10"/>
    </row>
    <row r="540" spans="1:11" s="6" customFormat="1" x14ac:dyDescent="0.3">
      <c r="A540" s="7"/>
      <c r="E540" s="8"/>
      <c r="F540" s="8"/>
      <c r="H540" s="9"/>
      <c r="J540" s="10"/>
      <c r="K540" s="10"/>
    </row>
    <row r="541" spans="1:11" s="6" customFormat="1" x14ac:dyDescent="0.3">
      <c r="A541" s="7"/>
      <c r="E541" s="8"/>
      <c r="F541" s="8"/>
      <c r="H541" s="9"/>
      <c r="J541" s="10"/>
      <c r="K541" s="10"/>
    </row>
    <row r="542" spans="1:11" s="6" customFormat="1" x14ac:dyDescent="0.3">
      <c r="A542" s="7"/>
      <c r="E542" s="8"/>
      <c r="F542" s="8"/>
      <c r="H542" s="9"/>
      <c r="J542" s="10"/>
      <c r="K542" s="10"/>
    </row>
    <row r="543" spans="1:11" s="6" customFormat="1" x14ac:dyDescent="0.3">
      <c r="A543" s="7"/>
      <c r="E543" s="8"/>
      <c r="F543" s="8"/>
      <c r="H543" s="9"/>
      <c r="J543" s="10"/>
      <c r="K543" s="10"/>
    </row>
    <row r="544" spans="1:11" s="6" customFormat="1" x14ac:dyDescent="0.3">
      <c r="A544" s="7"/>
      <c r="E544" s="8"/>
      <c r="F544" s="8"/>
      <c r="H544" s="9"/>
      <c r="J544" s="10"/>
      <c r="K544" s="10"/>
    </row>
    <row r="545" spans="1:11" s="6" customFormat="1" x14ac:dyDescent="0.3">
      <c r="A545" s="7"/>
      <c r="E545" s="8"/>
      <c r="F545" s="8"/>
      <c r="H545" s="9"/>
      <c r="J545" s="10"/>
      <c r="K545" s="10"/>
    </row>
    <row r="546" spans="1:11" s="6" customFormat="1" x14ac:dyDescent="0.3">
      <c r="A546" s="7"/>
      <c r="E546" s="8"/>
      <c r="F546" s="8"/>
      <c r="H546" s="9"/>
      <c r="J546" s="10"/>
      <c r="K546" s="10"/>
    </row>
    <row r="547" spans="1:11" s="6" customFormat="1" x14ac:dyDescent="0.3">
      <c r="A547" s="7"/>
      <c r="E547" s="8"/>
      <c r="F547" s="8"/>
      <c r="H547" s="9"/>
      <c r="J547" s="10"/>
      <c r="K547" s="10"/>
    </row>
    <row r="548" spans="1:11" s="6" customFormat="1" x14ac:dyDescent="0.3">
      <c r="A548" s="7"/>
      <c r="E548" s="8"/>
      <c r="F548" s="8"/>
      <c r="H548" s="9"/>
      <c r="J548" s="10"/>
      <c r="K548" s="10"/>
    </row>
    <row r="549" spans="1:11" s="6" customFormat="1" x14ac:dyDescent="0.3">
      <c r="A549" s="7"/>
      <c r="E549" s="8"/>
      <c r="F549" s="8"/>
      <c r="H549" s="9"/>
      <c r="J549" s="10"/>
      <c r="K549" s="10"/>
    </row>
    <row r="550" spans="1:11" s="6" customFormat="1" x14ac:dyDescent="0.3">
      <c r="A550" s="7"/>
      <c r="E550" s="8"/>
      <c r="F550" s="8"/>
      <c r="H550" s="9"/>
      <c r="J550" s="10"/>
      <c r="K550" s="10"/>
    </row>
    <row r="551" spans="1:11" s="6" customFormat="1" x14ac:dyDescent="0.3">
      <c r="A551" s="7"/>
      <c r="E551" s="8"/>
      <c r="F551" s="8"/>
      <c r="H551" s="9"/>
      <c r="J551" s="10"/>
      <c r="K551" s="10"/>
    </row>
    <row r="552" spans="1:11" s="6" customFormat="1" x14ac:dyDescent="0.3">
      <c r="A552" s="7"/>
      <c r="E552" s="8"/>
      <c r="F552" s="8"/>
      <c r="H552" s="9"/>
      <c r="J552" s="10"/>
      <c r="K552" s="10"/>
    </row>
    <row r="553" spans="1:11" s="6" customFormat="1" x14ac:dyDescent="0.3">
      <c r="A553" s="7"/>
      <c r="E553" s="8"/>
      <c r="F553" s="8"/>
      <c r="H553" s="9"/>
      <c r="J553" s="10"/>
      <c r="K553" s="10"/>
    </row>
    <row r="554" spans="1:11" s="6" customFormat="1" x14ac:dyDescent="0.3">
      <c r="A554" s="7"/>
      <c r="E554" s="8"/>
      <c r="F554" s="8"/>
      <c r="H554" s="9"/>
      <c r="J554" s="10"/>
      <c r="K554" s="10"/>
    </row>
    <row r="555" spans="1:11" s="6" customFormat="1" x14ac:dyDescent="0.3">
      <c r="A555" s="7"/>
      <c r="E555" s="8"/>
      <c r="F555" s="8"/>
      <c r="H555" s="9"/>
      <c r="J555" s="10"/>
      <c r="K555" s="10"/>
    </row>
    <row r="556" spans="1:11" s="6" customFormat="1" x14ac:dyDescent="0.3">
      <c r="A556" s="7"/>
      <c r="E556" s="8"/>
      <c r="F556" s="8"/>
      <c r="H556" s="9"/>
      <c r="J556" s="10"/>
      <c r="K556" s="10"/>
    </row>
    <row r="557" spans="1:11" s="6" customFormat="1" x14ac:dyDescent="0.3">
      <c r="A557" s="7"/>
      <c r="E557" s="8"/>
      <c r="F557" s="8"/>
      <c r="H557" s="9"/>
      <c r="J557" s="10"/>
      <c r="K557" s="10"/>
    </row>
    <row r="558" spans="1:11" s="6" customFormat="1" x14ac:dyDescent="0.3">
      <c r="A558" s="7"/>
      <c r="E558" s="8"/>
      <c r="F558" s="8"/>
      <c r="H558" s="9"/>
      <c r="J558" s="10"/>
      <c r="K558" s="10"/>
    </row>
    <row r="559" spans="1:11" s="6" customFormat="1" x14ac:dyDescent="0.3">
      <c r="A559" s="7"/>
      <c r="E559" s="8"/>
      <c r="F559" s="8"/>
      <c r="H559" s="9"/>
      <c r="J559" s="10"/>
      <c r="K559" s="10"/>
    </row>
    <row r="560" spans="1:11" s="6" customFormat="1" x14ac:dyDescent="0.3">
      <c r="A560" s="7"/>
      <c r="E560" s="8"/>
      <c r="F560" s="8"/>
      <c r="H560" s="9"/>
      <c r="J560" s="10"/>
      <c r="K560" s="10"/>
    </row>
    <row r="561" spans="1:11" s="6" customFormat="1" x14ac:dyDescent="0.3">
      <c r="A561" s="7"/>
      <c r="E561" s="8"/>
      <c r="F561" s="8"/>
      <c r="H561" s="9"/>
      <c r="J561" s="10"/>
      <c r="K561" s="10"/>
    </row>
    <row r="562" spans="1:11" s="6" customFormat="1" x14ac:dyDescent="0.3">
      <c r="A562" s="7"/>
      <c r="E562" s="8"/>
      <c r="F562" s="8"/>
      <c r="H562" s="9"/>
      <c r="J562" s="10"/>
      <c r="K562" s="10"/>
    </row>
    <row r="563" spans="1:11" s="6" customFormat="1" x14ac:dyDescent="0.3">
      <c r="A563" s="7"/>
      <c r="E563" s="8"/>
      <c r="F563" s="8"/>
      <c r="H563" s="9"/>
      <c r="J563" s="10"/>
      <c r="K563" s="10"/>
    </row>
    <row r="564" spans="1:11" s="6" customFormat="1" x14ac:dyDescent="0.3">
      <c r="A564" s="7"/>
      <c r="E564" s="8"/>
      <c r="F564" s="8"/>
      <c r="H564" s="9"/>
      <c r="J564" s="10"/>
      <c r="K564" s="10"/>
    </row>
    <row r="565" spans="1:11" s="6" customFormat="1" x14ac:dyDescent="0.3">
      <c r="A565" s="7"/>
      <c r="E565" s="8"/>
      <c r="F565" s="8"/>
      <c r="H565" s="9"/>
      <c r="J565" s="10"/>
      <c r="K565" s="10"/>
    </row>
    <row r="566" spans="1:11" s="6" customFormat="1" x14ac:dyDescent="0.3">
      <c r="A566" s="7"/>
      <c r="E566" s="8"/>
      <c r="F566" s="8"/>
      <c r="H566" s="9"/>
      <c r="J566" s="10"/>
      <c r="K566" s="10"/>
    </row>
    <row r="567" spans="1:11" s="6" customFormat="1" x14ac:dyDescent="0.3">
      <c r="A567" s="7"/>
      <c r="E567" s="8"/>
      <c r="F567" s="8"/>
      <c r="H567" s="9"/>
      <c r="J567" s="10"/>
      <c r="K567" s="10"/>
    </row>
    <row r="568" spans="1:11" s="6" customFormat="1" x14ac:dyDescent="0.3">
      <c r="A568" s="7"/>
      <c r="E568" s="8"/>
      <c r="F568" s="8"/>
      <c r="H568" s="9"/>
      <c r="J568" s="10"/>
      <c r="K568" s="10"/>
    </row>
    <row r="569" spans="1:11" s="6" customFormat="1" x14ac:dyDescent="0.3">
      <c r="A569" s="7"/>
      <c r="E569" s="8"/>
      <c r="F569" s="8"/>
      <c r="H569" s="9"/>
      <c r="J569" s="10"/>
      <c r="K569" s="10"/>
    </row>
    <row r="570" spans="1:11" s="6" customFormat="1" x14ac:dyDescent="0.3">
      <c r="A570" s="7"/>
      <c r="E570" s="8"/>
      <c r="F570" s="8"/>
      <c r="H570" s="9"/>
      <c r="J570" s="10"/>
      <c r="K570" s="10"/>
    </row>
    <row r="571" spans="1:11" s="6" customFormat="1" x14ac:dyDescent="0.3">
      <c r="A571" s="7"/>
      <c r="E571" s="8"/>
      <c r="F571" s="8"/>
      <c r="H571" s="9"/>
      <c r="J571" s="10"/>
      <c r="K571" s="10"/>
    </row>
    <row r="572" spans="1:11" s="6" customFormat="1" x14ac:dyDescent="0.3">
      <c r="A572" s="7"/>
      <c r="E572" s="8"/>
      <c r="F572" s="8"/>
      <c r="H572" s="9"/>
      <c r="J572" s="10"/>
      <c r="K572" s="10"/>
    </row>
    <row r="573" spans="1:11" s="6" customFormat="1" x14ac:dyDescent="0.3">
      <c r="A573" s="7"/>
      <c r="E573" s="8"/>
      <c r="F573" s="8"/>
      <c r="H573" s="9"/>
      <c r="J573" s="10"/>
      <c r="K573" s="10"/>
    </row>
    <row r="574" spans="1:11" s="6" customFormat="1" x14ac:dyDescent="0.3">
      <c r="A574" s="7"/>
      <c r="E574" s="8"/>
      <c r="F574" s="8"/>
      <c r="H574" s="9"/>
      <c r="J574" s="10"/>
      <c r="K574" s="10"/>
    </row>
    <row r="575" spans="1:11" s="6" customFormat="1" x14ac:dyDescent="0.3">
      <c r="A575" s="7"/>
      <c r="E575" s="8"/>
      <c r="F575" s="8"/>
      <c r="H575" s="9"/>
      <c r="J575" s="10"/>
      <c r="K575" s="10"/>
    </row>
    <row r="576" spans="1:11" s="6" customFormat="1" x14ac:dyDescent="0.3">
      <c r="A576" s="7"/>
      <c r="E576" s="8"/>
      <c r="F576" s="8"/>
      <c r="H576" s="9"/>
      <c r="J576" s="10"/>
      <c r="K576" s="10"/>
    </row>
    <row r="577" spans="1:11" s="6" customFormat="1" x14ac:dyDescent="0.3">
      <c r="A577" s="7"/>
      <c r="E577" s="8"/>
      <c r="F577" s="8"/>
      <c r="H577" s="9"/>
      <c r="J577" s="10"/>
      <c r="K577" s="10"/>
    </row>
    <row r="578" spans="1:11" s="6" customFormat="1" x14ac:dyDescent="0.3">
      <c r="A578" s="7"/>
      <c r="E578" s="8"/>
      <c r="F578" s="8"/>
      <c r="H578" s="9"/>
      <c r="J578" s="10"/>
      <c r="K578" s="10"/>
    </row>
    <row r="579" spans="1:11" s="6" customFormat="1" x14ac:dyDescent="0.3">
      <c r="A579" s="7"/>
      <c r="E579" s="8"/>
      <c r="F579" s="8"/>
      <c r="H579" s="9"/>
      <c r="J579" s="10"/>
      <c r="K579" s="10"/>
    </row>
    <row r="580" spans="1:11" s="6" customFormat="1" x14ac:dyDescent="0.3">
      <c r="A580" s="7"/>
      <c r="E580" s="8"/>
      <c r="F580" s="8"/>
      <c r="H580" s="9"/>
      <c r="J580" s="10"/>
      <c r="K580" s="10"/>
    </row>
    <row r="581" spans="1:11" s="6" customFormat="1" x14ac:dyDescent="0.3">
      <c r="A581" s="7"/>
      <c r="E581" s="8"/>
      <c r="F581" s="8"/>
      <c r="H581" s="9"/>
      <c r="J581" s="10"/>
      <c r="K581" s="10"/>
    </row>
    <row r="582" spans="1:11" s="6" customFormat="1" x14ac:dyDescent="0.3">
      <c r="A582" s="7"/>
      <c r="E582" s="8"/>
      <c r="F582" s="8"/>
      <c r="H582" s="9"/>
      <c r="J582" s="10"/>
      <c r="K582" s="10"/>
    </row>
    <row r="583" spans="1:11" s="6" customFormat="1" x14ac:dyDescent="0.3">
      <c r="A583" s="7"/>
      <c r="E583" s="8"/>
      <c r="F583" s="8"/>
      <c r="H583" s="9"/>
      <c r="J583" s="10"/>
      <c r="K583" s="10"/>
    </row>
    <row r="584" spans="1:11" s="6" customFormat="1" x14ac:dyDescent="0.3">
      <c r="A584" s="7"/>
      <c r="E584" s="8"/>
      <c r="F584" s="8"/>
      <c r="H584" s="9"/>
      <c r="J584" s="10"/>
      <c r="K584" s="10"/>
    </row>
    <row r="585" spans="1:11" s="6" customFormat="1" x14ac:dyDescent="0.3">
      <c r="A585" s="7"/>
      <c r="E585" s="8"/>
      <c r="F585" s="8"/>
      <c r="H585" s="9"/>
      <c r="J585" s="10"/>
      <c r="K585" s="10"/>
    </row>
    <row r="586" spans="1:11" s="6" customFormat="1" x14ac:dyDescent="0.3">
      <c r="A586" s="7"/>
      <c r="E586" s="8"/>
      <c r="F586" s="8"/>
      <c r="H586" s="9"/>
      <c r="J586" s="10"/>
      <c r="K586" s="10"/>
    </row>
    <row r="587" spans="1:11" s="6" customFormat="1" x14ac:dyDescent="0.3">
      <c r="A587" s="7"/>
      <c r="E587" s="8"/>
      <c r="F587" s="8"/>
      <c r="H587" s="9"/>
      <c r="J587" s="10"/>
      <c r="K587" s="10"/>
    </row>
    <row r="588" spans="1:11" s="6" customFormat="1" x14ac:dyDescent="0.3">
      <c r="A588" s="7"/>
      <c r="E588" s="8"/>
      <c r="F588" s="8"/>
      <c r="H588" s="9"/>
      <c r="J588" s="10"/>
      <c r="K588" s="10"/>
    </row>
    <row r="589" spans="1:11" s="6" customFormat="1" x14ac:dyDescent="0.3">
      <c r="A589" s="7"/>
      <c r="E589" s="8"/>
      <c r="F589" s="8"/>
      <c r="H589" s="9"/>
      <c r="J589" s="10"/>
      <c r="K589" s="10"/>
    </row>
    <row r="590" spans="1:11" s="6" customFormat="1" x14ac:dyDescent="0.3">
      <c r="A590" s="7"/>
      <c r="E590" s="8"/>
      <c r="F590" s="8"/>
      <c r="H590" s="9"/>
      <c r="J590" s="10"/>
      <c r="K590" s="10"/>
    </row>
    <row r="591" spans="1:11" s="6" customFormat="1" x14ac:dyDescent="0.3">
      <c r="A591" s="7"/>
      <c r="E591" s="8"/>
      <c r="F591" s="8"/>
      <c r="H591" s="9"/>
      <c r="J591" s="10"/>
      <c r="K591" s="10"/>
    </row>
    <row r="592" spans="1:11" s="6" customFormat="1" x14ac:dyDescent="0.3">
      <c r="A592" s="7"/>
      <c r="E592" s="8"/>
      <c r="F592" s="8"/>
      <c r="H592" s="9"/>
      <c r="J592" s="10"/>
      <c r="K592" s="10"/>
    </row>
    <row r="593" spans="1:11" s="6" customFormat="1" x14ac:dyDescent="0.3">
      <c r="A593" s="7"/>
      <c r="E593" s="8"/>
      <c r="F593" s="8"/>
      <c r="H593" s="9"/>
      <c r="J593" s="10"/>
      <c r="K593" s="10"/>
    </row>
    <row r="594" spans="1:11" s="6" customFormat="1" x14ac:dyDescent="0.3">
      <c r="A594" s="7"/>
      <c r="E594" s="8"/>
      <c r="F594" s="8"/>
      <c r="H594" s="9"/>
      <c r="J594" s="10"/>
      <c r="K594" s="10"/>
    </row>
    <row r="595" spans="1:11" s="6" customFormat="1" x14ac:dyDescent="0.3">
      <c r="A595" s="7"/>
      <c r="E595" s="8"/>
      <c r="F595" s="8"/>
      <c r="H595" s="9"/>
      <c r="J595" s="10"/>
      <c r="K595" s="10"/>
    </row>
    <row r="596" spans="1:11" s="6" customFormat="1" x14ac:dyDescent="0.3">
      <c r="A596" s="7"/>
      <c r="E596" s="8"/>
      <c r="F596" s="8"/>
      <c r="H596" s="9"/>
      <c r="J596" s="10"/>
      <c r="K596" s="10"/>
    </row>
    <row r="597" spans="1:11" s="6" customFormat="1" x14ac:dyDescent="0.3">
      <c r="A597" s="7"/>
      <c r="E597" s="8"/>
      <c r="F597" s="8"/>
      <c r="H597" s="9"/>
      <c r="J597" s="10"/>
      <c r="K597" s="10"/>
    </row>
    <row r="598" spans="1:11" s="6" customFormat="1" x14ac:dyDescent="0.3">
      <c r="A598" s="7"/>
      <c r="E598" s="8"/>
      <c r="F598" s="8"/>
      <c r="H598" s="9"/>
      <c r="J598" s="10"/>
      <c r="K598" s="10"/>
    </row>
    <row r="599" spans="1:11" s="6" customFormat="1" x14ac:dyDescent="0.3">
      <c r="A599" s="7"/>
      <c r="E599" s="8"/>
      <c r="F599" s="8"/>
      <c r="H599" s="9"/>
      <c r="J599" s="10"/>
      <c r="K599" s="10"/>
    </row>
    <row r="600" spans="1:11" s="6" customFormat="1" x14ac:dyDescent="0.3">
      <c r="A600" s="7"/>
      <c r="E600" s="8"/>
      <c r="F600" s="8"/>
      <c r="H600" s="9"/>
      <c r="J600" s="10"/>
      <c r="K600" s="10"/>
    </row>
    <row r="601" spans="1:11" s="6" customFormat="1" x14ac:dyDescent="0.3">
      <c r="A601" s="7"/>
      <c r="E601" s="8"/>
      <c r="F601" s="8"/>
      <c r="H601" s="9"/>
      <c r="J601" s="10"/>
      <c r="K601" s="10"/>
    </row>
    <row r="602" spans="1:11" s="6" customFormat="1" x14ac:dyDescent="0.3">
      <c r="A602" s="7"/>
      <c r="E602" s="8"/>
      <c r="F602" s="8"/>
      <c r="H602" s="9"/>
      <c r="J602" s="10"/>
      <c r="K602" s="10"/>
    </row>
    <row r="603" spans="1:11" s="6" customFormat="1" x14ac:dyDescent="0.3">
      <c r="A603" s="7"/>
      <c r="E603" s="8"/>
      <c r="F603" s="8"/>
      <c r="H603" s="9"/>
      <c r="J603" s="10"/>
      <c r="K603" s="10"/>
    </row>
    <row r="604" spans="1:11" s="6" customFormat="1" x14ac:dyDescent="0.3">
      <c r="A604" s="7"/>
      <c r="E604" s="8"/>
      <c r="F604" s="8"/>
      <c r="H604" s="9"/>
      <c r="J604" s="10"/>
      <c r="K604" s="10"/>
    </row>
    <row r="605" spans="1:11" s="6" customFormat="1" x14ac:dyDescent="0.3">
      <c r="A605" s="7"/>
      <c r="E605" s="8"/>
      <c r="F605" s="8"/>
      <c r="H605" s="9"/>
      <c r="J605" s="10"/>
      <c r="K605" s="10"/>
    </row>
    <row r="606" spans="1:11" s="6" customFormat="1" x14ac:dyDescent="0.3">
      <c r="A606" s="7"/>
      <c r="E606" s="8"/>
      <c r="F606" s="8"/>
      <c r="H606" s="9"/>
      <c r="J606" s="10"/>
      <c r="K606" s="10"/>
    </row>
    <row r="607" spans="1:11" s="6" customFormat="1" x14ac:dyDescent="0.3">
      <c r="A607" s="7"/>
      <c r="E607" s="8"/>
      <c r="F607" s="8"/>
      <c r="H607" s="9"/>
      <c r="J607" s="10"/>
      <c r="K607" s="10"/>
    </row>
    <row r="608" spans="1:11" s="6" customFormat="1" x14ac:dyDescent="0.3">
      <c r="A608" s="7"/>
      <c r="E608" s="8"/>
      <c r="F608" s="8"/>
      <c r="H608" s="9"/>
      <c r="J608" s="10"/>
      <c r="K608" s="10"/>
    </row>
    <row r="609" spans="1:11" s="6" customFormat="1" x14ac:dyDescent="0.3">
      <c r="A609" s="7"/>
      <c r="E609" s="8"/>
      <c r="F609" s="8"/>
      <c r="H609" s="9"/>
      <c r="J609" s="10"/>
      <c r="K609" s="10"/>
    </row>
    <row r="610" spans="1:11" s="6" customFormat="1" x14ac:dyDescent="0.3">
      <c r="A610" s="7"/>
      <c r="E610" s="8"/>
      <c r="F610" s="8"/>
      <c r="H610" s="9"/>
      <c r="J610" s="10"/>
      <c r="K610" s="10"/>
    </row>
    <row r="611" spans="1:11" s="6" customFormat="1" x14ac:dyDescent="0.3">
      <c r="A611" s="7"/>
      <c r="E611" s="8"/>
      <c r="F611" s="8"/>
      <c r="H611" s="9"/>
      <c r="J611" s="10"/>
      <c r="K611" s="10"/>
    </row>
    <row r="612" spans="1:11" s="6" customFormat="1" x14ac:dyDescent="0.3">
      <c r="A612" s="7"/>
      <c r="E612" s="8"/>
      <c r="F612" s="8"/>
      <c r="H612" s="9"/>
      <c r="J612" s="10"/>
      <c r="K612" s="10"/>
    </row>
    <row r="613" spans="1:11" s="6" customFormat="1" x14ac:dyDescent="0.3">
      <c r="A613" s="7"/>
      <c r="E613" s="8"/>
      <c r="F613" s="8"/>
      <c r="H613" s="9"/>
      <c r="J613" s="10"/>
      <c r="K613" s="10"/>
    </row>
    <row r="614" spans="1:11" s="6" customFormat="1" x14ac:dyDescent="0.3">
      <c r="A614" s="7"/>
      <c r="E614" s="8"/>
      <c r="F614" s="8"/>
      <c r="H614" s="9"/>
      <c r="J614" s="10"/>
      <c r="K614" s="10"/>
    </row>
    <row r="615" spans="1:11" s="6" customFormat="1" x14ac:dyDescent="0.3">
      <c r="A615" s="7"/>
      <c r="E615" s="8"/>
      <c r="F615" s="8"/>
      <c r="H615" s="9"/>
      <c r="J615" s="10"/>
      <c r="K615" s="10"/>
    </row>
    <row r="616" spans="1:11" s="6" customFormat="1" x14ac:dyDescent="0.3">
      <c r="A616" s="7"/>
      <c r="E616" s="8"/>
      <c r="F616" s="8"/>
      <c r="H616" s="9"/>
      <c r="J616" s="10"/>
      <c r="K616" s="10"/>
    </row>
    <row r="617" spans="1:11" s="6" customFormat="1" x14ac:dyDescent="0.3">
      <c r="A617" s="7"/>
      <c r="E617" s="8"/>
      <c r="F617" s="8"/>
      <c r="H617" s="9"/>
      <c r="J617" s="10"/>
      <c r="K617" s="10"/>
    </row>
    <row r="618" spans="1:11" s="6" customFormat="1" x14ac:dyDescent="0.3">
      <c r="A618" s="7"/>
      <c r="E618" s="8"/>
      <c r="F618" s="8"/>
      <c r="H618" s="9"/>
      <c r="J618" s="10"/>
      <c r="K618" s="10"/>
    </row>
    <row r="619" spans="1:11" s="6" customFormat="1" x14ac:dyDescent="0.3">
      <c r="A619" s="7"/>
      <c r="E619" s="8"/>
      <c r="F619" s="8"/>
      <c r="H619" s="9"/>
      <c r="J619" s="10"/>
      <c r="K619" s="10"/>
    </row>
    <row r="620" spans="1:11" s="6" customFormat="1" x14ac:dyDescent="0.3">
      <c r="A620" s="7"/>
      <c r="E620" s="8"/>
      <c r="F620" s="8"/>
      <c r="H620" s="9"/>
      <c r="J620" s="10"/>
      <c r="K620" s="10"/>
    </row>
    <row r="621" spans="1:11" s="6" customFormat="1" x14ac:dyDescent="0.3">
      <c r="A621" s="7"/>
      <c r="E621" s="8"/>
      <c r="F621" s="8"/>
      <c r="H621" s="9"/>
      <c r="J621" s="10"/>
      <c r="K621" s="10"/>
    </row>
    <row r="622" spans="1:11" s="6" customFormat="1" x14ac:dyDescent="0.3">
      <c r="A622" s="7"/>
      <c r="E622" s="8"/>
      <c r="F622" s="8"/>
      <c r="H622" s="9"/>
      <c r="J622" s="10"/>
      <c r="K622" s="10"/>
    </row>
    <row r="623" spans="1:11" s="6" customFormat="1" x14ac:dyDescent="0.3">
      <c r="A623" s="7"/>
      <c r="E623" s="8"/>
      <c r="F623" s="8"/>
      <c r="H623" s="9"/>
      <c r="J623" s="10"/>
      <c r="K623" s="10"/>
    </row>
    <row r="624" spans="1:11" s="6" customFormat="1" x14ac:dyDescent="0.3">
      <c r="A624" s="7"/>
      <c r="E624" s="8"/>
      <c r="F624" s="8"/>
      <c r="H624" s="9"/>
      <c r="J624" s="10"/>
      <c r="K624" s="10"/>
    </row>
    <row r="625" spans="1:11" s="6" customFormat="1" x14ac:dyDescent="0.3">
      <c r="A625" s="7"/>
      <c r="E625" s="8"/>
      <c r="F625" s="8"/>
      <c r="H625" s="9"/>
      <c r="J625" s="10"/>
      <c r="K625" s="10"/>
    </row>
    <row r="626" spans="1:11" s="6" customFormat="1" x14ac:dyDescent="0.3">
      <c r="A626" s="7"/>
      <c r="E626" s="8"/>
      <c r="F626" s="8"/>
      <c r="H626" s="9"/>
      <c r="J626" s="10"/>
      <c r="K626" s="10"/>
    </row>
    <row r="627" spans="1:11" s="6" customFormat="1" x14ac:dyDescent="0.3">
      <c r="A627" s="7"/>
      <c r="E627" s="8"/>
      <c r="F627" s="8"/>
      <c r="H627" s="9"/>
      <c r="J627" s="10"/>
      <c r="K627" s="10"/>
    </row>
    <row r="628" spans="1:11" s="6" customFormat="1" x14ac:dyDescent="0.3">
      <c r="A628" s="7"/>
      <c r="E628" s="8"/>
      <c r="F628" s="8"/>
      <c r="H628" s="9"/>
      <c r="J628" s="10"/>
      <c r="K628" s="10"/>
    </row>
    <row r="629" spans="1:11" s="6" customFormat="1" x14ac:dyDescent="0.3">
      <c r="A629" s="7"/>
      <c r="E629" s="8"/>
      <c r="F629" s="8"/>
      <c r="H629" s="9"/>
      <c r="J629" s="10"/>
      <c r="K629" s="10"/>
    </row>
    <row r="630" spans="1:11" s="6" customFormat="1" x14ac:dyDescent="0.3">
      <c r="A630" s="7"/>
      <c r="E630" s="8"/>
      <c r="F630" s="8"/>
      <c r="H630" s="9"/>
      <c r="J630" s="10"/>
      <c r="K630" s="10"/>
    </row>
    <row r="631" spans="1:11" s="6" customFormat="1" x14ac:dyDescent="0.3">
      <c r="A631" s="7"/>
      <c r="E631" s="8"/>
      <c r="F631" s="8"/>
      <c r="H631" s="9"/>
      <c r="J631" s="10"/>
      <c r="K631" s="10"/>
    </row>
    <row r="632" spans="1:11" s="6" customFormat="1" x14ac:dyDescent="0.3">
      <c r="A632" s="7"/>
      <c r="E632" s="8"/>
      <c r="F632" s="8"/>
      <c r="H632" s="9"/>
      <c r="J632" s="10"/>
      <c r="K632" s="10"/>
    </row>
    <row r="633" spans="1:11" s="6" customFormat="1" x14ac:dyDescent="0.3">
      <c r="A633" s="7"/>
      <c r="E633" s="8"/>
      <c r="F633" s="8"/>
      <c r="H633" s="9"/>
      <c r="J633" s="10"/>
      <c r="K633" s="10"/>
    </row>
    <row r="634" spans="1:11" s="6" customFormat="1" x14ac:dyDescent="0.3">
      <c r="A634" s="7"/>
      <c r="E634" s="8"/>
      <c r="F634" s="8"/>
      <c r="H634" s="9"/>
      <c r="J634" s="10"/>
      <c r="K634" s="10"/>
    </row>
    <row r="635" spans="1:11" s="6" customFormat="1" x14ac:dyDescent="0.3">
      <c r="A635" s="7"/>
      <c r="E635" s="8"/>
      <c r="F635" s="8"/>
      <c r="H635" s="9"/>
      <c r="J635" s="10"/>
      <c r="K635" s="10"/>
    </row>
    <row r="636" spans="1:11" s="6" customFormat="1" x14ac:dyDescent="0.3">
      <c r="A636" s="7"/>
      <c r="E636" s="8"/>
      <c r="F636" s="8"/>
      <c r="H636" s="9"/>
      <c r="J636" s="10"/>
      <c r="K636" s="10"/>
    </row>
    <row r="637" spans="1:11" s="6" customFormat="1" x14ac:dyDescent="0.3">
      <c r="A637" s="7"/>
      <c r="E637" s="8"/>
      <c r="F637" s="8"/>
      <c r="H637" s="9"/>
      <c r="J637" s="10"/>
      <c r="K637" s="10"/>
    </row>
    <row r="638" spans="1:11" s="6" customFormat="1" x14ac:dyDescent="0.3">
      <c r="A638" s="7"/>
      <c r="E638" s="8"/>
      <c r="F638" s="8"/>
      <c r="H638" s="9"/>
      <c r="J638" s="10"/>
      <c r="K638" s="10"/>
    </row>
    <row r="639" spans="1:11" s="6" customFormat="1" x14ac:dyDescent="0.3">
      <c r="A639" s="7"/>
      <c r="E639" s="8"/>
      <c r="F639" s="8"/>
      <c r="H639" s="9"/>
      <c r="J639" s="10"/>
      <c r="K639" s="10"/>
    </row>
    <row r="640" spans="1:11" s="6" customFormat="1" x14ac:dyDescent="0.3">
      <c r="A640" s="7"/>
      <c r="E640" s="8"/>
      <c r="F640" s="8"/>
      <c r="H640" s="9"/>
      <c r="J640" s="10"/>
      <c r="K640" s="10"/>
    </row>
    <row r="641" spans="1:11" s="6" customFormat="1" x14ac:dyDescent="0.3">
      <c r="A641" s="7"/>
      <c r="E641" s="8"/>
      <c r="F641" s="8"/>
      <c r="H641" s="9"/>
      <c r="J641" s="10"/>
      <c r="K641" s="10"/>
    </row>
    <row r="642" spans="1:11" s="6" customFormat="1" x14ac:dyDescent="0.3">
      <c r="A642" s="7"/>
      <c r="E642" s="8"/>
      <c r="F642" s="8"/>
      <c r="H642" s="9"/>
      <c r="J642" s="10"/>
      <c r="K642" s="10"/>
    </row>
    <row r="643" spans="1:11" s="6" customFormat="1" x14ac:dyDescent="0.3">
      <c r="A643" s="7"/>
      <c r="E643" s="8"/>
      <c r="F643" s="8"/>
      <c r="H643" s="9"/>
      <c r="J643" s="10"/>
      <c r="K643" s="10"/>
    </row>
    <row r="644" spans="1:11" s="6" customFormat="1" x14ac:dyDescent="0.3">
      <c r="A644" s="7"/>
      <c r="E644" s="8"/>
      <c r="F644" s="8"/>
      <c r="H644" s="9"/>
      <c r="J644" s="10"/>
      <c r="K644" s="10"/>
    </row>
    <row r="645" spans="1:11" s="6" customFormat="1" x14ac:dyDescent="0.3">
      <c r="A645" s="7"/>
      <c r="E645" s="8"/>
      <c r="F645" s="8"/>
      <c r="H645" s="9"/>
      <c r="J645" s="10"/>
      <c r="K645" s="10"/>
    </row>
    <row r="646" spans="1:11" s="6" customFormat="1" x14ac:dyDescent="0.3">
      <c r="A646" s="7"/>
      <c r="E646" s="8"/>
      <c r="F646" s="8"/>
      <c r="H646" s="9"/>
      <c r="J646" s="10"/>
      <c r="K646" s="10"/>
    </row>
    <row r="647" spans="1:11" s="6" customFormat="1" x14ac:dyDescent="0.3">
      <c r="A647" s="7"/>
      <c r="E647" s="8"/>
      <c r="F647" s="8"/>
      <c r="H647" s="9"/>
      <c r="J647" s="10"/>
      <c r="K647" s="10"/>
    </row>
    <row r="648" spans="1:11" s="6" customFormat="1" x14ac:dyDescent="0.3">
      <c r="A648" s="7"/>
      <c r="E648" s="8"/>
      <c r="F648" s="8"/>
      <c r="H648" s="9"/>
      <c r="J648" s="10"/>
      <c r="K648" s="10"/>
    </row>
    <row r="649" spans="1:11" s="6" customFormat="1" x14ac:dyDescent="0.3">
      <c r="A649" s="7"/>
      <c r="E649" s="8"/>
      <c r="F649" s="8"/>
      <c r="H649" s="9"/>
      <c r="J649" s="10"/>
      <c r="K649" s="10"/>
    </row>
    <row r="650" spans="1:11" s="6" customFormat="1" x14ac:dyDescent="0.3">
      <c r="A650" s="7"/>
      <c r="E650" s="8"/>
      <c r="F650" s="8"/>
      <c r="H650" s="9"/>
      <c r="J650" s="10"/>
      <c r="K650" s="10"/>
    </row>
    <row r="651" spans="1:11" s="6" customFormat="1" x14ac:dyDescent="0.3">
      <c r="A651" s="7"/>
      <c r="E651" s="8"/>
      <c r="F651" s="8"/>
      <c r="H651" s="9"/>
      <c r="J651" s="10"/>
      <c r="K651" s="10"/>
    </row>
    <row r="652" spans="1:11" s="6" customFormat="1" x14ac:dyDescent="0.3">
      <c r="A652" s="7"/>
      <c r="E652" s="8"/>
      <c r="F652" s="8"/>
      <c r="H652" s="9"/>
      <c r="J652" s="10"/>
      <c r="K652" s="10"/>
    </row>
    <row r="653" spans="1:11" s="6" customFormat="1" x14ac:dyDescent="0.3">
      <c r="A653" s="7"/>
      <c r="E653" s="8"/>
      <c r="F653" s="8"/>
      <c r="H653" s="9"/>
      <c r="J653" s="10"/>
      <c r="K653" s="10"/>
    </row>
    <row r="654" spans="1:11" s="6" customFormat="1" x14ac:dyDescent="0.3">
      <c r="A654" s="7"/>
      <c r="E654" s="8"/>
      <c r="F654" s="8"/>
      <c r="H654" s="9"/>
      <c r="J654" s="10"/>
      <c r="K654" s="10"/>
    </row>
    <row r="655" spans="1:11" s="6" customFormat="1" x14ac:dyDescent="0.3">
      <c r="A655" s="7"/>
      <c r="E655" s="8"/>
      <c r="F655" s="8"/>
      <c r="H655" s="9"/>
      <c r="J655" s="10"/>
      <c r="K655" s="10"/>
    </row>
    <row r="656" spans="1:11" s="6" customFormat="1" x14ac:dyDescent="0.3">
      <c r="A656" s="7"/>
      <c r="E656" s="8"/>
      <c r="F656" s="8"/>
      <c r="H656" s="9"/>
      <c r="J656" s="10"/>
      <c r="K656" s="10"/>
    </row>
    <row r="657" spans="1:11" s="6" customFormat="1" x14ac:dyDescent="0.3">
      <c r="A657" s="7"/>
      <c r="E657" s="8"/>
      <c r="F657" s="8"/>
      <c r="H657" s="9"/>
      <c r="J657" s="10"/>
      <c r="K657" s="10"/>
    </row>
    <row r="658" spans="1:11" s="6" customFormat="1" x14ac:dyDescent="0.3">
      <c r="A658" s="7"/>
      <c r="E658" s="8"/>
      <c r="F658" s="8"/>
      <c r="H658" s="9"/>
      <c r="J658" s="10"/>
      <c r="K658" s="10"/>
    </row>
    <row r="659" spans="1:11" s="6" customFormat="1" x14ac:dyDescent="0.3">
      <c r="A659" s="7"/>
      <c r="E659" s="8"/>
      <c r="F659" s="8"/>
      <c r="H659" s="9"/>
      <c r="J659" s="10"/>
      <c r="K659" s="10"/>
    </row>
    <row r="660" spans="1:11" s="6" customFormat="1" x14ac:dyDescent="0.3">
      <c r="A660" s="7"/>
      <c r="E660" s="8"/>
      <c r="F660" s="8"/>
      <c r="H660" s="9"/>
      <c r="J660" s="10"/>
      <c r="K660" s="10"/>
    </row>
    <row r="661" spans="1:11" s="6" customFormat="1" x14ac:dyDescent="0.3">
      <c r="A661" s="7"/>
      <c r="E661" s="8"/>
      <c r="F661" s="8"/>
      <c r="H661" s="9"/>
      <c r="J661" s="10"/>
      <c r="K661" s="10"/>
    </row>
    <row r="662" spans="1:11" s="6" customFormat="1" x14ac:dyDescent="0.3">
      <c r="A662" s="7"/>
      <c r="E662" s="8"/>
      <c r="F662" s="8"/>
      <c r="H662" s="9"/>
      <c r="J662" s="10"/>
      <c r="K662" s="10"/>
    </row>
    <row r="663" spans="1:11" s="6" customFormat="1" x14ac:dyDescent="0.3">
      <c r="A663" s="7"/>
      <c r="E663" s="8"/>
      <c r="F663" s="8"/>
      <c r="H663" s="9"/>
      <c r="J663" s="10"/>
      <c r="K663" s="10"/>
    </row>
    <row r="664" spans="1:11" s="6" customFormat="1" x14ac:dyDescent="0.3">
      <c r="A664" s="7"/>
      <c r="E664" s="8"/>
      <c r="F664" s="8"/>
      <c r="H664" s="9"/>
      <c r="J664" s="10"/>
      <c r="K664" s="10"/>
    </row>
    <row r="665" spans="1:11" s="6" customFormat="1" x14ac:dyDescent="0.3">
      <c r="A665" s="7"/>
      <c r="E665" s="8"/>
      <c r="F665" s="8"/>
      <c r="H665" s="9"/>
      <c r="J665" s="10"/>
      <c r="K665" s="10"/>
    </row>
    <row r="666" spans="1:11" s="6" customFormat="1" x14ac:dyDescent="0.3">
      <c r="A666" s="7"/>
      <c r="E666" s="8"/>
      <c r="F666" s="8"/>
      <c r="H666" s="9"/>
      <c r="J666" s="10"/>
      <c r="K666" s="10"/>
    </row>
    <row r="667" spans="1:11" s="6" customFormat="1" x14ac:dyDescent="0.3">
      <c r="A667" s="7"/>
      <c r="E667" s="8"/>
      <c r="F667" s="8"/>
      <c r="H667" s="9"/>
      <c r="J667" s="10"/>
      <c r="K667" s="10"/>
    </row>
    <row r="668" spans="1:11" s="6" customFormat="1" x14ac:dyDescent="0.3">
      <c r="A668" s="7"/>
      <c r="E668" s="8"/>
      <c r="F668" s="8"/>
      <c r="H668" s="9"/>
      <c r="J668" s="10"/>
      <c r="K668" s="10"/>
    </row>
    <row r="669" spans="1:11" s="6" customFormat="1" x14ac:dyDescent="0.3">
      <c r="A669" s="7"/>
      <c r="E669" s="8"/>
      <c r="F669" s="8"/>
      <c r="H669" s="9"/>
      <c r="J669" s="10"/>
      <c r="K669" s="10"/>
    </row>
    <row r="670" spans="1:11" s="6" customFormat="1" x14ac:dyDescent="0.3">
      <c r="A670" s="7"/>
      <c r="E670" s="8"/>
      <c r="F670" s="8"/>
      <c r="H670" s="9"/>
      <c r="J670" s="10"/>
      <c r="K670" s="10"/>
    </row>
    <row r="671" spans="1:11" s="6" customFormat="1" x14ac:dyDescent="0.3">
      <c r="A671" s="7"/>
      <c r="E671" s="8"/>
      <c r="F671" s="8"/>
      <c r="H671" s="9"/>
      <c r="J671" s="10"/>
      <c r="K671" s="10"/>
    </row>
    <row r="672" spans="1:11" s="6" customFormat="1" x14ac:dyDescent="0.3">
      <c r="A672" s="7"/>
      <c r="E672" s="8"/>
      <c r="F672" s="8"/>
      <c r="H672" s="9"/>
      <c r="J672" s="10"/>
      <c r="K672" s="10"/>
    </row>
    <row r="673" spans="1:11" s="6" customFormat="1" x14ac:dyDescent="0.3">
      <c r="A673" s="7"/>
      <c r="E673" s="8"/>
      <c r="F673" s="8"/>
      <c r="H673" s="9"/>
      <c r="J673" s="10"/>
      <c r="K673" s="10"/>
    </row>
    <row r="674" spans="1:11" s="6" customFormat="1" x14ac:dyDescent="0.3">
      <c r="A674" s="7"/>
      <c r="E674" s="8"/>
      <c r="F674" s="8"/>
      <c r="H674" s="9"/>
      <c r="J674" s="10"/>
      <c r="K674" s="10"/>
    </row>
    <row r="675" spans="1:11" s="6" customFormat="1" x14ac:dyDescent="0.3">
      <c r="A675" s="7"/>
      <c r="E675" s="8"/>
      <c r="F675" s="8"/>
      <c r="H675" s="9"/>
      <c r="J675" s="10"/>
      <c r="K675" s="10"/>
    </row>
    <row r="676" spans="1:11" s="6" customFormat="1" x14ac:dyDescent="0.3">
      <c r="A676" s="7"/>
      <c r="E676" s="8"/>
      <c r="F676" s="8"/>
      <c r="H676" s="9"/>
      <c r="J676" s="10"/>
      <c r="K676" s="10"/>
    </row>
    <row r="677" spans="1:11" s="6" customFormat="1" x14ac:dyDescent="0.3">
      <c r="A677" s="7"/>
      <c r="E677" s="8"/>
      <c r="F677" s="8"/>
      <c r="H677" s="9"/>
      <c r="J677" s="10"/>
      <c r="K677" s="10"/>
    </row>
    <row r="678" spans="1:11" s="6" customFormat="1" x14ac:dyDescent="0.3">
      <c r="A678" s="7"/>
      <c r="E678" s="8"/>
      <c r="F678" s="8"/>
      <c r="H678" s="9"/>
      <c r="J678" s="10"/>
      <c r="K678" s="10"/>
    </row>
    <row r="679" spans="1:11" s="6" customFormat="1" x14ac:dyDescent="0.3">
      <c r="A679" s="7"/>
      <c r="E679" s="8"/>
      <c r="F679" s="8"/>
      <c r="H679" s="9"/>
      <c r="J679" s="10"/>
      <c r="K679" s="10"/>
    </row>
    <row r="680" spans="1:11" s="6" customFormat="1" x14ac:dyDescent="0.3">
      <c r="A680" s="7"/>
      <c r="E680" s="8"/>
      <c r="F680" s="8"/>
      <c r="H680" s="9"/>
      <c r="J680" s="10"/>
      <c r="K680" s="10"/>
    </row>
    <row r="681" spans="1:11" s="6" customFormat="1" x14ac:dyDescent="0.3">
      <c r="A681" s="7"/>
      <c r="E681" s="8"/>
      <c r="F681" s="8"/>
      <c r="H681" s="9"/>
      <c r="J681" s="10"/>
      <c r="K681" s="10"/>
    </row>
    <row r="682" spans="1:11" s="6" customFormat="1" x14ac:dyDescent="0.3">
      <c r="A682" s="7"/>
      <c r="E682" s="8"/>
      <c r="F682" s="8"/>
      <c r="H682" s="9"/>
      <c r="J682" s="10"/>
      <c r="K682" s="10"/>
    </row>
    <row r="683" spans="1:11" s="6" customFormat="1" x14ac:dyDescent="0.3">
      <c r="A683" s="7"/>
      <c r="E683" s="8"/>
      <c r="F683" s="8"/>
      <c r="H683" s="9"/>
      <c r="J683" s="10"/>
      <c r="K683" s="10"/>
    </row>
    <row r="684" spans="1:11" s="6" customFormat="1" x14ac:dyDescent="0.3">
      <c r="A684" s="7"/>
      <c r="E684" s="8"/>
      <c r="F684" s="8"/>
      <c r="H684" s="9"/>
      <c r="J684" s="10"/>
      <c r="K684" s="10"/>
    </row>
    <row r="685" spans="1:11" s="6" customFormat="1" x14ac:dyDescent="0.3">
      <c r="A685" s="7"/>
      <c r="E685" s="8"/>
      <c r="F685" s="8"/>
      <c r="H685" s="9"/>
      <c r="J685" s="10"/>
      <c r="K685" s="10"/>
    </row>
    <row r="686" spans="1:11" s="6" customFormat="1" x14ac:dyDescent="0.3">
      <c r="A686" s="7"/>
      <c r="E686" s="8"/>
      <c r="F686" s="8"/>
      <c r="H686" s="9"/>
      <c r="J686" s="10"/>
      <c r="K686" s="10"/>
    </row>
    <row r="687" spans="1:11" s="6" customFormat="1" x14ac:dyDescent="0.3">
      <c r="A687" s="7"/>
      <c r="E687" s="8"/>
      <c r="F687" s="8"/>
      <c r="H687" s="9"/>
      <c r="J687" s="10"/>
      <c r="K687" s="10"/>
    </row>
    <row r="688" spans="1:11" s="6" customFormat="1" x14ac:dyDescent="0.3">
      <c r="A688" s="7"/>
      <c r="E688" s="8"/>
      <c r="F688" s="8"/>
      <c r="H688" s="9"/>
      <c r="J688" s="10"/>
      <c r="K688" s="10"/>
    </row>
    <row r="689" spans="1:11" s="6" customFormat="1" x14ac:dyDescent="0.3">
      <c r="A689" s="7"/>
      <c r="E689" s="8"/>
      <c r="F689" s="8"/>
      <c r="H689" s="9"/>
      <c r="J689" s="10"/>
      <c r="K689" s="10"/>
    </row>
    <row r="690" spans="1:11" s="6" customFormat="1" x14ac:dyDescent="0.3">
      <c r="A690" s="7"/>
      <c r="E690" s="8"/>
      <c r="F690" s="8"/>
      <c r="H690" s="9"/>
      <c r="J690" s="10"/>
      <c r="K690" s="10"/>
    </row>
    <row r="691" spans="1:11" s="6" customFormat="1" x14ac:dyDescent="0.3">
      <c r="A691" s="7"/>
      <c r="E691" s="8"/>
      <c r="F691" s="8"/>
      <c r="H691" s="9"/>
      <c r="J691" s="10"/>
      <c r="K691" s="10"/>
    </row>
    <row r="692" spans="1:11" s="6" customFormat="1" x14ac:dyDescent="0.3">
      <c r="A692" s="7"/>
      <c r="E692" s="8"/>
      <c r="F692" s="8"/>
      <c r="H692" s="9"/>
      <c r="J692" s="10"/>
      <c r="K692" s="10"/>
    </row>
    <row r="693" spans="1:11" s="6" customFormat="1" x14ac:dyDescent="0.3">
      <c r="A693" s="7"/>
      <c r="E693" s="8"/>
      <c r="F693" s="8"/>
      <c r="H693" s="9"/>
      <c r="J693" s="10"/>
      <c r="K693" s="10"/>
    </row>
    <row r="694" spans="1:11" s="6" customFormat="1" x14ac:dyDescent="0.3">
      <c r="A694" s="7"/>
      <c r="E694" s="8"/>
      <c r="F694" s="8"/>
      <c r="H694" s="9"/>
      <c r="J694" s="10"/>
      <c r="K694" s="10"/>
    </row>
    <row r="695" spans="1:11" s="6" customFormat="1" x14ac:dyDescent="0.3">
      <c r="A695" s="7"/>
      <c r="E695" s="8"/>
      <c r="F695" s="8"/>
      <c r="H695" s="9"/>
      <c r="J695" s="10"/>
      <c r="K695" s="10"/>
    </row>
    <row r="696" spans="1:11" s="6" customFormat="1" x14ac:dyDescent="0.3">
      <c r="A696" s="7"/>
      <c r="E696" s="8"/>
      <c r="F696" s="8"/>
      <c r="H696" s="9"/>
      <c r="J696" s="10"/>
      <c r="K696" s="10"/>
    </row>
    <row r="697" spans="1:11" s="6" customFormat="1" x14ac:dyDescent="0.3">
      <c r="A697" s="7"/>
      <c r="E697" s="8"/>
      <c r="F697" s="8"/>
      <c r="H697" s="9"/>
      <c r="J697" s="10"/>
      <c r="K697" s="10"/>
    </row>
    <row r="698" spans="1:11" s="6" customFormat="1" x14ac:dyDescent="0.3">
      <c r="A698" s="7"/>
      <c r="E698" s="8"/>
      <c r="F698" s="8"/>
      <c r="H698" s="9"/>
      <c r="J698" s="10"/>
      <c r="K698" s="10"/>
    </row>
    <row r="699" spans="1:11" s="6" customFormat="1" x14ac:dyDescent="0.3">
      <c r="A699" s="7"/>
      <c r="E699" s="8"/>
      <c r="F699" s="8"/>
      <c r="H699" s="9"/>
      <c r="J699" s="10"/>
      <c r="K699" s="10"/>
    </row>
    <row r="700" spans="1:11" s="6" customFormat="1" x14ac:dyDescent="0.3">
      <c r="A700" s="7"/>
      <c r="E700" s="8"/>
      <c r="F700" s="8"/>
      <c r="H700" s="9"/>
      <c r="J700" s="10"/>
      <c r="K700" s="10"/>
    </row>
    <row r="701" spans="1:11" s="6" customFormat="1" x14ac:dyDescent="0.3">
      <c r="A701" s="7"/>
      <c r="E701" s="8"/>
      <c r="F701" s="8"/>
      <c r="H701" s="9"/>
      <c r="J701" s="10"/>
      <c r="K701" s="10"/>
    </row>
    <row r="702" spans="1:11" s="6" customFormat="1" x14ac:dyDescent="0.3">
      <c r="A702" s="7"/>
      <c r="E702" s="8"/>
      <c r="F702" s="8"/>
      <c r="H702" s="9"/>
      <c r="J702" s="10"/>
      <c r="K702" s="10"/>
    </row>
    <row r="703" spans="1:11" s="6" customFormat="1" x14ac:dyDescent="0.3">
      <c r="A703" s="7"/>
      <c r="E703" s="8"/>
      <c r="F703" s="8"/>
      <c r="H703" s="9"/>
      <c r="J703" s="10"/>
      <c r="K703" s="10"/>
    </row>
    <row r="704" spans="1:11" s="6" customFormat="1" x14ac:dyDescent="0.3">
      <c r="A704" s="7"/>
      <c r="E704" s="8"/>
      <c r="F704" s="8"/>
      <c r="H704" s="9"/>
      <c r="J704" s="10"/>
      <c r="K704" s="10"/>
    </row>
    <row r="705" spans="1:11" s="6" customFormat="1" x14ac:dyDescent="0.3">
      <c r="A705" s="7"/>
      <c r="E705" s="8"/>
      <c r="F705" s="8"/>
      <c r="H705" s="9"/>
      <c r="J705" s="10"/>
      <c r="K705" s="10"/>
    </row>
    <row r="706" spans="1:11" s="6" customFormat="1" x14ac:dyDescent="0.3">
      <c r="A706" s="7"/>
      <c r="E706" s="8"/>
      <c r="F706" s="8"/>
      <c r="H706" s="9"/>
      <c r="J706" s="10"/>
      <c r="K706" s="10"/>
    </row>
    <row r="707" spans="1:11" s="6" customFormat="1" x14ac:dyDescent="0.3">
      <c r="A707" s="7"/>
      <c r="E707" s="8"/>
      <c r="F707" s="8"/>
      <c r="H707" s="9"/>
      <c r="J707" s="10"/>
      <c r="K707" s="10"/>
    </row>
    <row r="708" spans="1:11" s="6" customFormat="1" x14ac:dyDescent="0.3">
      <c r="A708" s="7"/>
      <c r="E708" s="8"/>
      <c r="F708" s="8"/>
      <c r="H708" s="9"/>
      <c r="J708" s="10"/>
      <c r="K708" s="10"/>
    </row>
    <row r="709" spans="1:11" s="6" customFormat="1" x14ac:dyDescent="0.3">
      <c r="A709" s="7"/>
      <c r="E709" s="8"/>
      <c r="F709" s="8"/>
      <c r="H709" s="9"/>
      <c r="J709" s="10"/>
      <c r="K709" s="10"/>
    </row>
    <row r="710" spans="1:11" s="6" customFormat="1" x14ac:dyDescent="0.3">
      <c r="A710" s="7"/>
      <c r="E710" s="8"/>
      <c r="F710" s="8"/>
      <c r="H710" s="9"/>
      <c r="J710" s="10"/>
      <c r="K710" s="10"/>
    </row>
    <row r="711" spans="1:11" s="6" customFormat="1" x14ac:dyDescent="0.3">
      <c r="A711" s="7"/>
      <c r="E711" s="8"/>
      <c r="F711" s="8"/>
      <c r="H711" s="9"/>
      <c r="J711" s="10"/>
      <c r="K711" s="10"/>
    </row>
    <row r="712" spans="1:11" s="6" customFormat="1" x14ac:dyDescent="0.3">
      <c r="A712" s="7"/>
      <c r="E712" s="8"/>
      <c r="F712" s="8"/>
      <c r="H712" s="9"/>
      <c r="J712" s="10"/>
      <c r="K712" s="10"/>
    </row>
    <row r="713" spans="1:11" s="6" customFormat="1" x14ac:dyDescent="0.3">
      <c r="A713" s="7"/>
      <c r="E713" s="8"/>
      <c r="F713" s="8"/>
      <c r="H713" s="9"/>
      <c r="J713" s="10"/>
      <c r="K713" s="10"/>
    </row>
    <row r="714" spans="1:11" s="6" customFormat="1" x14ac:dyDescent="0.3">
      <c r="A714" s="7"/>
      <c r="E714" s="8"/>
      <c r="F714" s="8"/>
      <c r="H714" s="9"/>
      <c r="J714" s="10"/>
      <c r="K714" s="10"/>
    </row>
    <row r="715" spans="1:11" s="6" customFormat="1" x14ac:dyDescent="0.3">
      <c r="A715" s="7"/>
      <c r="E715" s="8"/>
      <c r="F715" s="8"/>
      <c r="H715" s="9"/>
      <c r="J715" s="10"/>
      <c r="K715" s="10"/>
    </row>
    <row r="716" spans="1:11" s="6" customFormat="1" x14ac:dyDescent="0.3">
      <c r="A716" s="7"/>
      <c r="E716" s="8"/>
      <c r="F716" s="8"/>
      <c r="H716" s="9"/>
      <c r="J716" s="10"/>
      <c r="K716" s="10"/>
    </row>
    <row r="717" spans="1:11" s="6" customFormat="1" x14ac:dyDescent="0.3">
      <c r="A717" s="21"/>
      <c r="B717" s="22"/>
      <c r="C717" s="22"/>
      <c r="D717" s="22"/>
      <c r="E717" s="23"/>
      <c r="F717" s="23"/>
      <c r="G717" s="22"/>
      <c r="H717" s="24"/>
      <c r="I717" s="22"/>
      <c r="J717" s="25"/>
      <c r="K717" s="25"/>
    </row>
    <row r="718" spans="1:11" s="6" customFormat="1" x14ac:dyDescent="0.3">
      <c r="A718" s="21"/>
      <c r="B718" s="22"/>
      <c r="C718" s="22"/>
      <c r="D718" s="22"/>
      <c r="E718" s="23"/>
      <c r="F718" s="23"/>
      <c r="G718" s="22"/>
      <c r="H718" s="24"/>
      <c r="I718" s="22"/>
      <c r="J718" s="25"/>
      <c r="K718" s="25"/>
    </row>
    <row r="719" spans="1:11" s="6" customFormat="1" x14ac:dyDescent="0.3">
      <c r="A719" s="21"/>
      <c r="B719" s="22"/>
      <c r="C719" s="22"/>
      <c r="D719" s="22"/>
      <c r="E719" s="23"/>
      <c r="F719" s="23"/>
      <c r="G719" s="22"/>
      <c r="H719" s="24"/>
      <c r="I719" s="22"/>
      <c r="J719" s="25"/>
      <c r="K719" s="25"/>
    </row>
    <row r="720" spans="1:11" s="6" customFormat="1" x14ac:dyDescent="0.3">
      <c r="A720" s="21"/>
      <c r="B720" s="22"/>
      <c r="C720" s="22"/>
      <c r="D720" s="22"/>
      <c r="E720" s="23"/>
      <c r="F720" s="23"/>
      <c r="G720" s="22"/>
      <c r="H720" s="24"/>
      <c r="I720" s="22"/>
      <c r="J720" s="25"/>
      <c r="K720" s="25"/>
    </row>
    <row r="721" spans="1:11" s="6" customFormat="1" x14ac:dyDescent="0.3">
      <c r="A721" s="21"/>
      <c r="B721" s="22"/>
      <c r="C721" s="22"/>
      <c r="D721" s="22"/>
      <c r="E721" s="23"/>
      <c r="F721" s="23"/>
      <c r="G721" s="22"/>
      <c r="H721" s="24"/>
      <c r="I721" s="22"/>
      <c r="J721" s="25"/>
      <c r="K721" s="25"/>
    </row>
    <row r="722" spans="1:11" s="6" customFormat="1" x14ac:dyDescent="0.3">
      <c r="A722" s="21"/>
      <c r="B722" s="22"/>
      <c r="C722" s="22"/>
      <c r="D722" s="22"/>
      <c r="E722" s="23"/>
      <c r="F722" s="23"/>
      <c r="G722" s="22"/>
      <c r="H722" s="24"/>
      <c r="I722" s="22"/>
      <c r="J722" s="25"/>
      <c r="K722" s="25"/>
    </row>
    <row r="723" spans="1:11" s="6" customFormat="1" x14ac:dyDescent="0.3">
      <c r="A723" s="21"/>
      <c r="B723" s="22"/>
      <c r="C723" s="22"/>
      <c r="D723" s="22"/>
      <c r="E723" s="23"/>
      <c r="F723" s="23"/>
      <c r="G723" s="22"/>
      <c r="H723" s="24"/>
      <c r="I723" s="22"/>
      <c r="J723" s="25"/>
      <c r="K723" s="25"/>
    </row>
    <row r="724" spans="1:11" s="6" customFormat="1" x14ac:dyDescent="0.3">
      <c r="A724" s="21"/>
      <c r="B724" s="22"/>
      <c r="C724" s="22"/>
      <c r="D724" s="22"/>
      <c r="E724" s="23"/>
      <c r="F724" s="23"/>
      <c r="G724" s="22"/>
      <c r="H724" s="24"/>
      <c r="I724" s="22"/>
      <c r="J724" s="25"/>
      <c r="K724" s="25"/>
    </row>
    <row r="725" spans="1:11" s="6" customFormat="1" x14ac:dyDescent="0.3">
      <c r="A725" s="21"/>
      <c r="B725" s="22"/>
      <c r="C725" s="22"/>
      <c r="D725" s="22"/>
      <c r="E725" s="23"/>
      <c r="F725" s="23"/>
      <c r="G725" s="22"/>
      <c r="H725" s="24"/>
      <c r="I725" s="22"/>
      <c r="J725" s="25"/>
      <c r="K725" s="25"/>
    </row>
    <row r="726" spans="1:11" s="6" customFormat="1" x14ac:dyDescent="0.3">
      <c r="A726" s="21"/>
      <c r="B726" s="22"/>
      <c r="C726" s="22"/>
      <c r="D726" s="22"/>
      <c r="E726" s="23"/>
      <c r="F726" s="23"/>
      <c r="G726" s="22"/>
      <c r="H726" s="24"/>
      <c r="I726" s="22"/>
      <c r="J726" s="25"/>
      <c r="K726" s="25"/>
    </row>
    <row r="727" spans="1:11" s="6" customFormat="1" x14ac:dyDescent="0.3">
      <c r="A727" s="21"/>
      <c r="B727" s="22"/>
      <c r="C727" s="22"/>
      <c r="D727" s="22"/>
      <c r="E727" s="23"/>
      <c r="F727" s="23"/>
      <c r="G727" s="22"/>
      <c r="H727" s="24"/>
      <c r="I727" s="22"/>
      <c r="J727" s="25"/>
      <c r="K727" s="25"/>
    </row>
    <row r="728" spans="1:11" s="6" customFormat="1" x14ac:dyDescent="0.3">
      <c r="A728" s="21"/>
      <c r="B728" s="22"/>
      <c r="C728" s="22"/>
      <c r="D728" s="22"/>
      <c r="E728" s="23"/>
      <c r="F728" s="23"/>
      <c r="G728" s="22"/>
      <c r="H728" s="24"/>
      <c r="I728" s="22"/>
      <c r="J728" s="25"/>
      <c r="K728" s="25"/>
    </row>
    <row r="729" spans="1:11" s="6" customFormat="1" x14ac:dyDescent="0.3">
      <c r="A729" s="21"/>
      <c r="B729" s="22"/>
      <c r="C729" s="22"/>
      <c r="D729" s="22"/>
      <c r="E729" s="23"/>
      <c r="F729" s="23"/>
      <c r="G729" s="22"/>
      <c r="H729" s="24"/>
      <c r="I729" s="22"/>
      <c r="J729" s="25"/>
      <c r="K729" s="25"/>
    </row>
    <row r="730" spans="1:11" s="6" customFormat="1" x14ac:dyDescent="0.3">
      <c r="A730" s="21"/>
      <c r="B730" s="22"/>
      <c r="C730" s="22"/>
      <c r="D730" s="22"/>
      <c r="E730" s="23"/>
      <c r="F730" s="23"/>
      <c r="G730" s="22"/>
      <c r="H730" s="24"/>
      <c r="I730" s="22"/>
      <c r="J730" s="25"/>
      <c r="K730" s="25"/>
    </row>
    <row r="731" spans="1:11" s="6" customFormat="1" x14ac:dyDescent="0.3">
      <c r="A731" s="21"/>
      <c r="B731" s="22"/>
      <c r="C731" s="22"/>
      <c r="D731" s="22"/>
      <c r="E731" s="23"/>
      <c r="F731" s="23"/>
      <c r="G731" s="22"/>
      <c r="H731" s="24"/>
      <c r="I731" s="22"/>
      <c r="J731" s="25"/>
      <c r="K731" s="25"/>
    </row>
    <row r="732" spans="1:11" s="6" customFormat="1" x14ac:dyDescent="0.3">
      <c r="A732" s="21"/>
      <c r="B732" s="22"/>
      <c r="C732" s="22"/>
      <c r="D732" s="22"/>
      <c r="E732" s="23"/>
      <c r="F732" s="23"/>
      <c r="G732" s="22"/>
      <c r="H732" s="24"/>
      <c r="I732" s="22"/>
      <c r="J732" s="25"/>
      <c r="K732" s="25"/>
    </row>
    <row r="733" spans="1:11" s="6" customFormat="1" x14ac:dyDescent="0.3">
      <c r="A733" s="21"/>
      <c r="B733" s="22"/>
      <c r="C733" s="22"/>
      <c r="D733" s="22"/>
      <c r="E733" s="23"/>
      <c r="F733" s="23"/>
      <c r="G733" s="22"/>
      <c r="H733" s="24"/>
      <c r="I733" s="22"/>
      <c r="J733" s="25"/>
      <c r="K733" s="25"/>
    </row>
    <row r="734" spans="1:11" s="6" customFormat="1" x14ac:dyDescent="0.3">
      <c r="A734" s="21"/>
      <c r="B734" s="22"/>
      <c r="C734" s="22"/>
      <c r="D734" s="22"/>
      <c r="E734" s="23"/>
      <c r="F734" s="23"/>
      <c r="G734" s="22"/>
      <c r="H734" s="24"/>
      <c r="I734" s="22"/>
      <c r="J734" s="25"/>
      <c r="K734" s="25"/>
    </row>
    <row r="735" spans="1:11" s="6" customFormat="1" x14ac:dyDescent="0.3">
      <c r="A735" s="21"/>
      <c r="B735" s="22"/>
      <c r="C735" s="22"/>
      <c r="D735" s="22"/>
      <c r="E735" s="23"/>
      <c r="F735" s="23"/>
      <c r="G735" s="22"/>
      <c r="H735" s="24"/>
      <c r="I735" s="22"/>
      <c r="J735" s="25"/>
      <c r="K735" s="25"/>
    </row>
    <row r="736" spans="1:11" s="6" customFormat="1" x14ac:dyDescent="0.3">
      <c r="A736" s="21"/>
      <c r="B736" s="22"/>
      <c r="C736" s="22"/>
      <c r="D736" s="22"/>
      <c r="E736" s="23"/>
      <c r="F736" s="23"/>
      <c r="G736" s="22"/>
      <c r="H736" s="24"/>
      <c r="I736" s="22"/>
      <c r="J736" s="25"/>
      <c r="K736" s="25"/>
    </row>
    <row r="737" spans="1:11" s="6" customFormat="1" x14ac:dyDescent="0.3">
      <c r="A737" s="21"/>
      <c r="B737" s="22"/>
      <c r="C737" s="22"/>
      <c r="D737" s="22"/>
      <c r="E737" s="23"/>
      <c r="F737" s="23"/>
      <c r="G737" s="22"/>
      <c r="H737" s="24"/>
      <c r="I737" s="22"/>
      <c r="J737" s="25"/>
      <c r="K737" s="25"/>
    </row>
    <row r="738" spans="1:11" s="6" customFormat="1" x14ac:dyDescent="0.3">
      <c r="A738" s="21"/>
      <c r="B738" s="22"/>
      <c r="C738" s="22"/>
      <c r="D738" s="22"/>
      <c r="E738" s="23"/>
      <c r="F738" s="23"/>
      <c r="G738" s="22"/>
      <c r="H738" s="24"/>
      <c r="I738" s="22"/>
      <c r="J738" s="25"/>
      <c r="K738" s="25"/>
    </row>
    <row r="739" spans="1:11" s="6" customFormat="1" x14ac:dyDescent="0.3">
      <c r="A739" s="21"/>
      <c r="B739" s="22"/>
      <c r="C739" s="22"/>
      <c r="D739" s="22"/>
      <c r="E739" s="23"/>
      <c r="F739" s="23"/>
      <c r="G739" s="22"/>
      <c r="H739" s="24"/>
      <c r="I739" s="22"/>
      <c r="J739" s="25"/>
      <c r="K739" s="25"/>
    </row>
    <row r="740" spans="1:11" s="6" customFormat="1" x14ac:dyDescent="0.3">
      <c r="A740" s="21"/>
      <c r="B740" s="22"/>
      <c r="C740" s="22"/>
      <c r="D740" s="22"/>
      <c r="E740" s="23"/>
      <c r="F740" s="23"/>
      <c r="G740" s="22"/>
      <c r="H740" s="24"/>
      <c r="I740" s="22"/>
      <c r="J740" s="25"/>
      <c r="K740" s="25"/>
    </row>
    <row r="741" spans="1:11" s="6" customFormat="1" x14ac:dyDescent="0.3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 x14ac:dyDescent="0.3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 x14ac:dyDescent="0.3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 x14ac:dyDescent="0.3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 x14ac:dyDescent="0.3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 x14ac:dyDescent="0.3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 x14ac:dyDescent="0.3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 x14ac:dyDescent="0.3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 x14ac:dyDescent="0.3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 x14ac:dyDescent="0.3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 x14ac:dyDescent="0.3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 x14ac:dyDescent="0.3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 x14ac:dyDescent="0.3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 x14ac:dyDescent="0.3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 x14ac:dyDescent="0.3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 x14ac:dyDescent="0.3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 x14ac:dyDescent="0.3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 x14ac:dyDescent="0.3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 x14ac:dyDescent="0.3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 x14ac:dyDescent="0.3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 x14ac:dyDescent="0.3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 x14ac:dyDescent="0.3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 x14ac:dyDescent="0.3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 x14ac:dyDescent="0.3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 x14ac:dyDescent="0.3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 x14ac:dyDescent="0.3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 x14ac:dyDescent="0.3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 x14ac:dyDescent="0.3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 x14ac:dyDescent="0.3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 x14ac:dyDescent="0.3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 x14ac:dyDescent="0.3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 x14ac:dyDescent="0.3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 x14ac:dyDescent="0.3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 x14ac:dyDescent="0.3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 x14ac:dyDescent="0.3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 x14ac:dyDescent="0.3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 x14ac:dyDescent="0.3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 x14ac:dyDescent="0.3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 x14ac:dyDescent="0.3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 x14ac:dyDescent="0.3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 x14ac:dyDescent="0.3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 x14ac:dyDescent="0.3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 x14ac:dyDescent="0.3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 x14ac:dyDescent="0.3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 x14ac:dyDescent="0.3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 x14ac:dyDescent="0.3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 x14ac:dyDescent="0.3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 x14ac:dyDescent="0.3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 x14ac:dyDescent="0.3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 x14ac:dyDescent="0.3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 x14ac:dyDescent="0.3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 x14ac:dyDescent="0.3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 x14ac:dyDescent="0.3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 x14ac:dyDescent="0.3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 x14ac:dyDescent="0.3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 x14ac:dyDescent="0.3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 x14ac:dyDescent="0.3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 x14ac:dyDescent="0.3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 x14ac:dyDescent="0.3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 x14ac:dyDescent="0.3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 x14ac:dyDescent="0.3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 x14ac:dyDescent="0.3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 x14ac:dyDescent="0.3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 x14ac:dyDescent="0.3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 x14ac:dyDescent="0.3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 x14ac:dyDescent="0.3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 x14ac:dyDescent="0.3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 x14ac:dyDescent="0.3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 x14ac:dyDescent="0.3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 x14ac:dyDescent="0.3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 x14ac:dyDescent="0.3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 x14ac:dyDescent="0.3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 x14ac:dyDescent="0.3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 x14ac:dyDescent="0.3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 x14ac:dyDescent="0.3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 x14ac:dyDescent="0.3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 x14ac:dyDescent="0.3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 x14ac:dyDescent="0.3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 x14ac:dyDescent="0.3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 x14ac:dyDescent="0.3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 x14ac:dyDescent="0.3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 x14ac:dyDescent="0.3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 x14ac:dyDescent="0.3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 x14ac:dyDescent="0.3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 x14ac:dyDescent="0.3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 x14ac:dyDescent="0.3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 x14ac:dyDescent="0.3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 x14ac:dyDescent="0.3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 x14ac:dyDescent="0.3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 x14ac:dyDescent="0.3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 x14ac:dyDescent="0.3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E8"/>
  <sheetViews>
    <sheetView workbookViewId="0">
      <selection activeCell="F20" sqref="F20"/>
    </sheetView>
  </sheetViews>
  <sheetFormatPr defaultRowHeight="14.4" x14ac:dyDescent="0.3"/>
  <cols>
    <col min="1" max="1" width="21.5546875" bestFit="1" customWidth="1"/>
  </cols>
  <sheetData>
    <row r="1" spans="1:5" x14ac:dyDescent="0.3">
      <c r="A1" s="26" t="s">
        <v>21</v>
      </c>
      <c r="B1" s="27" t="s">
        <v>29</v>
      </c>
      <c r="C1" s="27" t="s">
        <v>30</v>
      </c>
      <c r="D1" s="27" t="s">
        <v>33</v>
      </c>
      <c r="E1" s="27" t="s">
        <v>31</v>
      </c>
    </row>
    <row r="2" spans="1:5" x14ac:dyDescent="0.3">
      <c r="A2" s="28" t="s">
        <v>19</v>
      </c>
      <c r="B2" s="29">
        <v>1469</v>
      </c>
      <c r="C2" s="29">
        <v>664</v>
      </c>
      <c r="D2" s="29">
        <v>245</v>
      </c>
      <c r="E2" s="29">
        <f>SUM(B2:D2)</f>
        <v>2378</v>
      </c>
    </row>
    <row r="3" spans="1:5" x14ac:dyDescent="0.3">
      <c r="A3" s="32" t="s">
        <v>11</v>
      </c>
      <c r="B3" s="29">
        <v>8917</v>
      </c>
      <c r="C3" s="29">
        <f>94+578+347+5325+334</f>
        <v>6678</v>
      </c>
      <c r="D3" s="29">
        <f>5+30+30+84+29</f>
        <v>178</v>
      </c>
      <c r="E3" s="29">
        <f t="shared" ref="E3:E7" si="0">SUM(B3:D3)</f>
        <v>15773</v>
      </c>
    </row>
    <row r="4" spans="1:5" x14ac:dyDescent="0.3">
      <c r="A4" s="32" t="s">
        <v>18</v>
      </c>
      <c r="B4" s="29">
        <v>970</v>
      </c>
      <c r="C4" s="29">
        <f>9+109</f>
        <v>118</v>
      </c>
      <c r="D4" s="29">
        <v>0</v>
      </c>
      <c r="E4" s="29">
        <f t="shared" si="0"/>
        <v>1088</v>
      </c>
    </row>
    <row r="5" spans="1:5" x14ac:dyDescent="0.3">
      <c r="A5" s="32" t="s">
        <v>16</v>
      </c>
      <c r="B5" s="29">
        <v>3118</v>
      </c>
      <c r="C5" s="29">
        <f>1187+1749+101+3+45+2</f>
        <v>3087</v>
      </c>
      <c r="D5" s="29">
        <f>401+102+11+1+5</f>
        <v>520</v>
      </c>
      <c r="E5" s="29">
        <f t="shared" si="0"/>
        <v>6725</v>
      </c>
    </row>
    <row r="6" spans="1:5" x14ac:dyDescent="0.3">
      <c r="A6" s="28" t="s">
        <v>15</v>
      </c>
      <c r="B6" s="29">
        <v>628</v>
      </c>
      <c r="C6" s="29">
        <f>322+45+73+159+318</f>
        <v>917</v>
      </c>
      <c r="D6" s="29">
        <f>47+27+35+63+62</f>
        <v>234</v>
      </c>
      <c r="E6" s="29">
        <f t="shared" si="0"/>
        <v>1779</v>
      </c>
    </row>
    <row r="7" spans="1:5" x14ac:dyDescent="0.3">
      <c r="A7" s="28" t="s">
        <v>17</v>
      </c>
      <c r="B7" s="29">
        <v>661</v>
      </c>
      <c r="C7" s="29">
        <v>993</v>
      </c>
      <c r="D7" s="29">
        <v>60</v>
      </c>
      <c r="E7" s="29">
        <f t="shared" si="0"/>
        <v>1714</v>
      </c>
    </row>
    <row r="8" spans="1:5" x14ac:dyDescent="0.3">
      <c r="A8" s="28" t="s">
        <v>13</v>
      </c>
      <c r="B8" s="29">
        <v>1020</v>
      </c>
      <c r="C8" s="29">
        <v>85</v>
      </c>
      <c r="D8" s="29">
        <v>4</v>
      </c>
      <c r="E8" s="29">
        <f>SUM(B8:D8)</f>
        <v>1109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2026-03-10T17:41:16Z</dcterms:modified>
</cp:coreProperties>
</file>