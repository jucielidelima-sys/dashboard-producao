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9D78A42-D732-4EBF-9A18-AF883CD92AED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LANC.!$A$1:$K$1081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3" l="1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<sst xmlns="http://schemas.openxmlformats.org/spreadsheetml/2006/main" count="2224" uniqueCount="40">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</sst>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081" totalsRowShown="0" headerRowDxfId="13" dataDxfId="12" tableBorderDxfId="11">
  <autoFilter ref="A1:K108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68"/>
  <sheetViews>
    <sheetView showGridLines="0" zoomScale="70" zoomScaleNormal="70" zoomScaleSheetLayoutView="70" workbookViewId="0">
      <pane ySplit="1" topLeftCell="A1048" activePane="bottomLeft" state="frozen"/>
      <selection pane="bottomLeft" activeCell="N1073" sqref="N107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/>
      <c r="F1046" s="13"/>
      <c r="G1046" s="12"/>
      <c r="H1046" s="14"/>
      <c r="I1046" s="12">
        <f>IFERROR(IF(T_PROD[[#This Row],[PREVISTO]]-T_PROD[[#This Row],[EFETIVO]]&lt; 0,0,T_PROD[[#This Row],[PREVISTO]]-T_PROD[[#This Row],[EFETIVO]] ),"")</f>
        <v>0</v>
      </c>
      <c r="J1046" s="15" t="str">
        <f>IFERROR(IF(T_PROD[[#This Row],[META]]&gt;0,(T_PROD[[#This Row],[META]]/T_PROD[[#This Row],[PREVISTO]]),""),"")</f>
        <v/>
      </c>
      <c r="K1046" s="15" t="str">
        <f>IFERROR(IF(T_PROD[[#This Row],[PRODUÇÃO]]&gt;0,(T_PROD[[#This Row],[PRODUÇÃO]]/T_PROD[[#This Row],[EFETIVO]]),""),"")</f>
        <v/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/>
      <c r="F1051" s="13"/>
      <c r="G1051" s="12"/>
      <c r="H1051" s="14"/>
      <c r="I1051" s="12">
        <f>IFERROR(IF(T_PROD[[#This Row],[PREVISTO]]-T_PROD[[#This Row],[EFETIVO]]&lt; 0,0,T_PROD[[#This Row],[PREVISTO]]-T_PROD[[#This Row],[EFETIVO]] ),"")</f>
        <v>0</v>
      </c>
      <c r="J1051" s="15" t="str">
        <f>IFERROR(IF(T_PROD[[#This Row],[META]]&gt;0,(T_PROD[[#This Row],[META]]/T_PROD[[#This Row],[PREVISTO]]),""),"")</f>
        <v/>
      </c>
      <c r="K1051" s="15" t="str">
        <f>IFERROR(IF(T_PROD[[#This Row],[PRODUÇÃO]]&gt;0,(T_PROD[[#This Row],[PRODUÇÃO]]/T_PROD[[#This Row],[EFETIVO]]),""),"")</f>
        <v/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/>
      <c r="F1055" s="13"/>
      <c r="G1055" s="12"/>
      <c r="H1055" s="14"/>
      <c r="I1055" s="12">
        <f>IFERROR(IF(T_PROD[[#This Row],[PREVISTO]]-T_PROD[[#This Row],[EFETIVO]]&lt; 0,0,T_PROD[[#This Row],[PREVISTO]]-T_PROD[[#This Row],[EFETIVO]] ),"")</f>
        <v>0</v>
      </c>
      <c r="J1055" s="15" t="str">
        <f>IFERROR(IF(T_PROD[[#This Row],[META]]&gt;0,(T_PROD[[#This Row],[META]]/T_PROD[[#This Row],[PREVISTO]]),""),"")</f>
        <v/>
      </c>
      <c r="K1055" s="15" t="str">
        <f>IFERROR(IF(T_PROD[[#This Row],[PRODUÇÃO]]&gt;0,(T_PROD[[#This Row],[PRODUÇÃO]]/T_PROD[[#This Row],[EFETIVO]]),""),"")</f>
        <v/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/>
      <c r="F1056" s="13"/>
      <c r="G1056" s="12"/>
      <c r="H1056" s="14"/>
      <c r="I1056" s="12">
        <f>IFERROR(IF(T_PROD[[#This Row],[PREVISTO]]-T_PROD[[#This Row],[EFETIVO]]&lt; 0,0,T_PROD[[#This Row],[PREVISTO]]-T_PROD[[#This Row],[EFETIVO]] ),"")</f>
        <v>0</v>
      </c>
      <c r="J1056" s="15" t="str">
        <f>IFERROR(IF(T_PROD[[#This Row],[META]]&gt;0,(T_PROD[[#This Row],[META]]/T_PROD[[#This Row],[PREVISTO]]),""),"")</f>
        <v/>
      </c>
      <c r="K1056" s="15" t="str">
        <f>IFERROR(IF(T_PROD[[#This Row],[PRODUÇÃO]]&gt;0,(T_PROD[[#This Row],[PRODUÇÃO]]/T_PROD[[#This Row],[EFETIVO]]),""),"")</f>
        <v/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/>
      <c r="F1057" s="13"/>
      <c r="G1057" s="12"/>
      <c r="H1057" s="14"/>
      <c r="I1057" s="12">
        <f>IFERROR(IF(T_PROD[[#This Row],[PREVISTO]]-T_PROD[[#This Row],[EFETIVO]]&lt; 0,0,T_PROD[[#This Row],[PREVISTO]]-T_PROD[[#This Row],[EFETIVO]] ),"")</f>
        <v>0</v>
      </c>
      <c r="J1057" s="15" t="str">
        <f>IFERROR(IF(T_PROD[[#This Row],[META]]&gt;0,(T_PROD[[#This Row],[META]]/T_PROD[[#This Row],[PREVISTO]]),""),"")</f>
        <v/>
      </c>
      <c r="K1057" s="15" t="str">
        <f>IFERROR(IF(T_PROD[[#This Row],[PRODUÇÃO]]&gt;0,(T_PROD[[#This Row],[PRODUÇÃO]]/T_PROD[[#This Row],[EFETIVO]]),""),"")</f>
        <v/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/>
      <c r="F1060" s="13"/>
      <c r="G1060" s="12"/>
      <c r="H1060" s="14"/>
      <c r="I1060" s="12">
        <f>IFERROR(IF(T_PROD[[#This Row],[PREVISTO]]-T_PROD[[#This Row],[EFETIVO]]&lt; 0,0,T_PROD[[#This Row],[PREVISTO]]-T_PROD[[#This Row],[EFETIVO]] ),"")</f>
        <v>0</v>
      </c>
      <c r="J1060" s="15" t="str">
        <f>IFERROR(IF(T_PROD[[#This Row],[META]]&gt;0,(T_PROD[[#This Row],[META]]/T_PROD[[#This Row],[PREVISTO]]),""),"")</f>
        <v/>
      </c>
      <c r="K1060" s="15" t="str">
        <f>IFERROR(IF(T_PROD[[#This Row],[PRODUÇÃO]]&gt;0,(T_PROD[[#This Row],[PRODUÇÃO]]/T_PROD[[#This Row],[EFETIVO]]),""),"")</f>
        <v/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28">
        <v>46202</v>
      </c>
      <c r="B1064" s="29" t="str">
        <f>UPPER(TEXT(A1064,"MMMM"))</f>
        <v>JUNHO</v>
      </c>
      <c r="C1064" s="12" t="s">
        <v>15</v>
      </c>
      <c r="D1064" s="12" t="s">
        <v>12</v>
      </c>
      <c r="E1064" s="30"/>
      <c r="F1064" s="30"/>
      <c r="G1064" s="29"/>
      <c r="H1064" s="31"/>
      <c r="I1064" s="29">
        <f>IFERROR(IF(T_PROD[[#This Row],[PREVISTO]]-T_PROD[[#This Row],[EFETIVO]]&lt; 0,0,T_PROD[[#This Row],[PREVISTO]]-T_PROD[[#This Row],[EFETIVO]] ),"")</f>
        <v>0</v>
      </c>
      <c r="J1064" s="15" t="str">
        <f>IFERROR(IF(T_PROD[[#This Row],[META]]&gt;0,(T_PROD[[#This Row],[META]]/T_PROD[[#This Row],[PREVISTO]]),""),"")</f>
        <v/>
      </c>
      <c r="K1064" s="15" t="str">
        <f>IFERROR(IF(T_PROD[[#This Row],[PRODUÇÃO]]&gt;0,(T_PROD[[#This Row],[PRODUÇÃO]]/T_PROD[[#This Row],[EFETIVO]]),""),"")</f>
        <v/>
      </c>
    </row>
    <row r="1065" spans="1:11" x14ac:dyDescent="0.3">
      <c r="A1065" s="28">
        <v>46202</v>
      </c>
      <c r="B1065" s="29" t="str">
        <f t="shared" ref="B1065:B1072" si="117">UPPER(TEXT(A1065,"MMMM"))</f>
        <v>JUNHO</v>
      </c>
      <c r="C1065" s="12" t="s">
        <v>16</v>
      </c>
      <c r="D1065" s="12" t="s">
        <v>12</v>
      </c>
      <c r="E1065" s="30"/>
      <c r="F1065" s="30"/>
      <c r="G1065" s="29"/>
      <c r="H1065" s="31"/>
      <c r="I1065" s="29">
        <f>IFERROR(IF(T_PROD[[#This Row],[PREVISTO]]-T_PROD[[#This Row],[EFETIVO]]&lt; 0,0,T_PROD[[#This Row],[PREVISTO]]-T_PROD[[#This Row],[EFETIVO]] ),"")</f>
        <v>0</v>
      </c>
      <c r="J1065" s="15" t="str">
        <f>IFERROR(IF(T_PROD[[#This Row],[META]]&gt;0,(T_PROD[[#This Row],[META]]/T_PROD[[#This Row],[PREVISTO]]),""),"")</f>
        <v/>
      </c>
      <c r="K1065" s="15" t="str">
        <f>IFERROR(IF(T_PROD[[#This Row],[PRODUÇÃO]]&gt;0,(T_PROD[[#This Row],[PRODUÇÃO]]/T_PROD[[#This Row],[EFETIVO]]),""),"")</f>
        <v/>
      </c>
    </row>
    <row r="1066" spans="1:11" x14ac:dyDescent="0.3">
      <c r="A1066" s="28">
        <v>46202</v>
      </c>
      <c r="B1066" s="29" t="str">
        <f t="shared" si="117"/>
        <v>JUNHO</v>
      </c>
      <c r="C1066" s="12" t="s">
        <v>17</v>
      </c>
      <c r="D1066" s="12" t="s">
        <v>12</v>
      </c>
      <c r="E1066" s="30"/>
      <c r="F1066" s="30"/>
      <c r="G1066" s="29"/>
      <c r="H1066" s="31"/>
      <c r="I1066" s="29">
        <f>IFERROR(IF(T_PROD[[#This Row],[PREVISTO]]-T_PROD[[#This Row],[EFETIVO]]&lt; 0,0,T_PROD[[#This Row],[PREVISTO]]-T_PROD[[#This Row],[EFETIVO]] ),"")</f>
        <v>0</v>
      </c>
      <c r="J1066" s="15" t="str">
        <f>IFERROR(IF(T_PROD[[#This Row],[META]]&gt;0,(T_PROD[[#This Row],[META]]/T_PROD[[#This Row],[PREVISTO]]),""),"")</f>
        <v/>
      </c>
      <c r="K1066" s="15" t="str">
        <f>IFERROR(IF(T_PROD[[#This Row],[PRODUÇÃO]]&gt;0,(T_PROD[[#This Row],[PRODUÇÃO]]/T_PROD[[#This Row],[EFETIVO]]),""),"")</f>
        <v/>
      </c>
    </row>
    <row r="1067" spans="1:11" x14ac:dyDescent="0.3">
      <c r="A1067" s="28">
        <v>46202</v>
      </c>
      <c r="B1067" s="29" t="str">
        <f t="shared" si="117"/>
        <v>JUNHO</v>
      </c>
      <c r="C1067" s="12" t="s">
        <v>18</v>
      </c>
      <c r="D1067" s="12" t="s">
        <v>12</v>
      </c>
      <c r="E1067" s="30"/>
      <c r="F1067" s="30"/>
      <c r="G1067" s="29"/>
      <c r="H1067" s="31"/>
      <c r="I1067" s="29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28">
        <v>46202</v>
      </c>
      <c r="B1068" s="29" t="str">
        <f t="shared" si="117"/>
        <v>JUNHO</v>
      </c>
      <c r="C1068" s="12" t="s">
        <v>19</v>
      </c>
      <c r="D1068" s="12" t="s">
        <v>12</v>
      </c>
      <c r="E1068" s="30"/>
      <c r="F1068" s="30"/>
      <c r="G1068" s="29"/>
      <c r="H1068" s="31"/>
      <c r="I1068" s="29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28">
        <v>46202</v>
      </c>
      <c r="B1069" s="29" t="str">
        <f t="shared" si="117"/>
        <v>JUNHO</v>
      </c>
      <c r="C1069" s="12" t="s">
        <v>20</v>
      </c>
      <c r="D1069" s="12" t="s">
        <v>12</v>
      </c>
      <c r="E1069" s="30"/>
      <c r="F1069" s="30"/>
      <c r="G1069" s="29"/>
      <c r="H1069" s="31"/>
      <c r="I1069" s="29">
        <f>IFERROR(IF(T_PROD[[#This Row],[PREVISTO]]-T_PROD[[#This Row],[EFETIVO]]&lt; 0,0,T_PROD[[#This Row],[PREVISTO]]-T_PROD[[#This Row],[EFETIVO]] ),"")</f>
        <v>0</v>
      </c>
      <c r="J1069" s="15" t="str">
        <f>IFERROR(IF(T_PROD[[#This Row],[META]]&gt;0,(T_PROD[[#This Row],[META]]/T_PROD[[#This Row],[PREVISTO]]),""),"")</f>
        <v/>
      </c>
      <c r="K1069" s="15" t="str">
        <f>IFERROR(IF(T_PROD[[#This Row],[PRODUÇÃO]]&gt;0,(T_PROD[[#This Row],[PRODUÇÃO]]/T_PROD[[#This Row],[EFETIVO]]),""),"")</f>
        <v/>
      </c>
    </row>
    <row r="1070" spans="1:11" x14ac:dyDescent="0.3">
      <c r="A1070" s="28">
        <v>46202</v>
      </c>
      <c r="B1070" s="29" t="str">
        <f t="shared" si="117"/>
        <v>JUNHO</v>
      </c>
      <c r="C1070" s="12" t="s">
        <v>11</v>
      </c>
      <c r="D1070" s="12" t="s">
        <v>12</v>
      </c>
      <c r="E1070" s="30">
        <v>840</v>
      </c>
      <c r="F1070" s="30">
        <v>873</v>
      </c>
      <c r="G1070" s="29">
        <v>42</v>
      </c>
      <c r="H1070" s="31">
        <v>42</v>
      </c>
      <c r="I1070" s="29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28">
        <v>46202</v>
      </c>
      <c r="B1071" s="29" t="str">
        <f t="shared" si="117"/>
        <v>JUNHO</v>
      </c>
      <c r="C1071" s="12" t="s">
        <v>32</v>
      </c>
      <c r="D1071" s="12" t="s">
        <v>12</v>
      </c>
      <c r="E1071" s="30">
        <v>22</v>
      </c>
      <c r="F1071" s="30">
        <v>26</v>
      </c>
      <c r="G1071" s="29">
        <v>2</v>
      </c>
      <c r="H1071" s="31">
        <v>2</v>
      </c>
      <c r="I1071" s="29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28">
        <v>46202</v>
      </c>
      <c r="B1072" s="29" t="str">
        <f t="shared" si="117"/>
        <v>JUNHO</v>
      </c>
      <c r="C1072" s="12" t="s">
        <v>14</v>
      </c>
      <c r="D1072" s="12" t="s">
        <v>12</v>
      </c>
      <c r="E1072" s="30">
        <v>862</v>
      </c>
      <c r="F1072" s="30">
        <v>900</v>
      </c>
      <c r="G1072" s="29">
        <v>95</v>
      </c>
      <c r="H1072" s="31">
        <v>95</v>
      </c>
      <c r="I1072" s="29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28">
        <v>46203</v>
      </c>
      <c r="B1073" s="29" t="str">
        <f>UPPER(TEXT(A1073,"MMMM"))</f>
        <v>JUNHO</v>
      </c>
      <c r="C1073" s="12" t="s">
        <v>15</v>
      </c>
      <c r="D1073" s="12" t="s">
        <v>12</v>
      </c>
      <c r="E1073" s="30"/>
      <c r="F1073" s="30"/>
      <c r="G1073" s="29"/>
      <c r="H1073" s="31"/>
      <c r="I1073" s="29">
        <f>IFERROR(IF(T_PROD[[#This Row],[PREVISTO]]-T_PROD[[#This Row],[EFETIVO]]&lt; 0,0,T_PROD[[#This Row],[PREVISTO]]-T_PROD[[#This Row],[EFETIVO]] ),"")</f>
        <v>0</v>
      </c>
      <c r="J1073" s="15" t="str">
        <f>IFERROR(IF(T_PROD[[#This Row],[META]]&gt;0,(T_PROD[[#This Row],[META]]/T_PROD[[#This Row],[PREVISTO]]),""),"")</f>
        <v/>
      </c>
      <c r="K1073" s="15" t="str">
        <f>IFERROR(IF(T_PROD[[#This Row],[PRODUÇÃO]]&gt;0,(T_PROD[[#This Row],[PRODUÇÃO]]/T_PROD[[#This Row],[EFETIVO]]),""),"")</f>
        <v/>
      </c>
    </row>
    <row r="1074" spans="1:11" x14ac:dyDescent="0.3">
      <c r="A1074" s="28">
        <v>46203</v>
      </c>
      <c r="B1074" s="29" t="str">
        <f t="shared" ref="B1074:B1081" si="118">UPPER(TEXT(A1074,"MMMM"))</f>
        <v>JUNHO</v>
      </c>
      <c r="C1074" s="12" t="s">
        <v>16</v>
      </c>
      <c r="D1074" s="12" t="s">
        <v>12</v>
      </c>
      <c r="E1074" s="30"/>
      <c r="F1074" s="30"/>
      <c r="G1074" s="29"/>
      <c r="H1074" s="31"/>
      <c r="I1074" s="29">
        <f>IFERROR(IF(T_PROD[[#This Row],[PREVISTO]]-T_PROD[[#This Row],[EFETIVO]]&lt; 0,0,T_PROD[[#This Row],[PREVISTO]]-T_PROD[[#This Row],[EFETIVO]] ),"")</f>
        <v>0</v>
      </c>
      <c r="J1074" s="15" t="str">
        <f>IFERROR(IF(T_PROD[[#This Row],[META]]&gt;0,(T_PROD[[#This Row],[META]]/T_PROD[[#This Row],[PREVISTO]]),""),"")</f>
        <v/>
      </c>
      <c r="K1074" s="15" t="str">
        <f>IFERROR(IF(T_PROD[[#This Row],[PRODUÇÃO]]&gt;0,(T_PROD[[#This Row],[PRODUÇÃO]]/T_PROD[[#This Row],[EFETIVO]]),""),"")</f>
        <v/>
      </c>
    </row>
    <row r="1075" spans="1:11" x14ac:dyDescent="0.3">
      <c r="A1075" s="28">
        <v>46203</v>
      </c>
      <c r="B1075" s="29" t="str">
        <f t="shared" si="118"/>
        <v>JUNHO</v>
      </c>
      <c r="C1075" s="12" t="s">
        <v>17</v>
      </c>
      <c r="D1075" s="12" t="s">
        <v>12</v>
      </c>
      <c r="E1075" s="30"/>
      <c r="F1075" s="30"/>
      <c r="G1075" s="29"/>
      <c r="H1075" s="31"/>
      <c r="I1075" s="29">
        <f>IFERROR(IF(T_PROD[[#This Row],[PREVISTO]]-T_PROD[[#This Row],[EFETIVO]]&lt; 0,0,T_PROD[[#This Row],[PREVISTO]]-T_PROD[[#This Row],[EFETIVO]] ),"")</f>
        <v>0</v>
      </c>
      <c r="J1075" s="15" t="str">
        <f>IFERROR(IF(T_PROD[[#This Row],[META]]&gt;0,(T_PROD[[#This Row],[META]]/T_PROD[[#This Row],[PREVISTO]]),""),"")</f>
        <v/>
      </c>
      <c r="K1075" s="15" t="str">
        <f>IFERROR(IF(T_PROD[[#This Row],[PRODUÇÃO]]&gt;0,(T_PROD[[#This Row],[PRODUÇÃO]]/T_PROD[[#This Row],[EFETIVO]]),""),"")</f>
        <v/>
      </c>
    </row>
    <row r="1076" spans="1:11" x14ac:dyDescent="0.3">
      <c r="A1076" s="28">
        <v>46203</v>
      </c>
      <c r="B1076" s="29" t="str">
        <f t="shared" si="118"/>
        <v>JUNHO</v>
      </c>
      <c r="C1076" s="12" t="s">
        <v>18</v>
      </c>
      <c r="D1076" s="12" t="s">
        <v>12</v>
      </c>
      <c r="E1076" s="30"/>
      <c r="F1076" s="30"/>
      <c r="G1076" s="29"/>
      <c r="H1076" s="31"/>
      <c r="I1076" s="29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28">
        <v>46203</v>
      </c>
      <c r="B1077" s="29" t="str">
        <f t="shared" si="118"/>
        <v>JUNHO</v>
      </c>
      <c r="C1077" s="12" t="s">
        <v>19</v>
      </c>
      <c r="D1077" s="12" t="s">
        <v>12</v>
      </c>
      <c r="E1077" s="30"/>
      <c r="F1077" s="30"/>
      <c r="G1077" s="29"/>
      <c r="H1077" s="31"/>
      <c r="I1077" s="29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28">
        <v>46203</v>
      </c>
      <c r="B1078" s="29" t="str">
        <f t="shared" si="118"/>
        <v>JUNHO</v>
      </c>
      <c r="C1078" s="12" t="s">
        <v>20</v>
      </c>
      <c r="D1078" s="12" t="s">
        <v>12</v>
      </c>
      <c r="E1078" s="30"/>
      <c r="F1078" s="30"/>
      <c r="G1078" s="29"/>
      <c r="H1078" s="31"/>
      <c r="I1078" s="29">
        <f>IFERROR(IF(T_PROD[[#This Row],[PREVISTO]]-T_PROD[[#This Row],[EFETIVO]]&lt; 0,0,T_PROD[[#This Row],[PREVISTO]]-T_PROD[[#This Row],[EFETIVO]] ),"")</f>
        <v>0</v>
      </c>
      <c r="J1078" s="15" t="str">
        <f>IFERROR(IF(T_PROD[[#This Row],[META]]&gt;0,(T_PROD[[#This Row],[META]]/T_PROD[[#This Row],[PREVISTO]]),""),"")</f>
        <v/>
      </c>
      <c r="K1078" s="15" t="str">
        <f>IFERROR(IF(T_PROD[[#This Row],[PRODUÇÃO]]&gt;0,(T_PROD[[#This Row],[PRODUÇÃO]]/T_PROD[[#This Row],[EFETIVO]]),""),"")</f>
        <v/>
      </c>
    </row>
    <row r="1079" spans="1:11" x14ac:dyDescent="0.3">
      <c r="A1079" s="28">
        <v>46203</v>
      </c>
      <c r="B1079" s="29" t="str">
        <f t="shared" si="118"/>
        <v>JUNHO</v>
      </c>
      <c r="C1079" s="12" t="s">
        <v>11</v>
      </c>
      <c r="D1079" s="12" t="s">
        <v>12</v>
      </c>
      <c r="E1079" s="30">
        <v>840</v>
      </c>
      <c r="F1079" s="30">
        <v>860</v>
      </c>
      <c r="G1079" s="29">
        <v>42</v>
      </c>
      <c r="H1079" s="31">
        <v>42</v>
      </c>
      <c r="I1079" s="29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28">
        <v>46203</v>
      </c>
      <c r="B1080" s="29" t="str">
        <f t="shared" si="118"/>
        <v>JUNHO</v>
      </c>
      <c r="C1080" s="12" t="s">
        <v>32</v>
      </c>
      <c r="D1080" s="12" t="s">
        <v>12</v>
      </c>
      <c r="E1080" s="30">
        <v>22</v>
      </c>
      <c r="F1080" s="30">
        <v>20</v>
      </c>
      <c r="G1080" s="29">
        <v>2</v>
      </c>
      <c r="H1080" s="31">
        <v>2</v>
      </c>
      <c r="I1080" s="29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28">
        <v>46203</v>
      </c>
      <c r="B1081" s="29" t="str">
        <f t="shared" si="118"/>
        <v>JUNHO</v>
      </c>
      <c r="C1081" s="12" t="s">
        <v>14</v>
      </c>
      <c r="D1081" s="12" t="s">
        <v>12</v>
      </c>
      <c r="E1081" s="30">
        <v>862</v>
      </c>
      <c r="F1081" s="30">
        <v>880</v>
      </c>
      <c r="G1081" s="29">
        <v>95</v>
      </c>
      <c r="H1081" s="31">
        <v>94</v>
      </c>
      <c r="I1081" s="29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tabSelected="1"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2026-07-01T13:24:22Z</dcterms:modified>
</cp:coreProperties>
</file>