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FD13A429-4920-4CF3-ACBD-26E6E2A7EC0F}" xr6:coauthVersionLast="47" xr6:coauthVersionMax="47" xr10:uidLastSave="{00000000-0000-0000-0000-000000000000}"/>
  <bookViews>
    <workbookView xWindow="31005" yWindow="1290" windowWidth="17280" windowHeight="888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LANC.!$A$1:$K$262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55" i="1" l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C5" i="3"/>
  <c r="C6" i="3"/>
  <c r="C4" i="3"/>
  <c r="C3" i="3"/>
  <c r="D3" i="3" s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<sst xmlns="http://schemas.openxmlformats.org/spreadsheetml/2006/main" count="579" uniqueCount="32">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</sst>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262" totalsRowShown="0" headerRowDxfId="13" dataDxfId="12" tableBorderDxfId="11">
  <autoFilter ref="A1:K26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241" activePane="bottomLeft" state="frozen"/>
      <selection pane="bottomLeft" activeCell="Q262" sqref="Q262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11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13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3.1538461538461537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15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3.6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32</v>
      </c>
      <c r="F229" s="13">
        <v>64</v>
      </c>
      <c r="G229" s="12">
        <v>2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6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28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32</v>
      </c>
      <c r="F238" s="13">
        <v>67</v>
      </c>
      <c r="G238" s="12">
        <v>2</v>
      </c>
      <c r="H238" s="14">
        <v>8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8.375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3</v>
      </c>
      <c r="I245" s="12">
        <f>IFERROR(IF(T_PROD[[#This Row],[PREVISTO]]-T_PROD[[#This Row],[EFETIVO]]&lt; 0,0,T_PROD[[#This Row],[PREVISTO]]-T_PROD[[#This Row],[EFETIVO]] ),"")</f>
        <v>1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16.333333333333332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6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26.833333333333332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32</v>
      </c>
      <c r="F247" s="13">
        <v>59</v>
      </c>
      <c r="G247" s="12">
        <v>2</v>
      </c>
      <c r="H247" s="14">
        <v>8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7.375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33">
        <v>46065</v>
      </c>
      <c r="B254" s="34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35">
        <v>38</v>
      </c>
      <c r="G254" s="12">
        <v>4</v>
      </c>
      <c r="H254" s="14">
        <v>3</v>
      </c>
      <c r="I254" s="34">
        <f>IFERROR(IF(T_PROD[[#This Row],[PREVISTO]]-T_PROD[[#This Row],[EFETIVO]]&lt; 0,0,T_PROD[[#This Row],[PREVISTO]]-T_PROD[[#This Row],[EFETIVO]] ),"")</f>
        <v>1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12.666666666666666</v>
      </c>
    </row>
    <row r="255" spans="1:11" s="6" customFormat="1" x14ac:dyDescent="0.3">
      <c r="A255" s="33">
        <v>46065</v>
      </c>
      <c r="B255" s="34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35">
        <v>158</v>
      </c>
      <c r="G255" s="12">
        <v>6</v>
      </c>
      <c r="H255" s="14">
        <v>6</v>
      </c>
      <c r="I255" s="34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33">
        <v>46065</v>
      </c>
      <c r="B256" s="34" t="str">
        <f t="shared" si="27"/>
        <v>FEVEREIRO</v>
      </c>
      <c r="C256" s="12" t="s">
        <v>17</v>
      </c>
      <c r="D256" s="12" t="s">
        <v>12</v>
      </c>
      <c r="E256" s="13">
        <v>32</v>
      </c>
      <c r="F256" s="35">
        <v>124</v>
      </c>
      <c r="G256" s="12">
        <v>2</v>
      </c>
      <c r="H256" s="14">
        <v>8</v>
      </c>
      <c r="I256" s="34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33">
        <v>46065</v>
      </c>
      <c r="B257" s="34" t="str">
        <f t="shared" si="27"/>
        <v>FEVEREIRO</v>
      </c>
      <c r="C257" s="12" t="s">
        <v>18</v>
      </c>
      <c r="D257" s="12" t="s">
        <v>12</v>
      </c>
      <c r="E257" s="13">
        <v>100</v>
      </c>
      <c r="F257" s="35">
        <v>0</v>
      </c>
      <c r="G257" s="12">
        <v>3</v>
      </c>
      <c r="H257" s="14">
        <v>0</v>
      </c>
      <c r="I257" s="34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33">
        <v>46065</v>
      </c>
      <c r="B258" s="34" t="str">
        <f t="shared" si="27"/>
        <v>FEVEREIRO</v>
      </c>
      <c r="C258" s="12" t="s">
        <v>19</v>
      </c>
      <c r="D258" s="12" t="s">
        <v>12</v>
      </c>
      <c r="E258" s="13">
        <v>100</v>
      </c>
      <c r="F258" s="35">
        <v>78</v>
      </c>
      <c r="G258" s="12">
        <v>11</v>
      </c>
      <c r="H258" s="14">
        <v>11</v>
      </c>
      <c r="I258" s="34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33">
        <v>46065</v>
      </c>
      <c r="B259" s="34" t="str">
        <f t="shared" si="27"/>
        <v>FEVEREIRO</v>
      </c>
      <c r="C259" s="12" t="s">
        <v>20</v>
      </c>
      <c r="D259" s="12" t="s">
        <v>12</v>
      </c>
      <c r="E259" s="13">
        <v>486</v>
      </c>
      <c r="F259" s="35">
        <v>398</v>
      </c>
      <c r="G259" s="12">
        <v>90</v>
      </c>
      <c r="H259" s="14">
        <v>90</v>
      </c>
      <c r="I259" s="34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33">
        <v>46065</v>
      </c>
      <c r="B260" s="34" t="str">
        <f t="shared" si="27"/>
        <v>FEVEREIRO</v>
      </c>
      <c r="C260" s="12" t="s">
        <v>11</v>
      </c>
      <c r="D260" s="12" t="s">
        <v>12</v>
      </c>
      <c r="E260" s="13">
        <v>600</v>
      </c>
      <c r="F260" s="35">
        <v>584</v>
      </c>
      <c r="G260" s="12">
        <v>33</v>
      </c>
      <c r="H260" s="14">
        <v>30</v>
      </c>
      <c r="I260" s="34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33">
        <v>46065</v>
      </c>
      <c r="B261" s="34" t="str">
        <f t="shared" si="27"/>
        <v>FEVEREIRO</v>
      </c>
      <c r="C261" s="12" t="s">
        <v>13</v>
      </c>
      <c r="D261" s="12" t="s">
        <v>12</v>
      </c>
      <c r="E261" s="13">
        <v>150</v>
      </c>
      <c r="F261" s="35">
        <v>0</v>
      </c>
      <c r="G261" s="12">
        <v>0</v>
      </c>
      <c r="H261" s="14">
        <v>0</v>
      </c>
      <c r="I261" s="34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33">
        <v>46065</v>
      </c>
      <c r="B262" s="34" t="str">
        <f t="shared" si="27"/>
        <v>FEVEREIRO</v>
      </c>
      <c r="C262" s="12" t="s">
        <v>14</v>
      </c>
      <c r="D262" s="12" t="s">
        <v>12</v>
      </c>
      <c r="E262" s="13">
        <v>750</v>
      </c>
      <c r="F262" s="35">
        <v>584</v>
      </c>
      <c r="G262" s="12">
        <v>89</v>
      </c>
      <c r="H262" s="14">
        <v>80</v>
      </c>
      <c r="I262" s="34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6"/>
      <c r="B263" s="17"/>
      <c r="C263" s="17"/>
      <c r="D263" s="17"/>
      <c r="E263" s="18"/>
      <c r="F263" s="18"/>
      <c r="G263" s="17"/>
      <c r="H263" s="19"/>
      <c r="I263" s="17"/>
      <c r="J263" s="20"/>
      <c r="K263" s="20"/>
    </row>
    <row r="264" spans="1:11" s="6" customFormat="1" x14ac:dyDescent="0.3">
      <c r="A264" s="16"/>
      <c r="B264" s="17"/>
      <c r="C264" s="17"/>
      <c r="D264" s="17"/>
      <c r="E264" s="18"/>
      <c r="F264" s="18"/>
      <c r="G264" s="17"/>
      <c r="H264" s="19"/>
      <c r="I264" s="17"/>
      <c r="J264" s="20"/>
      <c r="K264" s="20"/>
    </row>
    <row r="265" spans="1:11" s="6" customFormat="1" x14ac:dyDescent="0.3">
      <c r="A265" s="16"/>
      <c r="B265" s="17"/>
      <c r="C265" s="17"/>
      <c r="D265" s="17"/>
      <c r="E265" s="18"/>
      <c r="F265" s="18"/>
      <c r="G265" s="17"/>
      <c r="H265" s="19"/>
      <c r="I265" s="17"/>
      <c r="J265" s="20"/>
      <c r="K265" s="20"/>
    </row>
    <row r="266" spans="1:11" s="6" customFormat="1" x14ac:dyDescent="0.3">
      <c r="A266" s="16"/>
      <c r="B266" s="17"/>
      <c r="C266" s="17"/>
      <c r="D266" s="17"/>
      <c r="E266" s="18"/>
      <c r="F266" s="18"/>
      <c r="G266" s="17"/>
      <c r="H266" s="19"/>
      <c r="I266" s="17"/>
      <c r="J266" s="20"/>
      <c r="K266" s="20"/>
    </row>
    <row r="267" spans="1:11" s="6" customFormat="1" x14ac:dyDescent="0.3">
      <c r="A267" s="16"/>
      <c r="B267" s="17"/>
      <c r="C267" s="17"/>
      <c r="D267" s="17"/>
      <c r="E267" s="18"/>
      <c r="F267" s="18"/>
      <c r="G267" s="17"/>
      <c r="H267" s="19"/>
      <c r="I267" s="17"/>
      <c r="J267" s="20"/>
      <c r="K267" s="20"/>
    </row>
    <row r="268" spans="1:11" s="6" customFormat="1" x14ac:dyDescent="0.3">
      <c r="A268" s="16"/>
      <c r="B268" s="17"/>
      <c r="C268" s="17"/>
      <c r="D268" s="17"/>
      <c r="E268" s="18"/>
      <c r="F268" s="18"/>
      <c r="G268" s="17"/>
      <c r="H268" s="19"/>
      <c r="I268" s="17"/>
      <c r="J268" s="20"/>
      <c r="K268" s="20"/>
    </row>
    <row r="269" spans="1:11" s="6" customFormat="1" x14ac:dyDescent="0.3">
      <c r="A269" s="16"/>
      <c r="B269" s="17"/>
      <c r="C269" s="17"/>
      <c r="D269" s="17"/>
      <c r="E269" s="18"/>
      <c r="F269" s="18"/>
      <c r="G269" s="17"/>
      <c r="H269" s="19"/>
      <c r="I269" s="17"/>
      <c r="J269" s="20"/>
      <c r="K269" s="20"/>
    </row>
    <row r="270" spans="1:11" s="6" customFormat="1" x14ac:dyDescent="0.3">
      <c r="A270" s="16"/>
      <c r="B270" s="17"/>
      <c r="C270" s="17"/>
      <c r="D270" s="17"/>
      <c r="E270" s="18"/>
      <c r="F270" s="18"/>
      <c r="G270" s="17"/>
      <c r="H270" s="19"/>
      <c r="I270" s="17"/>
      <c r="J270" s="20"/>
      <c r="K270" s="20"/>
    </row>
    <row r="271" spans="1:11" s="6" customFormat="1" x14ac:dyDescent="0.3">
      <c r="A271" s="16"/>
      <c r="B271" s="17"/>
      <c r="C271" s="17"/>
      <c r="D271" s="17"/>
      <c r="E271" s="18"/>
      <c r="F271" s="18"/>
      <c r="G271" s="17"/>
      <c r="H271" s="19"/>
      <c r="I271" s="17"/>
      <c r="J271" s="20"/>
      <c r="K271" s="20"/>
    </row>
    <row r="272" spans="1:11" s="6" customFormat="1" x14ac:dyDescent="0.3">
      <c r="A272" s="16"/>
      <c r="B272" s="17"/>
      <c r="C272" s="17"/>
      <c r="D272" s="17"/>
      <c r="E272" s="18"/>
      <c r="F272" s="18"/>
      <c r="G272" s="17"/>
      <c r="H272" s="19"/>
      <c r="I272" s="17"/>
      <c r="J272" s="20"/>
      <c r="K272" s="20"/>
    </row>
    <row r="273" spans="1:11" s="6" customFormat="1" x14ac:dyDescent="0.3">
      <c r="A273" s="16"/>
      <c r="B273" s="17"/>
      <c r="C273" s="17"/>
      <c r="D273" s="17"/>
      <c r="E273" s="18"/>
      <c r="F273" s="18"/>
      <c r="G273" s="17"/>
      <c r="H273" s="19"/>
      <c r="I273" s="17"/>
      <c r="J273" s="20"/>
      <c r="K273" s="20"/>
    </row>
    <row r="274" spans="1:11" s="6" customFormat="1" x14ac:dyDescent="0.3">
      <c r="A274" s="16"/>
      <c r="B274" s="17"/>
      <c r="C274" s="17"/>
      <c r="D274" s="17"/>
      <c r="E274" s="18"/>
      <c r="F274" s="18"/>
      <c r="G274" s="17"/>
      <c r="H274" s="19"/>
      <c r="I274" s="17"/>
      <c r="J274" s="20"/>
      <c r="K274" s="20"/>
    </row>
    <row r="275" spans="1:11" s="6" customFormat="1" x14ac:dyDescent="0.3">
      <c r="A275" s="16"/>
      <c r="B275" s="17"/>
      <c r="C275" s="17"/>
      <c r="D275" s="17"/>
      <c r="E275" s="18"/>
      <c r="F275" s="18"/>
      <c r="G275" s="17"/>
      <c r="H275" s="19"/>
      <c r="I275" s="17"/>
      <c r="J275" s="20"/>
      <c r="K275" s="20"/>
    </row>
    <row r="276" spans="1:11" s="6" customFormat="1" x14ac:dyDescent="0.3">
      <c r="A276" s="16"/>
      <c r="B276" s="17"/>
      <c r="C276" s="17"/>
      <c r="D276" s="17"/>
      <c r="E276" s="18"/>
      <c r="F276" s="18"/>
      <c r="G276" s="17"/>
      <c r="H276" s="19"/>
      <c r="I276" s="17"/>
      <c r="J276" s="20"/>
      <c r="K276" s="20"/>
    </row>
    <row r="277" spans="1:11" s="6" customFormat="1" x14ac:dyDescent="0.3">
      <c r="A277" s="16"/>
      <c r="B277" s="17"/>
      <c r="C277" s="17"/>
      <c r="D277" s="17"/>
      <c r="E277" s="18"/>
      <c r="F277" s="18"/>
      <c r="G277" s="17"/>
      <c r="H277" s="19"/>
      <c r="I277" s="17"/>
      <c r="J277" s="20"/>
      <c r="K277" s="20"/>
    </row>
    <row r="278" spans="1:11" s="6" customFormat="1" x14ac:dyDescent="0.3">
      <c r="A278" s="16"/>
      <c r="B278" s="17"/>
      <c r="C278" s="17"/>
      <c r="D278" s="17"/>
      <c r="E278" s="18"/>
      <c r="F278" s="18"/>
      <c r="G278" s="17"/>
      <c r="H278" s="19"/>
      <c r="I278" s="17"/>
      <c r="J278" s="20"/>
      <c r="K278" s="20"/>
    </row>
    <row r="279" spans="1:11" s="6" customFormat="1" x14ac:dyDescent="0.3">
      <c r="A279" s="16"/>
      <c r="B279" s="17"/>
      <c r="C279" s="17"/>
      <c r="D279" s="17"/>
      <c r="E279" s="18"/>
      <c r="F279" s="18"/>
      <c r="G279" s="17"/>
      <c r="H279" s="19"/>
      <c r="I279" s="17"/>
      <c r="J279" s="20"/>
      <c r="K279" s="20"/>
    </row>
    <row r="280" spans="1:11" s="6" customFormat="1" x14ac:dyDescent="0.3">
      <c r="A280" s="16"/>
      <c r="B280" s="17"/>
      <c r="C280" s="17"/>
      <c r="D280" s="17"/>
      <c r="E280" s="18"/>
      <c r="F280" s="18"/>
      <c r="G280" s="17"/>
      <c r="H280" s="19"/>
      <c r="I280" s="17"/>
      <c r="J280" s="20"/>
      <c r="K280" s="20"/>
    </row>
    <row r="281" spans="1:11" s="6" customFormat="1" x14ac:dyDescent="0.3">
      <c r="A281" s="16"/>
      <c r="B281" s="17"/>
      <c r="C281" s="17"/>
      <c r="D281" s="17"/>
      <c r="E281" s="18"/>
      <c r="F281" s="18"/>
      <c r="G281" s="17"/>
      <c r="H281" s="19"/>
      <c r="I281" s="17"/>
      <c r="J281" s="20"/>
      <c r="K281" s="20"/>
    </row>
    <row r="282" spans="1:11" s="6" customFormat="1" x14ac:dyDescent="0.3">
      <c r="A282" s="16"/>
      <c r="B282" s="17"/>
      <c r="C282" s="17"/>
      <c r="D282" s="17"/>
      <c r="E282" s="18"/>
      <c r="F282" s="18"/>
      <c r="G282" s="17"/>
      <c r="H282" s="19"/>
      <c r="I282" s="17"/>
      <c r="J282" s="20"/>
      <c r="K282" s="20"/>
    </row>
    <row r="283" spans="1:11" s="6" customFormat="1" x14ac:dyDescent="0.3">
      <c r="A283" s="16"/>
      <c r="B283" s="17"/>
      <c r="C283" s="17"/>
      <c r="D283" s="17"/>
      <c r="E283" s="18"/>
      <c r="F283" s="18"/>
      <c r="G283" s="17"/>
      <c r="H283" s="19"/>
      <c r="I283" s="17"/>
      <c r="J283" s="20"/>
      <c r="K283" s="20"/>
    </row>
    <row r="284" spans="1:11" s="6" customFormat="1" x14ac:dyDescent="0.3">
      <c r="A284" s="16"/>
      <c r="B284" s="17"/>
      <c r="C284" s="17"/>
      <c r="D284" s="17"/>
      <c r="E284" s="18"/>
      <c r="F284" s="18"/>
      <c r="G284" s="17"/>
      <c r="H284" s="19"/>
      <c r="I284" s="17"/>
      <c r="J284" s="20"/>
      <c r="K284" s="20"/>
    </row>
    <row r="285" spans="1:11" s="6" customFormat="1" x14ac:dyDescent="0.3">
      <c r="A285" s="16"/>
      <c r="B285" s="17"/>
      <c r="C285" s="17"/>
      <c r="D285" s="17"/>
      <c r="E285" s="18"/>
      <c r="F285" s="18"/>
      <c r="G285" s="17"/>
      <c r="H285" s="19"/>
      <c r="I285" s="17"/>
      <c r="J285" s="20"/>
      <c r="K285" s="20"/>
    </row>
    <row r="286" spans="1:11" s="6" customFormat="1" x14ac:dyDescent="0.3">
      <c r="A286" s="16"/>
      <c r="B286" s="17"/>
      <c r="C286" s="17"/>
      <c r="D286" s="17"/>
      <c r="E286" s="18"/>
      <c r="F286" s="18"/>
      <c r="G286" s="17"/>
      <c r="H286" s="19"/>
      <c r="I286" s="17"/>
      <c r="J286" s="20"/>
      <c r="K286" s="20"/>
    </row>
    <row r="287" spans="1:11" s="6" customFormat="1" x14ac:dyDescent="0.3">
      <c r="A287" s="16"/>
      <c r="B287" s="17"/>
      <c r="C287" s="17"/>
      <c r="D287" s="17"/>
      <c r="E287" s="18"/>
      <c r="F287" s="18"/>
      <c r="G287" s="17"/>
      <c r="H287" s="19"/>
      <c r="I287" s="17"/>
      <c r="J287" s="20"/>
      <c r="K287" s="20"/>
    </row>
    <row r="288" spans="1:11" s="6" customFormat="1" x14ac:dyDescent="0.3">
      <c r="A288" s="16"/>
      <c r="B288" s="17"/>
      <c r="C288" s="17"/>
      <c r="D288" s="17"/>
      <c r="E288" s="18"/>
      <c r="F288" s="18"/>
      <c r="G288" s="17"/>
      <c r="H288" s="19"/>
      <c r="I288" s="17"/>
      <c r="J288" s="20"/>
      <c r="K288" s="20"/>
    </row>
    <row r="289" spans="1:11" s="6" customFormat="1" x14ac:dyDescent="0.3">
      <c r="A289" s="16"/>
      <c r="B289" s="17"/>
      <c r="C289" s="17"/>
      <c r="D289" s="17"/>
      <c r="E289" s="18"/>
      <c r="F289" s="18"/>
      <c r="G289" s="17"/>
      <c r="H289" s="19"/>
      <c r="I289" s="17"/>
      <c r="J289" s="20"/>
      <c r="K289" s="20"/>
    </row>
    <row r="290" spans="1:11" s="6" customFormat="1" x14ac:dyDescent="0.3">
      <c r="A290" s="16"/>
      <c r="B290" s="17"/>
      <c r="C290" s="17"/>
      <c r="D290" s="17"/>
      <c r="E290" s="18"/>
      <c r="F290" s="18"/>
      <c r="G290" s="17"/>
      <c r="H290" s="19"/>
      <c r="I290" s="17"/>
      <c r="J290" s="20"/>
      <c r="K290" s="20"/>
    </row>
    <row r="291" spans="1:11" s="6" customFormat="1" x14ac:dyDescent="0.3">
      <c r="A291" s="16"/>
      <c r="B291" s="17"/>
      <c r="C291" s="17"/>
      <c r="D291" s="17"/>
      <c r="E291" s="18"/>
      <c r="F291" s="18"/>
      <c r="G291" s="17"/>
      <c r="H291" s="19"/>
      <c r="I291" s="17"/>
      <c r="J291" s="20"/>
      <c r="K291" s="20"/>
    </row>
    <row r="292" spans="1:11" s="6" customFormat="1" x14ac:dyDescent="0.3">
      <c r="A292" s="16"/>
      <c r="B292" s="17"/>
      <c r="C292" s="17"/>
      <c r="D292" s="17"/>
      <c r="E292" s="18"/>
      <c r="F292" s="18"/>
      <c r="G292" s="17"/>
      <c r="H292" s="19"/>
      <c r="I292" s="17"/>
      <c r="J292" s="20"/>
      <c r="K292" s="20"/>
    </row>
    <row r="293" spans="1:11" s="6" customFormat="1" x14ac:dyDescent="0.3">
      <c r="A293" s="16"/>
      <c r="B293" s="17"/>
      <c r="C293" s="17"/>
      <c r="D293" s="17"/>
      <c r="E293" s="18"/>
      <c r="F293" s="18"/>
      <c r="G293" s="17"/>
      <c r="H293" s="19"/>
      <c r="I293" s="17"/>
      <c r="J293" s="20"/>
      <c r="K293" s="20"/>
    </row>
    <row r="294" spans="1:11" s="6" customFormat="1" x14ac:dyDescent="0.3">
      <c r="A294" s="16"/>
      <c r="B294" s="17"/>
      <c r="C294" s="17"/>
      <c r="D294" s="17"/>
      <c r="E294" s="18"/>
      <c r="F294" s="18"/>
      <c r="G294" s="17"/>
      <c r="H294" s="19"/>
      <c r="I294" s="17"/>
      <c r="J294" s="20"/>
      <c r="K294" s="20"/>
    </row>
    <row r="295" spans="1:11" s="6" customFormat="1" x14ac:dyDescent="0.3">
      <c r="A295" s="16"/>
      <c r="B295" s="17"/>
      <c r="C295" s="17"/>
      <c r="D295" s="17"/>
      <c r="E295" s="18"/>
      <c r="F295" s="18"/>
      <c r="G295" s="17"/>
      <c r="H295" s="19"/>
      <c r="I295" s="17"/>
      <c r="J295" s="20"/>
      <c r="K295" s="20"/>
    </row>
    <row r="296" spans="1:11" s="6" customFormat="1" x14ac:dyDescent="0.3">
      <c r="A296" s="16"/>
      <c r="B296" s="17"/>
      <c r="C296" s="17"/>
      <c r="D296" s="17"/>
      <c r="E296" s="18"/>
      <c r="F296" s="18"/>
      <c r="G296" s="17"/>
      <c r="H296" s="19"/>
      <c r="I296" s="17"/>
      <c r="J296" s="20"/>
      <c r="K296" s="20"/>
    </row>
    <row r="297" spans="1:11" s="6" customFormat="1" x14ac:dyDescent="0.3">
      <c r="A297" s="16"/>
      <c r="B297" s="17"/>
      <c r="C297" s="17"/>
      <c r="D297" s="17"/>
      <c r="E297" s="18"/>
      <c r="F297" s="18"/>
      <c r="G297" s="17"/>
      <c r="H297" s="19"/>
      <c r="I297" s="17"/>
      <c r="J297" s="20"/>
      <c r="K297" s="20"/>
    </row>
    <row r="298" spans="1:11" s="6" customFormat="1" x14ac:dyDescent="0.3">
      <c r="A298" s="16"/>
      <c r="B298" s="17"/>
      <c r="C298" s="17"/>
      <c r="D298" s="17"/>
      <c r="E298" s="18"/>
      <c r="F298" s="18"/>
      <c r="G298" s="17"/>
      <c r="H298" s="19"/>
      <c r="I298" s="17"/>
      <c r="J298" s="20"/>
      <c r="K298" s="20"/>
    </row>
    <row r="299" spans="1:11" s="6" customFormat="1" x14ac:dyDescent="0.3">
      <c r="A299" s="16"/>
      <c r="B299" s="17"/>
      <c r="C299" s="17"/>
      <c r="D299" s="17"/>
      <c r="E299" s="18"/>
      <c r="F299" s="18"/>
      <c r="G299" s="17"/>
      <c r="H299" s="19"/>
      <c r="I299" s="17"/>
      <c r="J299" s="20"/>
      <c r="K299" s="20"/>
    </row>
    <row r="300" spans="1:11" s="6" customFormat="1" x14ac:dyDescent="0.3">
      <c r="A300" s="16"/>
      <c r="B300" s="17"/>
      <c r="C300" s="17"/>
      <c r="D300" s="17"/>
      <c r="E300" s="18"/>
      <c r="F300" s="18"/>
      <c r="G300" s="17"/>
      <c r="H300" s="19"/>
      <c r="I300" s="17"/>
      <c r="J300" s="20"/>
      <c r="K300" s="20"/>
    </row>
    <row r="301" spans="1:11" s="6" customFormat="1" x14ac:dyDescent="0.3">
      <c r="A301" s="16"/>
      <c r="B301" s="17"/>
      <c r="C301" s="17"/>
      <c r="D301" s="17"/>
      <c r="E301" s="18"/>
      <c r="F301" s="18"/>
      <c r="G301" s="17"/>
      <c r="H301" s="19"/>
      <c r="I301" s="17"/>
      <c r="J301" s="20"/>
      <c r="K301" s="20"/>
    </row>
    <row r="302" spans="1:11" s="6" customFormat="1" x14ac:dyDescent="0.3">
      <c r="A302" s="16"/>
      <c r="B302" s="17"/>
      <c r="C302" s="17"/>
      <c r="D302" s="17"/>
      <c r="E302" s="18"/>
      <c r="F302" s="18"/>
      <c r="G302" s="17"/>
      <c r="H302" s="19"/>
      <c r="I302" s="17"/>
      <c r="J302" s="20"/>
      <c r="K302" s="20"/>
    </row>
    <row r="303" spans="1:11" s="6" customFormat="1" x14ac:dyDescent="0.3">
      <c r="A303" s="16"/>
      <c r="B303" s="17"/>
      <c r="C303" s="17"/>
      <c r="D303" s="17"/>
      <c r="E303" s="18"/>
      <c r="F303" s="18"/>
      <c r="G303" s="17"/>
      <c r="H303" s="19"/>
      <c r="I303" s="17"/>
      <c r="J303" s="20"/>
      <c r="K303" s="2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J15" sqref="J15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48</v>
      </c>
      <c r="D2" s="29">
        <f>SUM(B2:C2)</f>
        <v>1517</v>
      </c>
    </row>
    <row r="3" spans="1:4" x14ac:dyDescent="0.3">
      <c r="A3" s="32" t="s">
        <v>11</v>
      </c>
      <c r="B3" s="29">
        <v>8917</v>
      </c>
      <c r="C3" s="29">
        <f>95+51+462+141</f>
        <v>749</v>
      </c>
      <c r="D3" s="29">
        <f t="shared" ref="D3:D8" si="0">SUM(B3:C3)</f>
        <v>9666</v>
      </c>
    </row>
    <row r="4" spans="1:4" x14ac:dyDescent="0.3">
      <c r="A4" s="32" t="s">
        <v>18</v>
      </c>
      <c r="B4" s="29">
        <v>970</v>
      </c>
      <c r="C4" s="29">
        <f>2+65+52</f>
        <v>119</v>
      </c>
      <c r="D4" s="29">
        <f t="shared" si="0"/>
        <v>1089</v>
      </c>
    </row>
    <row r="5" spans="1:4" x14ac:dyDescent="0.3">
      <c r="A5" s="32" t="s">
        <v>16</v>
      </c>
      <c r="B5" s="29">
        <v>3118</v>
      </c>
      <c r="C5" s="29">
        <f>22+424+475+54+1+18</f>
        <v>994</v>
      </c>
      <c r="D5" s="29">
        <f t="shared" si="0"/>
        <v>4112</v>
      </c>
    </row>
    <row r="6" spans="1:4" x14ac:dyDescent="0.3">
      <c r="A6" s="28" t="s">
        <v>15</v>
      </c>
      <c r="B6" s="29">
        <v>628</v>
      </c>
      <c r="C6" s="29">
        <f>55+19+71+94</f>
        <v>239</v>
      </c>
      <c r="D6" s="29">
        <f t="shared" si="0"/>
        <v>867</v>
      </c>
    </row>
    <row r="7" spans="1:4" x14ac:dyDescent="0.3">
      <c r="A7" s="28" t="s">
        <v>17</v>
      </c>
      <c r="B7" s="29">
        <v>661</v>
      </c>
      <c r="C7" s="29">
        <v>66</v>
      </c>
      <c r="D7" s="29">
        <f t="shared" si="0"/>
        <v>727</v>
      </c>
    </row>
    <row r="8" spans="1:4" x14ac:dyDescent="0.3">
      <c r="A8" s="28" t="s">
        <v>13</v>
      </c>
      <c r="B8" s="29">
        <v>1020</v>
      </c>
      <c r="C8" s="29">
        <v>14</v>
      </c>
      <c r="D8" s="29">
        <f t="shared" si="0"/>
        <v>1034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2026-02-13T15:11:46Z</dcterms:modified>
</cp:coreProperties>
</file>