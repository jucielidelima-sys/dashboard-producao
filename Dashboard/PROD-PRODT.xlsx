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AAF5AE6-696F-4957-BBB0-8FE0FA3E307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LANC.!$A$1:$K$577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0" i="1" l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<sst xmlns="http://schemas.openxmlformats.org/spreadsheetml/2006/main" count="1210" uniqueCount="34">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</sst>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77" totalsRowShown="0" headerRowDxfId="13" dataDxfId="12" tableBorderDxfId="11">
  <autoFilter ref="A1:K57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552" activePane="bottomLeft" state="frozen"/>
      <selection pane="bottomLeft" activeCell="L1" sqref="L1:L104857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28">
        <v>46118</v>
      </c>
      <c r="B560" s="29" t="str">
        <f>UPPER(TEXT(A560,"MMMM"))</f>
        <v>ABRIL</v>
      </c>
      <c r="C560" s="12" t="s">
        <v>15</v>
      </c>
      <c r="D560" s="12" t="s">
        <v>12</v>
      </c>
      <c r="E560" s="13"/>
      <c r="F560" s="30"/>
      <c r="G560" s="29"/>
      <c r="H560" s="31"/>
      <c r="I560" s="29">
        <f>IFERROR(IF(T_PROD[[#This Row],[PREVISTO]]-T_PROD[[#This Row],[EFETIVO]]&lt; 0,0,T_PROD[[#This Row],[PREVISTO]]-T_PROD[[#This Row],[EFETIVO]] ),"")</f>
        <v>0</v>
      </c>
      <c r="J560" s="15" t="str">
        <f>IFERROR(IF(T_PROD[[#This Row],[META]]&gt;0,(T_PROD[[#This Row],[META]]/T_PROD[[#This Row],[PREVISTO]]),""),"")</f>
        <v/>
      </c>
      <c r="K560" s="15" t="str">
        <f>IFERROR(IF(T_PROD[[#This Row],[PRODUÇÃO]]&gt;0,(T_PROD[[#This Row],[PRODUÇÃO]]/T_PROD[[#This Row],[EFETIVO]]),""),"")</f>
        <v/>
      </c>
    </row>
    <row r="561" spans="1:11" s="6" customFormat="1" x14ac:dyDescent="0.3">
      <c r="A561" s="28">
        <v>46118</v>
      </c>
      <c r="B561" s="29" t="str">
        <f t="shared" ref="B561:B568" si="61">UPPER(TEXT(A561,"MMMM"))</f>
        <v>ABRIL</v>
      </c>
      <c r="C561" s="12" t="s">
        <v>16</v>
      </c>
      <c r="D561" s="12" t="s">
        <v>12</v>
      </c>
      <c r="E561" s="13"/>
      <c r="F561" s="30"/>
      <c r="G561" s="29"/>
      <c r="H561" s="31"/>
      <c r="I561" s="29">
        <f>IFERROR(IF(T_PROD[[#This Row],[PREVISTO]]-T_PROD[[#This Row],[EFETIVO]]&lt; 0,0,T_PROD[[#This Row],[PREVISTO]]-T_PROD[[#This Row],[EFETIVO]] ),"")</f>
        <v>0</v>
      </c>
      <c r="J561" s="15" t="str">
        <f>IFERROR(IF(T_PROD[[#This Row],[META]]&gt;0,(T_PROD[[#This Row],[META]]/T_PROD[[#This Row],[PREVISTO]]),""),"")</f>
        <v/>
      </c>
      <c r="K561" s="15" t="str">
        <f>IFERROR(IF(T_PROD[[#This Row],[PRODUÇÃO]]&gt;0,(T_PROD[[#This Row],[PRODUÇÃO]]/T_PROD[[#This Row],[EFETIVO]]),""),"")</f>
        <v/>
      </c>
    </row>
    <row r="562" spans="1:11" s="6" customFormat="1" x14ac:dyDescent="0.3">
      <c r="A562" s="28">
        <v>46118</v>
      </c>
      <c r="B562" s="29" t="str">
        <f t="shared" si="61"/>
        <v>ABRIL</v>
      </c>
      <c r="C562" s="12" t="s">
        <v>17</v>
      </c>
      <c r="D562" s="12" t="s">
        <v>12</v>
      </c>
      <c r="E562" s="13"/>
      <c r="F562" s="30"/>
      <c r="G562" s="29"/>
      <c r="H562" s="31"/>
      <c r="I562" s="29">
        <f>IFERROR(IF(T_PROD[[#This Row],[PREVISTO]]-T_PROD[[#This Row],[EFETIVO]]&lt; 0,0,T_PROD[[#This Row],[PREVISTO]]-T_PROD[[#This Row],[EFETIVO]] ),"")</f>
        <v>0</v>
      </c>
      <c r="J562" s="15" t="str">
        <f>IFERROR(IF(T_PROD[[#This Row],[META]]&gt;0,(T_PROD[[#This Row],[META]]/T_PROD[[#This Row],[PREVISTO]]),""),"")</f>
        <v/>
      </c>
      <c r="K562" s="15" t="str">
        <f>IFERROR(IF(T_PROD[[#This Row],[PRODUÇÃO]]&gt;0,(T_PROD[[#This Row],[PRODUÇÃO]]/T_PROD[[#This Row],[EFETIVO]]),""),"")</f>
        <v/>
      </c>
    </row>
    <row r="563" spans="1:11" s="6" customFormat="1" x14ac:dyDescent="0.3">
      <c r="A563" s="28">
        <v>46118</v>
      </c>
      <c r="B563" s="29" t="str">
        <f t="shared" si="61"/>
        <v>ABRIL</v>
      </c>
      <c r="C563" s="12" t="s">
        <v>18</v>
      </c>
      <c r="D563" s="12" t="s">
        <v>12</v>
      </c>
      <c r="E563" s="13"/>
      <c r="F563" s="30"/>
      <c r="G563" s="29"/>
      <c r="H563" s="31"/>
      <c r="I563" s="29">
        <f>IFERROR(IF(T_PROD[[#This Row],[PREVISTO]]-T_PROD[[#This Row],[EFETIVO]]&lt; 0,0,T_PROD[[#This Row],[PREVISTO]]-T_PROD[[#This Row],[EFETIVO]] ),"")</f>
        <v>0</v>
      </c>
      <c r="J563" s="15" t="str">
        <f>IFERROR(IF(T_PROD[[#This Row],[META]]&gt;0,(T_PROD[[#This Row],[META]]/T_PROD[[#This Row],[PREVISTO]]),""),"")</f>
        <v/>
      </c>
      <c r="K563" s="15" t="str">
        <f>IFERROR(IF(T_PROD[[#This Row],[PRODUÇÃO]]&gt;0,(T_PROD[[#This Row],[PRODUÇÃO]]/T_PROD[[#This Row],[EFETIVO]]),""),"")</f>
        <v/>
      </c>
    </row>
    <row r="564" spans="1:11" s="6" customFormat="1" x14ac:dyDescent="0.3">
      <c r="A564" s="28">
        <v>46118</v>
      </c>
      <c r="B564" s="29" t="str">
        <f t="shared" si="61"/>
        <v>ABRIL</v>
      </c>
      <c r="C564" s="12" t="s">
        <v>19</v>
      </c>
      <c r="D564" s="12" t="s">
        <v>12</v>
      </c>
      <c r="E564" s="13"/>
      <c r="F564" s="30"/>
      <c r="G564" s="29"/>
      <c r="H564" s="31"/>
      <c r="I564" s="29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28">
        <v>46118</v>
      </c>
      <c r="B565" s="29" t="str">
        <f t="shared" si="61"/>
        <v>ABRIL</v>
      </c>
      <c r="C565" s="12" t="s">
        <v>20</v>
      </c>
      <c r="D565" s="12" t="s">
        <v>12</v>
      </c>
      <c r="E565" s="13"/>
      <c r="F565" s="30"/>
      <c r="G565" s="29"/>
      <c r="H565" s="31"/>
      <c r="I565" s="29">
        <f>IFERROR(IF(T_PROD[[#This Row],[PREVISTO]]-T_PROD[[#This Row],[EFETIVO]]&lt; 0,0,T_PROD[[#This Row],[PREVISTO]]-T_PROD[[#This Row],[EFETIVO]] ),"")</f>
        <v>0</v>
      </c>
      <c r="J565" s="15" t="str">
        <f>IFERROR(IF(T_PROD[[#This Row],[META]]&gt;0,(T_PROD[[#This Row],[META]]/T_PROD[[#This Row],[PREVISTO]]),""),"")</f>
        <v/>
      </c>
      <c r="K565" s="15" t="str">
        <f>IFERROR(IF(T_PROD[[#This Row],[PRODUÇÃO]]&gt;0,(T_PROD[[#This Row],[PRODUÇÃO]]/T_PROD[[#This Row],[EFETIVO]]),""),"")</f>
        <v/>
      </c>
    </row>
    <row r="566" spans="1:11" s="6" customFormat="1" x14ac:dyDescent="0.3">
      <c r="A566" s="28">
        <v>46118</v>
      </c>
      <c r="B566" s="29" t="str">
        <f t="shared" si="61"/>
        <v>ABRIL</v>
      </c>
      <c r="C566" s="12" t="s">
        <v>11</v>
      </c>
      <c r="D566" s="12" t="s">
        <v>12</v>
      </c>
      <c r="E566" s="30">
        <v>288</v>
      </c>
      <c r="F566" s="30">
        <v>305</v>
      </c>
      <c r="G566" s="29">
        <v>16</v>
      </c>
      <c r="H566" s="31">
        <v>16</v>
      </c>
      <c r="I566" s="29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28">
        <v>46118</v>
      </c>
      <c r="B567" s="29" t="str">
        <f t="shared" si="61"/>
        <v>ABRIL</v>
      </c>
      <c r="C567" s="6" t="s">
        <v>32</v>
      </c>
      <c r="D567" s="12" t="s">
        <v>12</v>
      </c>
      <c r="E567" s="30">
        <v>130</v>
      </c>
      <c r="F567" s="30">
        <v>140</v>
      </c>
      <c r="G567" s="29">
        <v>13</v>
      </c>
      <c r="H567" s="31">
        <v>13</v>
      </c>
      <c r="I567" s="29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28">
        <v>46118</v>
      </c>
      <c r="B568" s="29" t="str">
        <f t="shared" si="61"/>
        <v>ABRIL</v>
      </c>
      <c r="C568" s="12" t="s">
        <v>14</v>
      </c>
      <c r="D568" s="12" t="s">
        <v>12</v>
      </c>
      <c r="E568" s="30">
        <v>418</v>
      </c>
      <c r="F568" s="30">
        <v>445</v>
      </c>
      <c r="G568" s="29">
        <v>67</v>
      </c>
      <c r="H568" s="31">
        <v>66</v>
      </c>
      <c r="I568" s="29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28">
        <v>46119</v>
      </c>
      <c r="B569" s="29" t="str">
        <f>UPPER(TEXT(A569,"MMMM"))</f>
        <v>ABRIL</v>
      </c>
      <c r="C569" s="12" t="s">
        <v>15</v>
      </c>
      <c r="D569" s="12" t="s">
        <v>12</v>
      </c>
      <c r="E569" s="30"/>
      <c r="F569" s="30"/>
      <c r="G569" s="29"/>
      <c r="H569" s="31"/>
      <c r="I569" s="29">
        <f>IFERROR(IF(T_PROD[[#This Row],[PREVISTO]]-T_PROD[[#This Row],[EFETIVO]]&lt; 0,0,T_PROD[[#This Row],[PREVISTO]]-T_PROD[[#This Row],[EFETIVO]] ),"")</f>
        <v>0</v>
      </c>
      <c r="J569" s="15" t="str">
        <f>IFERROR(IF(T_PROD[[#This Row],[META]]&gt;0,(T_PROD[[#This Row],[META]]/T_PROD[[#This Row],[PREVISTO]]),""),"")</f>
        <v/>
      </c>
      <c r="K569" s="15" t="str">
        <f>IFERROR(IF(T_PROD[[#This Row],[PRODUÇÃO]]&gt;0,(T_PROD[[#This Row],[PRODUÇÃO]]/T_PROD[[#This Row],[EFETIVO]]),""),"")</f>
        <v/>
      </c>
    </row>
    <row r="570" spans="1:11" s="6" customFormat="1" x14ac:dyDescent="0.3">
      <c r="A570" s="28">
        <v>46119</v>
      </c>
      <c r="B570" s="29" t="str">
        <f t="shared" ref="B570:B577" si="62">UPPER(TEXT(A570,"MMMM"))</f>
        <v>ABRIL</v>
      </c>
      <c r="C570" s="12" t="s">
        <v>16</v>
      </c>
      <c r="D570" s="12" t="s">
        <v>12</v>
      </c>
      <c r="E570" s="30"/>
      <c r="F570" s="30"/>
      <c r="G570" s="29"/>
      <c r="H570" s="31"/>
      <c r="I570" s="29">
        <f>IFERROR(IF(T_PROD[[#This Row],[PREVISTO]]-T_PROD[[#This Row],[EFETIVO]]&lt; 0,0,T_PROD[[#This Row],[PREVISTO]]-T_PROD[[#This Row],[EFETIVO]] ),"")</f>
        <v>0</v>
      </c>
      <c r="J570" s="15" t="str">
        <f>IFERROR(IF(T_PROD[[#This Row],[META]]&gt;0,(T_PROD[[#This Row],[META]]/T_PROD[[#This Row],[PREVISTO]]),""),"")</f>
        <v/>
      </c>
      <c r="K570" s="15" t="str">
        <f>IFERROR(IF(T_PROD[[#This Row],[PRODUÇÃO]]&gt;0,(T_PROD[[#This Row],[PRODUÇÃO]]/T_PROD[[#This Row],[EFETIVO]]),""),"")</f>
        <v/>
      </c>
    </row>
    <row r="571" spans="1:11" s="6" customFormat="1" x14ac:dyDescent="0.3">
      <c r="A571" s="28">
        <v>46119</v>
      </c>
      <c r="B571" s="29" t="str">
        <f t="shared" si="62"/>
        <v>ABRIL</v>
      </c>
      <c r="C571" s="12" t="s">
        <v>17</v>
      </c>
      <c r="D571" s="12" t="s">
        <v>12</v>
      </c>
      <c r="E571" s="30"/>
      <c r="F571" s="30"/>
      <c r="G571" s="29"/>
      <c r="H571" s="31"/>
      <c r="I571" s="29">
        <f>IFERROR(IF(T_PROD[[#This Row],[PREVISTO]]-T_PROD[[#This Row],[EFETIVO]]&lt; 0,0,T_PROD[[#This Row],[PREVISTO]]-T_PROD[[#This Row],[EFETIVO]] ),"")</f>
        <v>0</v>
      </c>
      <c r="J571" s="15" t="str">
        <f>IFERROR(IF(T_PROD[[#This Row],[META]]&gt;0,(T_PROD[[#This Row],[META]]/T_PROD[[#This Row],[PREVISTO]]),""),"")</f>
        <v/>
      </c>
      <c r="K571" s="15" t="str">
        <f>IFERROR(IF(T_PROD[[#This Row],[PRODUÇÃO]]&gt;0,(T_PROD[[#This Row],[PRODUÇÃO]]/T_PROD[[#This Row],[EFETIVO]]),""),"")</f>
        <v/>
      </c>
    </row>
    <row r="572" spans="1:11" s="6" customFormat="1" x14ac:dyDescent="0.3">
      <c r="A572" s="28">
        <v>46119</v>
      </c>
      <c r="B572" s="29" t="str">
        <f t="shared" si="62"/>
        <v>ABRIL</v>
      </c>
      <c r="C572" s="12" t="s">
        <v>18</v>
      </c>
      <c r="D572" s="12" t="s">
        <v>12</v>
      </c>
      <c r="E572" s="30"/>
      <c r="F572" s="30"/>
      <c r="G572" s="29"/>
      <c r="H572" s="31"/>
      <c r="I572" s="29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28">
        <v>46119</v>
      </c>
      <c r="B573" s="29" t="str">
        <f t="shared" si="62"/>
        <v>ABRIL</v>
      </c>
      <c r="C573" s="12" t="s">
        <v>19</v>
      </c>
      <c r="D573" s="12" t="s">
        <v>12</v>
      </c>
      <c r="E573" s="30"/>
      <c r="F573" s="30"/>
      <c r="G573" s="29"/>
      <c r="H573" s="31"/>
      <c r="I573" s="29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28">
        <v>46119</v>
      </c>
      <c r="B574" s="29" t="str">
        <f t="shared" si="62"/>
        <v>ABRIL</v>
      </c>
      <c r="C574" s="12" t="s">
        <v>20</v>
      </c>
      <c r="D574" s="12" t="s">
        <v>12</v>
      </c>
      <c r="E574" s="30"/>
      <c r="F574" s="30"/>
      <c r="G574" s="29"/>
      <c r="H574" s="31"/>
      <c r="I574" s="29">
        <f>IFERROR(IF(T_PROD[[#This Row],[PREVISTO]]-T_PROD[[#This Row],[EFETIVO]]&lt; 0,0,T_PROD[[#This Row],[PREVISTO]]-T_PROD[[#This Row],[EFETIVO]] ),"")</f>
        <v>0</v>
      </c>
      <c r="J574" s="15" t="str">
        <f>IFERROR(IF(T_PROD[[#This Row],[META]]&gt;0,(T_PROD[[#This Row],[META]]/T_PROD[[#This Row],[PREVISTO]]),""),"")</f>
        <v/>
      </c>
      <c r="K574" s="15" t="str">
        <f>IFERROR(IF(T_PROD[[#This Row],[PRODUÇÃO]]&gt;0,(T_PROD[[#This Row],[PRODUÇÃO]]/T_PROD[[#This Row],[EFETIVO]]),""),"")</f>
        <v/>
      </c>
    </row>
    <row r="575" spans="1:11" s="6" customFormat="1" x14ac:dyDescent="0.3">
      <c r="A575" s="28">
        <v>46119</v>
      </c>
      <c r="B575" s="29" t="str">
        <f t="shared" si="62"/>
        <v>ABRIL</v>
      </c>
      <c r="C575" s="12" t="s">
        <v>11</v>
      </c>
      <c r="D575" s="12" t="s">
        <v>12</v>
      </c>
      <c r="E575" s="30">
        <v>270</v>
      </c>
      <c r="F575" s="30">
        <v>289</v>
      </c>
      <c r="G575" s="29">
        <v>16</v>
      </c>
      <c r="H575" s="31">
        <v>16</v>
      </c>
      <c r="I575" s="29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28">
        <v>46119</v>
      </c>
      <c r="B576" s="29" t="str">
        <f t="shared" si="62"/>
        <v>ABRIL</v>
      </c>
      <c r="C576" s="6" t="s">
        <v>32</v>
      </c>
      <c r="D576" s="12" t="s">
        <v>12</v>
      </c>
      <c r="E576" s="30">
        <v>140</v>
      </c>
      <c r="F576" s="30">
        <v>150</v>
      </c>
      <c r="G576" s="29">
        <v>14</v>
      </c>
      <c r="H576" s="31">
        <v>14</v>
      </c>
      <c r="I576" s="29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28">
        <v>46119</v>
      </c>
      <c r="B577" s="29" t="str">
        <f t="shared" si="62"/>
        <v>ABRIL</v>
      </c>
      <c r="C577" s="12" t="s">
        <v>14</v>
      </c>
      <c r="D577" s="12" t="s">
        <v>12</v>
      </c>
      <c r="E577" s="30">
        <v>410</v>
      </c>
      <c r="F577" s="30">
        <v>439</v>
      </c>
      <c r="G577" s="29">
        <v>67</v>
      </c>
      <c r="H577" s="31">
        <v>65</v>
      </c>
      <c r="I577" s="29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16"/>
      <c r="B845" s="17"/>
      <c r="C845" s="17"/>
      <c r="D845" s="17"/>
      <c r="E845" s="18"/>
      <c r="F845" s="18"/>
      <c r="G845" s="17"/>
      <c r="H845" s="19"/>
      <c r="I845" s="17"/>
      <c r="J845" s="20"/>
      <c r="K845" s="20"/>
    </row>
    <row r="846" spans="1:11" s="6" customFormat="1" x14ac:dyDescent="0.3">
      <c r="A846" s="16"/>
      <c r="B846" s="17"/>
      <c r="C846" s="17"/>
      <c r="D846" s="17"/>
      <c r="E846" s="18"/>
      <c r="F846" s="18"/>
      <c r="G846" s="17"/>
      <c r="H846" s="19"/>
      <c r="I846" s="17"/>
      <c r="J846" s="20"/>
      <c r="K846" s="20"/>
    </row>
    <row r="847" spans="1:11" s="6" customFormat="1" x14ac:dyDescent="0.3">
      <c r="A847" s="16"/>
      <c r="B847" s="17"/>
      <c r="C847" s="17"/>
      <c r="D847" s="17"/>
      <c r="E847" s="18"/>
      <c r="F847" s="18"/>
      <c r="G847" s="17"/>
      <c r="H847" s="19"/>
      <c r="I847" s="17"/>
      <c r="J847" s="20"/>
      <c r="K847" s="20"/>
    </row>
    <row r="848" spans="1:11" s="6" customFormat="1" x14ac:dyDescent="0.3">
      <c r="A848" s="16"/>
      <c r="B848" s="17"/>
      <c r="C848" s="17"/>
      <c r="D848" s="17"/>
      <c r="E848" s="18"/>
      <c r="F848" s="18"/>
      <c r="G848" s="17"/>
      <c r="H848" s="19"/>
      <c r="I848" s="17"/>
      <c r="J848" s="20"/>
      <c r="K848" s="20"/>
    </row>
    <row r="849" spans="1:11" s="6" customFormat="1" x14ac:dyDescent="0.3">
      <c r="A849" s="16"/>
      <c r="B849" s="17"/>
      <c r="C849" s="17"/>
      <c r="D849" s="17"/>
      <c r="E849" s="18"/>
      <c r="F849" s="18"/>
      <c r="G849" s="17"/>
      <c r="H849" s="19"/>
      <c r="I849" s="17"/>
      <c r="J849" s="20"/>
      <c r="K849" s="20"/>
    </row>
    <row r="850" spans="1:11" s="6" customFormat="1" x14ac:dyDescent="0.3">
      <c r="A850" s="16"/>
      <c r="B850" s="17"/>
      <c r="C850" s="17"/>
      <c r="D850" s="17"/>
      <c r="E850" s="18"/>
      <c r="F850" s="18"/>
      <c r="G850" s="17"/>
      <c r="H850" s="19"/>
      <c r="I850" s="17"/>
      <c r="J850" s="20"/>
      <c r="K850" s="20"/>
    </row>
    <row r="851" spans="1:11" s="6" customFormat="1" x14ac:dyDescent="0.3">
      <c r="A851" s="16"/>
      <c r="B851" s="17"/>
      <c r="C851" s="17"/>
      <c r="D851" s="17"/>
      <c r="E851" s="18"/>
      <c r="F851" s="18"/>
      <c r="G851" s="17"/>
      <c r="H851" s="19"/>
      <c r="I851" s="17"/>
      <c r="J851" s="20"/>
      <c r="K851" s="20"/>
    </row>
    <row r="852" spans="1:11" s="6" customFormat="1" x14ac:dyDescent="0.3">
      <c r="A852" s="16"/>
      <c r="B852" s="17"/>
      <c r="C852" s="17"/>
      <c r="D852" s="17"/>
      <c r="E852" s="18"/>
      <c r="F852" s="18"/>
      <c r="G852" s="17"/>
      <c r="H852" s="19"/>
      <c r="I852" s="17"/>
      <c r="J852" s="20"/>
      <c r="K852" s="20"/>
    </row>
    <row r="853" spans="1:11" s="6" customFormat="1" x14ac:dyDescent="0.3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 x14ac:dyDescent="0.3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 x14ac:dyDescent="0.3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 x14ac:dyDescent="0.3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 x14ac:dyDescent="0.3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 x14ac:dyDescent="0.3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 x14ac:dyDescent="0.3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 x14ac:dyDescent="0.3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14" sqref="F14"/>
    </sheetView>
  </sheetViews>
  <sheetFormatPr defaultRowHeight="14.4" x14ac:dyDescent="0.3"/>
  <cols>
    <col min="1" max="1" width="21.5546875" bestFit="1" customWidth="1"/>
  </cols>
  <sheetData>
    <row r="1" spans="1:5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31</v>
      </c>
    </row>
    <row r="2" spans="1:5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f>SUM(B2:D2)</f>
        <v>3914</v>
      </c>
    </row>
    <row r="3" spans="1:5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 t="shared" ref="E3:E7" si="0">SUM(B3:D3)</f>
        <v>22629</v>
      </c>
    </row>
    <row r="4" spans="1:5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 t="shared" si="0"/>
        <v>1679</v>
      </c>
    </row>
    <row r="5" spans="1:5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 t="shared" si="0"/>
        <v>9237</v>
      </c>
    </row>
    <row r="6" spans="1:5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 t="shared" si="0"/>
        <v>2520</v>
      </c>
    </row>
    <row r="7" spans="1:5" x14ac:dyDescent="0.3">
      <c r="A7" s="23" t="s">
        <v>17</v>
      </c>
      <c r="B7" s="24">
        <v>661</v>
      </c>
      <c r="C7" s="24">
        <v>993</v>
      </c>
      <c r="D7" s="24">
        <v>442</v>
      </c>
      <c r="E7" s="24">
        <f t="shared" si="0"/>
        <v>2096</v>
      </c>
    </row>
    <row r="8" spans="1:5" x14ac:dyDescent="0.3">
      <c r="A8" s="23" t="s">
        <v>13</v>
      </c>
      <c r="B8" s="24">
        <v>1020</v>
      </c>
      <c r="C8" s="24">
        <v>85</v>
      </c>
      <c r="D8" s="24">
        <v>16</v>
      </c>
      <c r="E8" s="24">
        <f>SUM(B8:D8)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2026-04-08T12:39:24Z</dcterms:modified>
</cp:coreProperties>
</file>