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14A600C-81A6-4B88-8064-B39745511F7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LANC.!$A$1:$K$1018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11" i="1" l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G6" i="3"/>
  <c r="G5" i="3"/>
  <c r="H5" i="3" s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<sst xmlns="http://schemas.openxmlformats.org/spreadsheetml/2006/main" count="2098" uniqueCount="40">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</sst>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018" totalsRowShown="0" headerRowDxfId="13" dataDxfId="12" tableBorderDxfId="11">
  <autoFilter ref="A1:K101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12"/>
  <sheetViews>
    <sheetView showGridLines="0" tabSelected="1" zoomScale="70" zoomScaleNormal="70" zoomScaleSheetLayoutView="70" workbookViewId="0">
      <pane ySplit="1" topLeftCell="A985" activePane="bottomLeft" state="frozen"/>
      <selection pane="bottomLeft" activeCell="R1009" sqref="R100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28">
        <v>46190</v>
      </c>
      <c r="B992" s="29" t="str">
        <f>UPPER(TEXT(A992,"MMMM"))</f>
        <v>JUNHO</v>
      </c>
      <c r="C992" s="12" t="s">
        <v>15</v>
      </c>
      <c r="D992" s="12" t="s">
        <v>12</v>
      </c>
      <c r="E992" s="30">
        <v>90</v>
      </c>
      <c r="F992" s="30">
        <v>76</v>
      </c>
      <c r="G992" s="29">
        <v>6</v>
      </c>
      <c r="H992" s="31">
        <v>6</v>
      </c>
      <c r="I992" s="29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28">
        <v>46190</v>
      </c>
      <c r="B993" s="29" t="str">
        <f t="shared" ref="B993:B1000" si="109">UPPER(TEXT(A993,"MMMM"))</f>
        <v>JUNHO</v>
      </c>
      <c r="C993" s="12" t="s">
        <v>16</v>
      </c>
      <c r="D993" s="12" t="s">
        <v>12</v>
      </c>
      <c r="E993" s="30">
        <v>170</v>
      </c>
      <c r="F993" s="30">
        <v>163</v>
      </c>
      <c r="G993" s="29">
        <v>5</v>
      </c>
      <c r="H993" s="31">
        <v>5</v>
      </c>
      <c r="I993" s="29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28">
        <v>46190</v>
      </c>
      <c r="B994" s="29" t="str">
        <f t="shared" si="109"/>
        <v>JUNHO</v>
      </c>
      <c r="C994" s="12" t="s">
        <v>17</v>
      </c>
      <c r="D994" s="12" t="s">
        <v>12</v>
      </c>
      <c r="E994" s="30"/>
      <c r="F994" s="30"/>
      <c r="G994" s="29"/>
      <c r="H994" s="31"/>
      <c r="I994" s="29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28">
        <v>46190</v>
      </c>
      <c r="B995" s="29" t="str">
        <f t="shared" si="109"/>
        <v>JUNHO</v>
      </c>
      <c r="C995" s="12" t="s">
        <v>18</v>
      </c>
      <c r="D995" s="12" t="s">
        <v>12</v>
      </c>
      <c r="E995" s="30"/>
      <c r="F995" s="30"/>
      <c r="G995" s="29"/>
      <c r="H995" s="31"/>
      <c r="I995" s="29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28">
        <v>46190</v>
      </c>
      <c r="B996" s="29" t="str">
        <f t="shared" si="109"/>
        <v>JUNHO</v>
      </c>
      <c r="C996" s="12" t="s">
        <v>19</v>
      </c>
      <c r="D996" s="12" t="s">
        <v>12</v>
      </c>
      <c r="E996" s="30"/>
      <c r="F996" s="30"/>
      <c r="G996" s="29"/>
      <c r="H996" s="31"/>
      <c r="I996" s="29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28">
        <v>46190</v>
      </c>
      <c r="B997" s="29" t="str">
        <f t="shared" si="109"/>
        <v>JUNHO</v>
      </c>
      <c r="C997" s="12" t="s">
        <v>20</v>
      </c>
      <c r="D997" s="12" t="s">
        <v>12</v>
      </c>
      <c r="E997" s="30">
        <v>260</v>
      </c>
      <c r="F997" s="30">
        <v>239</v>
      </c>
      <c r="G997" s="29">
        <v>90</v>
      </c>
      <c r="H997" s="31">
        <v>90</v>
      </c>
      <c r="I997" s="29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28">
        <v>46190</v>
      </c>
      <c r="B998" s="29" t="str">
        <f t="shared" si="109"/>
        <v>JUNHO</v>
      </c>
      <c r="C998" s="12" t="s">
        <v>11</v>
      </c>
      <c r="D998" s="12" t="s">
        <v>12</v>
      </c>
      <c r="E998" s="30">
        <v>640</v>
      </c>
      <c r="F998" s="30">
        <v>650</v>
      </c>
      <c r="G998" s="29">
        <v>32</v>
      </c>
      <c r="H998" s="31">
        <v>32</v>
      </c>
      <c r="I998" s="29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28">
        <v>46190</v>
      </c>
      <c r="B999" s="29" t="str">
        <f t="shared" si="109"/>
        <v>JUNHO</v>
      </c>
      <c r="C999" s="12" t="s">
        <v>32</v>
      </c>
      <c r="D999" s="12" t="s">
        <v>12</v>
      </c>
      <c r="E999" s="30">
        <v>121</v>
      </c>
      <c r="F999" s="30">
        <v>126</v>
      </c>
      <c r="G999" s="29">
        <v>11</v>
      </c>
      <c r="H999" s="31">
        <v>11</v>
      </c>
      <c r="I999" s="29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28">
        <v>46190</v>
      </c>
      <c r="B1000" s="29" t="str">
        <f t="shared" si="109"/>
        <v>JUNHO</v>
      </c>
      <c r="C1000" s="12" t="s">
        <v>14</v>
      </c>
      <c r="D1000" s="12" t="s">
        <v>12</v>
      </c>
      <c r="E1000" s="30">
        <v>761</v>
      </c>
      <c r="F1000" s="30">
        <v>776</v>
      </c>
      <c r="G1000" s="29">
        <v>95</v>
      </c>
      <c r="H1000" s="31">
        <v>90</v>
      </c>
      <c r="I1000" s="29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28">
        <v>46191</v>
      </c>
      <c r="B1001" s="29" t="str">
        <f>UPPER(TEXT(A1001,"MMMM"))</f>
        <v>JUNHO</v>
      </c>
      <c r="C1001" s="12" t="s">
        <v>15</v>
      </c>
      <c r="D1001" s="12" t="s">
        <v>12</v>
      </c>
      <c r="E1001" s="30">
        <v>120</v>
      </c>
      <c r="F1001" s="30">
        <v>43</v>
      </c>
      <c r="G1001" s="29">
        <v>8</v>
      </c>
      <c r="H1001" s="31">
        <v>8</v>
      </c>
      <c r="I1001" s="29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28">
        <v>46191</v>
      </c>
      <c r="B1002" s="29" t="str">
        <f t="shared" ref="B1002:B1009" si="110">UPPER(TEXT(A1002,"MMMM"))</f>
        <v>JUNHO</v>
      </c>
      <c r="C1002" s="12" t="s">
        <v>16</v>
      </c>
      <c r="D1002" s="12" t="s">
        <v>12</v>
      </c>
      <c r="E1002" s="30">
        <v>170</v>
      </c>
      <c r="F1002" s="30">
        <v>112</v>
      </c>
      <c r="G1002" s="29">
        <v>5</v>
      </c>
      <c r="H1002" s="31">
        <v>5</v>
      </c>
      <c r="I1002" s="29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28">
        <v>46191</v>
      </c>
      <c r="B1003" s="29" t="str">
        <f t="shared" si="110"/>
        <v>JUNHO</v>
      </c>
      <c r="C1003" s="12" t="s">
        <v>17</v>
      </c>
      <c r="D1003" s="12" t="s">
        <v>12</v>
      </c>
      <c r="E1003" s="30"/>
      <c r="F1003" s="30"/>
      <c r="G1003" s="29"/>
      <c r="H1003" s="31"/>
      <c r="I1003" s="29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28">
        <v>46191</v>
      </c>
      <c r="B1004" s="29" t="str">
        <f t="shared" si="110"/>
        <v>JUNHO</v>
      </c>
      <c r="C1004" s="12" t="s">
        <v>18</v>
      </c>
      <c r="D1004" s="12" t="s">
        <v>12</v>
      </c>
      <c r="E1004" s="30"/>
      <c r="F1004" s="30"/>
      <c r="G1004" s="29"/>
      <c r="H1004" s="31"/>
      <c r="I1004" s="29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28">
        <v>46191</v>
      </c>
      <c r="B1005" s="29" t="str">
        <f t="shared" si="110"/>
        <v>JUNHO</v>
      </c>
      <c r="C1005" s="12" t="s">
        <v>19</v>
      </c>
      <c r="D1005" s="12" t="s">
        <v>12</v>
      </c>
      <c r="E1005" s="30"/>
      <c r="F1005" s="30"/>
      <c r="G1005" s="29"/>
      <c r="H1005" s="31"/>
      <c r="I1005" s="29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28">
        <v>46191</v>
      </c>
      <c r="B1006" s="29" t="str">
        <f t="shared" si="110"/>
        <v>JUNHO</v>
      </c>
      <c r="C1006" s="12" t="s">
        <v>20</v>
      </c>
      <c r="D1006" s="12" t="s">
        <v>12</v>
      </c>
      <c r="E1006" s="30">
        <v>290</v>
      </c>
      <c r="F1006" s="30">
        <v>155</v>
      </c>
      <c r="G1006" s="29">
        <v>90</v>
      </c>
      <c r="H1006" s="31">
        <v>90</v>
      </c>
      <c r="I1006" s="29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28">
        <v>46191</v>
      </c>
      <c r="B1007" s="29" t="str">
        <f t="shared" si="110"/>
        <v>JUNHO</v>
      </c>
      <c r="C1007" s="12" t="s">
        <v>11</v>
      </c>
      <c r="D1007" s="12" t="s">
        <v>12</v>
      </c>
      <c r="E1007" s="30">
        <v>800</v>
      </c>
      <c r="F1007" s="30">
        <v>570</v>
      </c>
      <c r="G1007" s="29">
        <v>40</v>
      </c>
      <c r="H1007" s="31">
        <v>40</v>
      </c>
      <c r="I1007" s="29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28">
        <v>46191</v>
      </c>
      <c r="B1008" s="29" t="str">
        <f t="shared" si="110"/>
        <v>JUNHO</v>
      </c>
      <c r="C1008" s="12" t="s">
        <v>32</v>
      </c>
      <c r="D1008" s="12" t="s">
        <v>12</v>
      </c>
      <c r="E1008" s="30">
        <v>22</v>
      </c>
      <c r="F1008" s="30">
        <v>33</v>
      </c>
      <c r="G1008" s="29">
        <v>2</v>
      </c>
      <c r="H1008" s="31">
        <v>2</v>
      </c>
      <c r="I1008" s="29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28">
        <v>46191</v>
      </c>
      <c r="B1009" s="29" t="str">
        <f t="shared" si="110"/>
        <v>JUNHO</v>
      </c>
      <c r="C1009" s="12" t="s">
        <v>14</v>
      </c>
      <c r="D1009" s="12" t="s">
        <v>12</v>
      </c>
      <c r="E1009" s="30">
        <v>822</v>
      </c>
      <c r="F1009" s="30">
        <v>603</v>
      </c>
      <c r="G1009" s="29">
        <v>95</v>
      </c>
      <c r="H1009" s="31">
        <v>91</v>
      </c>
      <c r="I1009" s="29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28">
        <v>46192</v>
      </c>
      <c r="B1010" s="29" t="str">
        <f>UPPER(TEXT(A1010,"MMMM"))</f>
        <v>JUNHO</v>
      </c>
      <c r="C1010" s="12" t="s">
        <v>15</v>
      </c>
      <c r="D1010" s="12" t="s">
        <v>12</v>
      </c>
      <c r="E1010" s="30"/>
      <c r="F1010" s="30"/>
      <c r="G1010" s="29"/>
      <c r="H1010" s="31"/>
      <c r="I1010" s="29">
        <f>IFERROR(IF(T_PROD[[#This Row],[PREVISTO]]-T_PROD[[#This Row],[EFETIVO]]&lt; 0,0,T_PROD[[#This Row],[PREVISTO]]-T_PROD[[#This Row],[EFETIVO]] ),"")</f>
        <v>0</v>
      </c>
      <c r="J1010" s="15" t="str">
        <f>IFERROR(IF(T_PROD[[#This Row],[META]]&gt;0,(T_PROD[[#This Row],[META]]/T_PROD[[#This Row],[PREVISTO]]),""),"")</f>
        <v/>
      </c>
      <c r="K1010" s="15" t="str">
        <f>IFERROR(IF(T_PROD[[#This Row],[PRODUÇÃO]]&gt;0,(T_PROD[[#This Row],[PRODUÇÃO]]/T_PROD[[#This Row],[EFETIVO]]),""),"")</f>
        <v/>
      </c>
    </row>
    <row r="1011" spans="1:11" x14ac:dyDescent="0.3">
      <c r="A1011" s="28">
        <v>46192</v>
      </c>
      <c r="B1011" s="29" t="str">
        <f t="shared" ref="B1011:B1018" si="111">UPPER(TEXT(A1011,"MMMM"))</f>
        <v>JUNHO</v>
      </c>
      <c r="C1011" s="12" t="s">
        <v>16</v>
      </c>
      <c r="D1011" s="12" t="s">
        <v>12</v>
      </c>
      <c r="E1011" s="30"/>
      <c r="F1011" s="30"/>
      <c r="G1011" s="29"/>
      <c r="H1011" s="31"/>
      <c r="I1011" s="29">
        <f>IFERROR(IF(T_PROD[[#This Row],[PREVISTO]]-T_PROD[[#This Row],[EFETIVO]]&lt; 0,0,T_PROD[[#This Row],[PREVISTO]]-T_PROD[[#This Row],[EFETIVO]] ),"")</f>
        <v>0</v>
      </c>
      <c r="J1011" s="15" t="str">
        <f>IFERROR(IF(T_PROD[[#This Row],[META]]&gt;0,(T_PROD[[#This Row],[META]]/T_PROD[[#This Row],[PREVISTO]]),""),"")</f>
        <v/>
      </c>
      <c r="K1011" s="15" t="str">
        <f>IFERROR(IF(T_PROD[[#This Row],[PRODUÇÃO]]&gt;0,(T_PROD[[#This Row],[PRODUÇÃO]]/T_PROD[[#This Row],[EFETIVO]]),""),"")</f>
        <v/>
      </c>
    </row>
    <row r="1012" spans="1:11" x14ac:dyDescent="0.3">
      <c r="A1012" s="28">
        <v>46192</v>
      </c>
      <c r="B1012" s="29" t="str">
        <f t="shared" si="111"/>
        <v>JUNHO</v>
      </c>
      <c r="C1012" s="12" t="s">
        <v>17</v>
      </c>
      <c r="D1012" s="12" t="s">
        <v>12</v>
      </c>
      <c r="E1012" s="30"/>
      <c r="F1012" s="30"/>
      <c r="G1012" s="29"/>
      <c r="H1012" s="31"/>
      <c r="I1012" s="29">
        <f>IFERROR(IF(T_PROD[[#This Row],[PREVISTO]]-T_PROD[[#This Row],[EFETIVO]]&lt; 0,0,T_PROD[[#This Row],[PREVISTO]]-T_PROD[[#This Row],[EFETIVO]] ),"")</f>
        <v>0</v>
      </c>
      <c r="J1012" s="15" t="str">
        <f>IFERROR(IF(T_PROD[[#This Row],[META]]&gt;0,(T_PROD[[#This Row],[META]]/T_PROD[[#This Row],[PREVISTO]]),""),"")</f>
        <v/>
      </c>
      <c r="K1012" s="15" t="str">
        <f>IFERROR(IF(T_PROD[[#This Row],[PRODUÇÃO]]&gt;0,(T_PROD[[#This Row],[PRODUÇÃO]]/T_PROD[[#This Row],[EFETIVO]]),""),"")</f>
        <v/>
      </c>
    </row>
    <row r="1013" spans="1:11" x14ac:dyDescent="0.3">
      <c r="A1013" s="28">
        <v>46192</v>
      </c>
      <c r="B1013" s="29" t="str">
        <f t="shared" si="111"/>
        <v>JUNHO</v>
      </c>
      <c r="C1013" s="12" t="s">
        <v>18</v>
      </c>
      <c r="D1013" s="12" t="s">
        <v>12</v>
      </c>
      <c r="E1013" s="30"/>
      <c r="F1013" s="30"/>
      <c r="G1013" s="29"/>
      <c r="H1013" s="31"/>
      <c r="I1013" s="29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28">
        <v>46192</v>
      </c>
      <c r="B1014" s="29" t="str">
        <f t="shared" si="111"/>
        <v>JUNHO</v>
      </c>
      <c r="C1014" s="12" t="s">
        <v>19</v>
      </c>
      <c r="D1014" s="12" t="s">
        <v>12</v>
      </c>
      <c r="E1014" s="30"/>
      <c r="F1014" s="30"/>
      <c r="G1014" s="29"/>
      <c r="H1014" s="31"/>
      <c r="I1014" s="29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28">
        <v>46192</v>
      </c>
      <c r="B1015" s="29" t="str">
        <f t="shared" si="111"/>
        <v>JUNHO</v>
      </c>
      <c r="C1015" s="12" t="s">
        <v>20</v>
      </c>
      <c r="D1015" s="12" t="s">
        <v>12</v>
      </c>
      <c r="E1015" s="30"/>
      <c r="F1015" s="30"/>
      <c r="G1015" s="29"/>
      <c r="H1015" s="31"/>
      <c r="I1015" s="29">
        <f>IFERROR(IF(T_PROD[[#This Row],[PREVISTO]]-T_PROD[[#This Row],[EFETIVO]]&lt; 0,0,T_PROD[[#This Row],[PREVISTO]]-T_PROD[[#This Row],[EFETIVO]] ),"")</f>
        <v>0</v>
      </c>
      <c r="J1015" s="15" t="str">
        <f>IFERROR(IF(T_PROD[[#This Row],[META]]&gt;0,(T_PROD[[#This Row],[META]]/T_PROD[[#This Row],[PREVISTO]]),""),"")</f>
        <v/>
      </c>
      <c r="K1015" s="15" t="str">
        <f>IFERROR(IF(T_PROD[[#This Row],[PRODUÇÃO]]&gt;0,(T_PROD[[#This Row],[PRODUÇÃO]]/T_PROD[[#This Row],[EFETIVO]]),""),"")</f>
        <v/>
      </c>
    </row>
    <row r="1016" spans="1:11" x14ac:dyDescent="0.3">
      <c r="A1016" s="28">
        <v>46192</v>
      </c>
      <c r="B1016" s="29" t="str">
        <f t="shared" si="111"/>
        <v>JUNHO</v>
      </c>
      <c r="C1016" s="12" t="s">
        <v>11</v>
      </c>
      <c r="D1016" s="12" t="s">
        <v>12</v>
      </c>
      <c r="E1016" s="30">
        <v>500</v>
      </c>
      <c r="F1016" s="30">
        <v>500</v>
      </c>
      <c r="G1016" s="29">
        <v>25</v>
      </c>
      <c r="H1016" s="31">
        <v>25</v>
      </c>
      <c r="I1016" s="29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28">
        <v>46192</v>
      </c>
      <c r="B1017" s="29" t="str">
        <f t="shared" si="111"/>
        <v>JUNHO</v>
      </c>
      <c r="C1017" s="12" t="s">
        <v>32</v>
      </c>
      <c r="D1017" s="12" t="s">
        <v>12</v>
      </c>
      <c r="E1017" s="30">
        <v>33</v>
      </c>
      <c r="F1017" s="30">
        <v>33</v>
      </c>
      <c r="G1017" s="29">
        <v>3</v>
      </c>
      <c r="H1017" s="31">
        <v>3</v>
      </c>
      <c r="I1017" s="29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28">
        <v>46192</v>
      </c>
      <c r="B1018" s="29" t="str">
        <f t="shared" si="111"/>
        <v>JUNHO</v>
      </c>
      <c r="C1018" s="12" t="s">
        <v>14</v>
      </c>
      <c r="D1018" s="12" t="s">
        <v>12</v>
      </c>
      <c r="E1018" s="30">
        <v>533</v>
      </c>
      <c r="F1018" s="30">
        <v>533</v>
      </c>
      <c r="G1018" s="29">
        <v>70</v>
      </c>
      <c r="H1018" s="31">
        <v>70</v>
      </c>
      <c r="I1018" s="29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D17" sqref="D17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363</v>
      </c>
      <c r="H2" s="24">
        <f>SUM(B2:G2)</f>
        <v>7245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3658</v>
      </c>
      <c r="H3" s="24">
        <f t="shared" ref="H3:H8" si="0">SUM(B3:G3)</f>
        <v>48974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39</v>
      </c>
      <c r="H4" s="24">
        <f t="shared" si="0"/>
        <v>1834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610+824+148+98+34</f>
        <v>1714</v>
      </c>
      <c r="H5" s="24">
        <f t="shared" si="0"/>
        <v>16860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224+110+112+67</f>
        <v>513</v>
      </c>
      <c r="H6" s="24">
        <f t="shared" si="0"/>
        <v>4734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191</v>
      </c>
      <c r="H7" s="24">
        <f t="shared" si="0"/>
        <v>6066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18</v>
      </c>
      <c r="H8" s="24">
        <f t="shared" si="0"/>
        <v>1688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2026-06-22T15:08:19Z</dcterms:modified>
</cp:coreProperties>
</file>