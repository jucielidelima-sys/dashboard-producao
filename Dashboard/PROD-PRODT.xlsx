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3E3D8D06-85E8-4AC7-A057-2AC00D24E27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LANC.!$A$1:$K$379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3" l="1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7" i="1"/>
  <c r="J378" i="1"/>
  <c r="J379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J370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<sst xmlns="http://schemas.openxmlformats.org/spreadsheetml/2006/main" count="814" uniqueCount="34">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</sst>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79" totalsRowShown="0" headerRowDxfId="13" dataDxfId="12" tableBorderDxfId="11">
  <autoFilter ref="A1:K37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49" activePane="bottomLeft" state="frozen"/>
      <selection pane="bottomLeft" activeCell="H377" sqref="H377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26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34</v>
      </c>
      <c r="G367" s="12">
        <v>92</v>
      </c>
      <c r="H367" s="14">
        <v>0</v>
      </c>
      <c r="I367" s="12">
        <f>IFERROR(IF(T_PROD[[#This Row],[PREVISTO]]-T_PROD[[#This Row],[EFETIVO]]&lt; 0,0,T_PROD[[#This Row],[PREVISTO]]-T_PROD[[#This Row],[EFETIVO]] ),"")</f>
        <v>92</v>
      </c>
      <c r="J367" s="15">
        <f>IFERROR(IF(T_PROD[[#This Row],[META]]&gt;0,(T_PROD[[#This Row],[META]]/T_PROD[[#This Row],[PREVISTO]]),""),"")</f>
        <v>5.2826086956521738</v>
      </c>
      <c r="K367" s="15" t="str">
        <f>IFERROR(IF(T_PROD[[#This Row],[PRODUÇÃO]]&gt;0,(T_PROD[[#This Row],[PRODUÇÃO]]/T_PROD[[#This Row],[EFETIVO]]),""),"")</f>
        <v/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f>IFERROR(IF(T_PROD[[#This Row],[META]]&gt;0,(T_PROD[[#This Row],[META]]/T_PROD[[#This Row],[PREVISTO]]),""),"")</f>
        <v>1.1764705882352942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33">
        <v>46084</v>
      </c>
      <c r="B371" s="34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35">
        <v>54</v>
      </c>
      <c r="G371" s="12">
        <v>4</v>
      </c>
      <c r="H371" s="36">
        <v>5</v>
      </c>
      <c r="I371" s="34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10.8</v>
      </c>
    </row>
    <row r="372" spans="1:11" s="6" customFormat="1" x14ac:dyDescent="0.3">
      <c r="A372" s="33">
        <v>46084</v>
      </c>
      <c r="B372" s="34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35">
        <v>8</v>
      </c>
      <c r="G372" s="12">
        <v>6</v>
      </c>
      <c r="H372" s="36">
        <v>4</v>
      </c>
      <c r="I372" s="34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33">
        <v>46084</v>
      </c>
      <c r="B373" s="34" t="str">
        <f t="shared" si="40"/>
        <v>MARÇO</v>
      </c>
      <c r="C373" s="12" t="s">
        <v>17</v>
      </c>
      <c r="D373" s="12" t="s">
        <v>12</v>
      </c>
      <c r="E373" s="13">
        <v>128</v>
      </c>
      <c r="F373" s="35">
        <v>0</v>
      </c>
      <c r="G373" s="12">
        <v>8</v>
      </c>
      <c r="H373" s="36">
        <v>0</v>
      </c>
      <c r="I373" s="34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33">
        <v>46084</v>
      </c>
      <c r="B374" s="34" t="str">
        <f t="shared" si="40"/>
        <v>MARÇO</v>
      </c>
      <c r="C374" s="12" t="s">
        <v>18</v>
      </c>
      <c r="D374" s="12" t="s">
        <v>12</v>
      </c>
      <c r="E374" s="13">
        <v>100</v>
      </c>
      <c r="F374" s="35">
        <v>0</v>
      </c>
      <c r="G374" s="12">
        <v>4</v>
      </c>
      <c r="H374" s="36">
        <v>0</v>
      </c>
      <c r="I374" s="34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33">
        <v>46084</v>
      </c>
      <c r="B375" s="34" t="str">
        <f t="shared" si="40"/>
        <v>MARÇO</v>
      </c>
      <c r="C375" s="12" t="s">
        <v>19</v>
      </c>
      <c r="D375" s="12" t="s">
        <v>12</v>
      </c>
      <c r="E375" s="13">
        <v>100</v>
      </c>
      <c r="F375" s="35">
        <v>0</v>
      </c>
      <c r="G375" s="12">
        <v>11</v>
      </c>
      <c r="H375" s="36">
        <v>0</v>
      </c>
      <c r="I375" s="34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33">
        <v>46084</v>
      </c>
      <c r="B376" s="34" t="str">
        <f t="shared" si="40"/>
        <v>MARÇO</v>
      </c>
      <c r="C376" s="12" t="s">
        <v>20</v>
      </c>
      <c r="D376" s="12" t="s">
        <v>12</v>
      </c>
      <c r="E376" s="13">
        <v>486</v>
      </c>
      <c r="F376" s="35">
        <v>62</v>
      </c>
      <c r="G376" s="12">
        <v>92</v>
      </c>
      <c r="H376" s="36">
        <v>89</v>
      </c>
      <c r="I376" s="34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0.6966292134831461</v>
      </c>
    </row>
    <row r="377" spans="1:11" s="6" customFormat="1" x14ac:dyDescent="0.3">
      <c r="A377" s="33">
        <v>46084</v>
      </c>
      <c r="B377" s="34" t="str">
        <f t="shared" si="40"/>
        <v>MARÇO</v>
      </c>
      <c r="C377" s="12" t="s">
        <v>11</v>
      </c>
      <c r="D377" s="12" t="s">
        <v>12</v>
      </c>
      <c r="E377" s="13">
        <v>600</v>
      </c>
      <c r="F377" s="35">
        <v>640</v>
      </c>
      <c r="G377" s="12">
        <v>0</v>
      </c>
      <c r="H377" s="36">
        <v>33</v>
      </c>
      <c r="I377" s="34">
        <f>IFERROR(IF(T_PROD[[#This Row],[PREVISTO]]-T_PROD[[#This Row],[EFETIVO]]&lt; 0,0,T_PROD[[#This Row],[PREVISTO]]-T_PROD[[#This Row],[EFETIVO]] ),"")</f>
        <v>0</v>
      </c>
      <c r="J377" s="15" t="str">
        <f>IFERROR(IF(T_PROD[[#This Row],[META]]&gt;0,(T_PROD[[#This Row],[META]]/T_PROD[[#This Row],[PREVISTO]]),""),"")</f>
        <v/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33">
        <v>46084</v>
      </c>
      <c r="B378" s="34" t="str">
        <f t="shared" si="40"/>
        <v>MARÇO</v>
      </c>
      <c r="C378" s="6" t="s">
        <v>32</v>
      </c>
      <c r="D378" s="12" t="s">
        <v>12</v>
      </c>
      <c r="E378" s="13">
        <v>0</v>
      </c>
      <c r="F378" s="35">
        <v>0</v>
      </c>
      <c r="G378" s="12">
        <v>10</v>
      </c>
      <c r="H378" s="36">
        <v>0</v>
      </c>
      <c r="I378" s="34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33">
        <v>46084</v>
      </c>
      <c r="B379" s="34" t="str">
        <f t="shared" si="40"/>
        <v>MARÇO</v>
      </c>
      <c r="C379" s="12" t="s">
        <v>14</v>
      </c>
      <c r="D379" s="12" t="s">
        <v>12</v>
      </c>
      <c r="E379" s="13">
        <v>600</v>
      </c>
      <c r="F379" s="35">
        <v>640</v>
      </c>
      <c r="G379" s="12">
        <v>84</v>
      </c>
      <c r="H379" s="36">
        <v>76</v>
      </c>
      <c r="I379" s="34">
        <f>IFERROR(IF(T_PROD[[#This Row],[PREVISTO]]-T_PROD[[#This Row],[EFETIVO]]&lt; 0,0,T_PROD[[#This Row],[PREVISTO]]-T_PROD[[#This Row],[EFETIVO]] ),"")</f>
        <v>8</v>
      </c>
      <c r="J379" s="15">
        <f>IFERROR(IF(T_PROD[[#This Row],[META]]&gt;0,(T_PROD[[#This Row],[META]]/T_PROD[[#This Row],[PREVISTO]]),""),"")</f>
        <v>7.1428571428571432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6"/>
      <c r="B380" s="17"/>
      <c r="C380" s="17"/>
      <c r="D380" s="17"/>
      <c r="E380" s="18"/>
      <c r="F380" s="18"/>
      <c r="G380" s="17"/>
      <c r="H380" s="19"/>
      <c r="I380" s="17"/>
      <c r="J380" s="20"/>
      <c r="K380" s="20"/>
    </row>
    <row r="381" spans="1:11" s="6" customFormat="1" x14ac:dyDescent="0.3">
      <c r="A381" s="16"/>
      <c r="B381" s="17"/>
      <c r="C381" s="17"/>
      <c r="D381" s="17"/>
      <c r="E381" s="18"/>
      <c r="F381" s="18"/>
      <c r="G381" s="17"/>
      <c r="H381" s="19"/>
      <c r="I381" s="17"/>
      <c r="J381" s="20"/>
      <c r="K381" s="20"/>
    </row>
    <row r="382" spans="1:11" s="6" customFormat="1" x14ac:dyDescent="0.3">
      <c r="A382" s="16"/>
      <c r="B382" s="17"/>
      <c r="C382" s="17"/>
      <c r="D382" s="17"/>
      <c r="E382" s="18"/>
      <c r="F382" s="18"/>
      <c r="G382" s="17"/>
      <c r="H382" s="19"/>
      <c r="I382" s="17"/>
      <c r="J382" s="20"/>
      <c r="K382" s="20"/>
    </row>
    <row r="383" spans="1:11" s="6" customFormat="1" x14ac:dyDescent="0.3">
      <c r="A383" s="16"/>
      <c r="B383" s="17"/>
      <c r="C383" s="17"/>
      <c r="D383" s="17"/>
      <c r="E383" s="18"/>
      <c r="F383" s="18"/>
      <c r="G383" s="17"/>
      <c r="H383" s="19"/>
      <c r="I383" s="17"/>
      <c r="J383" s="20"/>
      <c r="K383" s="20"/>
    </row>
    <row r="384" spans="1:11" s="6" customFormat="1" x14ac:dyDescent="0.3">
      <c r="A384" s="16"/>
      <c r="B384" s="17"/>
      <c r="C384" s="17"/>
      <c r="D384" s="17"/>
      <c r="E384" s="18"/>
      <c r="F384" s="18"/>
      <c r="G384" s="17"/>
      <c r="H384" s="19"/>
      <c r="I384" s="17"/>
      <c r="J384" s="20"/>
      <c r="K384" s="20"/>
    </row>
    <row r="385" spans="1:11" s="6" customFormat="1" x14ac:dyDescent="0.3">
      <c r="A385" s="16"/>
      <c r="B385" s="17"/>
      <c r="C385" s="17"/>
      <c r="D385" s="17"/>
      <c r="E385" s="18"/>
      <c r="F385" s="18"/>
      <c r="G385" s="17"/>
      <c r="H385" s="19"/>
      <c r="I385" s="17"/>
      <c r="J385" s="20"/>
      <c r="K385" s="20"/>
    </row>
    <row r="386" spans="1:11" s="6" customFormat="1" x14ac:dyDescent="0.3">
      <c r="A386" s="16"/>
      <c r="B386" s="17"/>
      <c r="C386" s="17"/>
      <c r="D386" s="17"/>
      <c r="E386" s="18"/>
      <c r="F386" s="18"/>
      <c r="G386" s="17"/>
      <c r="H386" s="19"/>
      <c r="I386" s="17"/>
      <c r="J386" s="20"/>
      <c r="K386" s="20"/>
    </row>
    <row r="387" spans="1:11" s="6" customFormat="1" x14ac:dyDescent="0.3">
      <c r="A387" s="16"/>
      <c r="B387" s="17"/>
      <c r="C387" s="17"/>
      <c r="D387" s="17"/>
      <c r="E387" s="18"/>
      <c r="F387" s="18"/>
      <c r="G387" s="17"/>
      <c r="H387" s="19"/>
      <c r="I387" s="17"/>
      <c r="J387" s="20"/>
      <c r="K387" s="20"/>
    </row>
    <row r="388" spans="1:11" s="6" customFormat="1" x14ac:dyDescent="0.3">
      <c r="A388" s="16"/>
      <c r="B388" s="17"/>
      <c r="C388" s="17"/>
      <c r="D388" s="17"/>
      <c r="E388" s="18"/>
      <c r="F388" s="18"/>
      <c r="G388" s="17"/>
      <c r="H388" s="19"/>
      <c r="I388" s="17"/>
      <c r="J388" s="20"/>
      <c r="K388" s="20"/>
    </row>
    <row r="389" spans="1:11" s="6" customFormat="1" x14ac:dyDescent="0.3">
      <c r="A389" s="16"/>
      <c r="B389" s="17"/>
      <c r="C389" s="17"/>
      <c r="D389" s="17"/>
      <c r="E389" s="18"/>
      <c r="F389" s="18"/>
      <c r="G389" s="17"/>
      <c r="H389" s="19"/>
      <c r="I389" s="17"/>
      <c r="J389" s="20"/>
      <c r="K389" s="20"/>
    </row>
    <row r="390" spans="1:11" s="6" customFormat="1" x14ac:dyDescent="0.3">
      <c r="A390" s="16"/>
      <c r="B390" s="17"/>
      <c r="C390" s="17"/>
      <c r="D390" s="17"/>
      <c r="E390" s="18"/>
      <c r="F390" s="18"/>
      <c r="G390" s="17"/>
      <c r="H390" s="19"/>
      <c r="I390" s="17"/>
      <c r="J390" s="20"/>
      <c r="K390" s="20"/>
    </row>
    <row r="391" spans="1:11" s="6" customFormat="1" x14ac:dyDescent="0.3">
      <c r="A391" s="16"/>
      <c r="B391" s="17"/>
      <c r="C391" s="17"/>
      <c r="D391" s="17"/>
      <c r="E391" s="18"/>
      <c r="F391" s="18"/>
      <c r="G391" s="17"/>
      <c r="H391" s="19"/>
      <c r="I391" s="17"/>
      <c r="J391" s="20"/>
      <c r="K391" s="20"/>
    </row>
    <row r="392" spans="1:11" s="6" customFormat="1" x14ac:dyDescent="0.3">
      <c r="A392" s="16"/>
      <c r="B392" s="17"/>
      <c r="C392" s="17"/>
      <c r="D392" s="17"/>
      <c r="E392" s="18"/>
      <c r="F392" s="18"/>
      <c r="G392" s="17"/>
      <c r="H392" s="19"/>
      <c r="I392" s="17"/>
      <c r="J392" s="20"/>
      <c r="K392" s="20"/>
    </row>
    <row r="393" spans="1:11" s="6" customFormat="1" x14ac:dyDescent="0.3">
      <c r="A393" s="16"/>
      <c r="B393" s="17"/>
      <c r="C393" s="17"/>
      <c r="D393" s="17"/>
      <c r="E393" s="18"/>
      <c r="F393" s="18"/>
      <c r="G393" s="17"/>
      <c r="H393" s="19"/>
      <c r="I393" s="17"/>
      <c r="J393" s="20"/>
      <c r="K393" s="20"/>
    </row>
    <row r="394" spans="1:11" s="6" customFormat="1" x14ac:dyDescent="0.3">
      <c r="A394" s="16"/>
      <c r="B394" s="17"/>
      <c r="C394" s="17"/>
      <c r="D394" s="17"/>
      <c r="E394" s="18"/>
      <c r="F394" s="18"/>
      <c r="G394" s="17"/>
      <c r="H394" s="19"/>
      <c r="I394" s="17"/>
      <c r="J394" s="20"/>
      <c r="K394" s="20"/>
    </row>
    <row r="395" spans="1:11" s="6" customFormat="1" x14ac:dyDescent="0.3">
      <c r="A395" s="16"/>
      <c r="B395" s="17"/>
      <c r="C395" s="17"/>
      <c r="D395" s="17"/>
      <c r="E395" s="18"/>
      <c r="F395" s="18"/>
      <c r="G395" s="17"/>
      <c r="H395" s="19"/>
      <c r="I395" s="17"/>
      <c r="J395" s="20"/>
      <c r="K395" s="20"/>
    </row>
    <row r="396" spans="1:11" s="6" customFormat="1" x14ac:dyDescent="0.3">
      <c r="A396" s="16"/>
      <c r="B396" s="17"/>
      <c r="C396" s="17"/>
      <c r="D396" s="17"/>
      <c r="E396" s="18"/>
      <c r="F396" s="18"/>
      <c r="G396" s="17"/>
      <c r="H396" s="19"/>
      <c r="I396" s="17"/>
      <c r="J396" s="20"/>
      <c r="K396" s="20"/>
    </row>
    <row r="397" spans="1:11" s="6" customFormat="1" x14ac:dyDescent="0.3">
      <c r="A397" s="16"/>
      <c r="B397" s="17"/>
      <c r="C397" s="17"/>
      <c r="D397" s="17"/>
      <c r="E397" s="18"/>
      <c r="F397" s="18"/>
      <c r="G397" s="17"/>
      <c r="H397" s="19"/>
      <c r="I397" s="17"/>
      <c r="J397" s="20"/>
      <c r="K397" s="20"/>
    </row>
    <row r="398" spans="1:11" s="6" customFormat="1" x14ac:dyDescent="0.3">
      <c r="A398" s="16"/>
      <c r="B398" s="17"/>
      <c r="C398" s="17"/>
      <c r="D398" s="17"/>
      <c r="E398" s="18"/>
      <c r="F398" s="18"/>
      <c r="G398" s="17"/>
      <c r="H398" s="19"/>
      <c r="I398" s="17"/>
      <c r="J398" s="20"/>
      <c r="K398" s="20"/>
    </row>
    <row r="399" spans="1:11" s="6" customFormat="1" x14ac:dyDescent="0.3">
      <c r="A399" s="16"/>
      <c r="B399" s="17"/>
      <c r="C399" s="17"/>
      <c r="D399" s="17"/>
      <c r="E399" s="18"/>
      <c r="F399" s="18"/>
      <c r="G399" s="17"/>
      <c r="H399" s="19"/>
      <c r="I399" s="17"/>
      <c r="J399" s="20"/>
      <c r="K399" s="20"/>
    </row>
    <row r="400" spans="1:11" s="6" customFormat="1" x14ac:dyDescent="0.3">
      <c r="A400" s="16"/>
      <c r="B400" s="17"/>
      <c r="C400" s="17"/>
      <c r="D400" s="17"/>
      <c r="E400" s="18"/>
      <c r="F400" s="18"/>
      <c r="G400" s="17"/>
      <c r="H400" s="19"/>
      <c r="I400" s="17"/>
      <c r="J400" s="20"/>
      <c r="K400" s="20"/>
    </row>
    <row r="401" spans="1:11" s="6" customFormat="1" x14ac:dyDescent="0.3">
      <c r="A401" s="16"/>
      <c r="B401" s="17"/>
      <c r="C401" s="17"/>
      <c r="D401" s="17"/>
      <c r="E401" s="18"/>
      <c r="F401" s="18"/>
      <c r="G401" s="17"/>
      <c r="H401" s="19"/>
      <c r="I401" s="17"/>
      <c r="J401" s="20"/>
      <c r="K401" s="20"/>
    </row>
    <row r="402" spans="1:11" s="6" customFormat="1" x14ac:dyDescent="0.3">
      <c r="A402" s="16"/>
      <c r="B402" s="17"/>
      <c r="C402" s="17"/>
      <c r="D402" s="17"/>
      <c r="E402" s="18"/>
      <c r="F402" s="18"/>
      <c r="G402" s="17"/>
      <c r="H402" s="19"/>
      <c r="I402" s="17"/>
      <c r="J402" s="20"/>
      <c r="K402" s="20"/>
    </row>
    <row r="403" spans="1:11" s="6" customFormat="1" x14ac:dyDescent="0.3">
      <c r="A403" s="16"/>
      <c r="B403" s="17"/>
      <c r="C403" s="17"/>
      <c r="D403" s="17"/>
      <c r="E403" s="18"/>
      <c r="F403" s="18"/>
      <c r="G403" s="17"/>
      <c r="H403" s="19"/>
      <c r="I403" s="17"/>
      <c r="J403" s="20"/>
      <c r="K403" s="20"/>
    </row>
    <row r="404" spans="1:11" s="6" customFormat="1" x14ac:dyDescent="0.3">
      <c r="A404" s="16"/>
      <c r="B404" s="17"/>
      <c r="C404" s="17"/>
      <c r="D404" s="17"/>
      <c r="E404" s="18"/>
      <c r="F404" s="18"/>
      <c r="G404" s="17"/>
      <c r="H404" s="19"/>
      <c r="I404" s="17"/>
      <c r="J404" s="20"/>
      <c r="K404" s="20"/>
    </row>
    <row r="405" spans="1:11" s="6" customFormat="1" x14ac:dyDescent="0.3">
      <c r="A405" s="16"/>
      <c r="B405" s="17"/>
      <c r="C405" s="17"/>
      <c r="D405" s="17"/>
      <c r="E405" s="18"/>
      <c r="F405" s="18"/>
      <c r="G405" s="17"/>
      <c r="H405" s="19"/>
      <c r="I405" s="17"/>
      <c r="J405" s="20"/>
      <c r="K405" s="20"/>
    </row>
    <row r="406" spans="1:11" s="6" customFormat="1" x14ac:dyDescent="0.3">
      <c r="A406" s="16"/>
      <c r="B406" s="17"/>
      <c r="C406" s="17"/>
      <c r="D406" s="17"/>
      <c r="E406" s="18"/>
      <c r="F406" s="18"/>
      <c r="G406" s="17"/>
      <c r="H406" s="19"/>
      <c r="I406" s="17"/>
      <c r="J406" s="20"/>
      <c r="K406" s="2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8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2026-03-04T14:04:28Z</dcterms:modified>
</cp:coreProperties>
</file>