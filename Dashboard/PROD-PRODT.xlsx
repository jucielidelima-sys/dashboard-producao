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F27958CD-B1AC-4434-9D36-E20708A58282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LANC.!$A$1:$K$865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3" l="1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G3" i="3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G4" i="3"/>
  <c r="G5" i="3"/>
  <c r="G6" i="3"/>
  <c r="G7" i="3"/>
  <c r="G8" i="3"/>
  <c r="G2" i="3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<sst xmlns="http://schemas.openxmlformats.org/spreadsheetml/2006/main" count="1791" uniqueCount="39">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</sst>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865" totalsRowShown="0" headerRowDxfId="13" dataDxfId="12" tableBorderDxfId="11">
  <autoFilter ref="A1:K865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76"/>
  <sheetViews>
    <sheetView showGridLines="0" zoomScale="70" zoomScaleNormal="70" zoomScaleSheetLayoutView="70" workbookViewId="0">
      <pane ySplit="1" topLeftCell="A831" activePane="bottomLeft" state="frozen"/>
      <selection pane="bottomLeft" activeCell="E859" sqref="E859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28">
        <v>46168</v>
      </c>
      <c r="B857" s="29" t="str">
        <f>UPPER(TEXT(A857,"MMMM"))</f>
        <v>MAIO</v>
      </c>
      <c r="C857" s="12" t="s">
        <v>15</v>
      </c>
      <c r="D857" s="12" t="s">
        <v>12</v>
      </c>
      <c r="E857" s="30"/>
      <c r="F857" s="30"/>
      <c r="G857" s="29"/>
      <c r="H857" s="31"/>
      <c r="I857" s="29">
        <f>IFERROR(IF(T_PROD[[#This Row],[PREVISTO]]-T_PROD[[#This Row],[EFETIVO]]&lt; 0,0,T_PROD[[#This Row],[PREVISTO]]-T_PROD[[#This Row],[EFETIVO]] ),"")</f>
        <v>0</v>
      </c>
      <c r="J857" s="15" t="str">
        <f>IFERROR(IF(T_PROD[[#This Row],[META]]&gt;0,(T_PROD[[#This Row],[META]]/T_PROD[[#This Row],[PREVISTO]]),""),"")</f>
        <v/>
      </c>
      <c r="K857" s="15" t="str">
        <f>IFERROR(IF(T_PROD[[#This Row],[PRODUÇÃO]]&gt;0,(T_PROD[[#This Row],[PRODUÇÃO]]/T_PROD[[#This Row],[EFETIVO]]),""),"")</f>
        <v/>
      </c>
    </row>
    <row r="858" spans="1:11" s="6" customFormat="1" x14ac:dyDescent="0.3">
      <c r="A858" s="28">
        <v>46168</v>
      </c>
      <c r="B858" s="29" t="str">
        <f t="shared" ref="B858:B865" si="94">UPPER(TEXT(A858,"MMMM"))</f>
        <v>MAIO</v>
      </c>
      <c r="C858" s="12" t="s">
        <v>16</v>
      </c>
      <c r="D858" s="12" t="s">
        <v>12</v>
      </c>
      <c r="E858" s="30"/>
      <c r="F858" s="30"/>
      <c r="G858" s="29"/>
      <c r="H858" s="31"/>
      <c r="I858" s="29">
        <f>IFERROR(IF(T_PROD[[#This Row],[PREVISTO]]-T_PROD[[#This Row],[EFETIVO]]&lt; 0,0,T_PROD[[#This Row],[PREVISTO]]-T_PROD[[#This Row],[EFETIVO]] ),"")</f>
        <v>0</v>
      </c>
      <c r="J858" s="15" t="str">
        <f>IFERROR(IF(T_PROD[[#This Row],[META]]&gt;0,(T_PROD[[#This Row],[META]]/T_PROD[[#This Row],[PREVISTO]]),""),"")</f>
        <v/>
      </c>
      <c r="K858" s="15" t="str">
        <f>IFERROR(IF(T_PROD[[#This Row],[PRODUÇÃO]]&gt;0,(T_PROD[[#This Row],[PRODUÇÃO]]/T_PROD[[#This Row],[EFETIVO]]),""),"")</f>
        <v/>
      </c>
    </row>
    <row r="859" spans="1:11" s="6" customFormat="1" x14ac:dyDescent="0.3">
      <c r="A859" s="28">
        <v>46168</v>
      </c>
      <c r="B859" s="29" t="str">
        <f t="shared" si="94"/>
        <v>MAIO</v>
      </c>
      <c r="C859" s="12" t="s">
        <v>17</v>
      </c>
      <c r="D859" s="12" t="s">
        <v>12</v>
      </c>
      <c r="E859" s="30"/>
      <c r="F859" s="30"/>
      <c r="G859" s="29"/>
      <c r="H859" s="31"/>
      <c r="I859" s="29">
        <f>IFERROR(IF(T_PROD[[#This Row],[PREVISTO]]-T_PROD[[#This Row],[EFETIVO]]&lt; 0,0,T_PROD[[#This Row],[PREVISTO]]-T_PROD[[#This Row],[EFETIVO]] ),"")</f>
        <v>0</v>
      </c>
      <c r="J859" s="15" t="str">
        <f>IFERROR(IF(T_PROD[[#This Row],[META]]&gt;0,(T_PROD[[#This Row],[META]]/T_PROD[[#This Row],[PREVISTO]]),""),"")</f>
        <v/>
      </c>
      <c r="K859" s="15" t="str">
        <f>IFERROR(IF(T_PROD[[#This Row],[PRODUÇÃO]]&gt;0,(T_PROD[[#This Row],[PRODUÇÃO]]/T_PROD[[#This Row],[EFETIVO]]),""),"")</f>
        <v/>
      </c>
    </row>
    <row r="860" spans="1:11" s="6" customFormat="1" x14ac:dyDescent="0.3">
      <c r="A860" s="28">
        <v>46168</v>
      </c>
      <c r="B860" s="29" t="str">
        <f t="shared" si="94"/>
        <v>MAIO</v>
      </c>
      <c r="C860" s="12" t="s">
        <v>18</v>
      </c>
      <c r="D860" s="12" t="s">
        <v>12</v>
      </c>
      <c r="E860" s="30"/>
      <c r="F860" s="30"/>
      <c r="G860" s="29"/>
      <c r="H860" s="31"/>
      <c r="I860" s="29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28">
        <v>46168</v>
      </c>
      <c r="B861" s="29" t="str">
        <f t="shared" si="94"/>
        <v>MAIO</v>
      </c>
      <c r="C861" s="12" t="s">
        <v>19</v>
      </c>
      <c r="D861" s="12" t="s">
        <v>12</v>
      </c>
      <c r="E861" s="30"/>
      <c r="F861" s="30"/>
      <c r="G861" s="29"/>
      <c r="H861" s="31"/>
      <c r="I861" s="29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28">
        <v>46168</v>
      </c>
      <c r="B862" s="29" t="str">
        <f t="shared" si="94"/>
        <v>MAIO</v>
      </c>
      <c r="C862" s="12" t="s">
        <v>20</v>
      </c>
      <c r="D862" s="12" t="s">
        <v>12</v>
      </c>
      <c r="E862" s="30"/>
      <c r="F862" s="30"/>
      <c r="G862" s="29"/>
      <c r="H862" s="31"/>
      <c r="I862" s="29">
        <f>IFERROR(IF(T_PROD[[#This Row],[PREVISTO]]-T_PROD[[#This Row],[EFETIVO]]&lt; 0,0,T_PROD[[#This Row],[PREVISTO]]-T_PROD[[#This Row],[EFETIVO]] ),"")</f>
        <v>0</v>
      </c>
      <c r="J862" s="15" t="str">
        <f>IFERROR(IF(T_PROD[[#This Row],[META]]&gt;0,(T_PROD[[#This Row],[META]]/T_PROD[[#This Row],[PREVISTO]]),""),"")</f>
        <v/>
      </c>
      <c r="K862" s="15" t="str">
        <f>IFERROR(IF(T_PROD[[#This Row],[PRODUÇÃO]]&gt;0,(T_PROD[[#This Row],[PRODUÇÃO]]/T_PROD[[#This Row],[EFETIVO]]),""),"")</f>
        <v/>
      </c>
    </row>
    <row r="863" spans="1:11" s="6" customFormat="1" x14ac:dyDescent="0.3">
      <c r="A863" s="28">
        <v>46168</v>
      </c>
      <c r="B863" s="29" t="str">
        <f t="shared" si="94"/>
        <v>MAIO</v>
      </c>
      <c r="C863" s="12" t="s">
        <v>11</v>
      </c>
      <c r="D863" s="12" t="s">
        <v>12</v>
      </c>
      <c r="E863" s="30">
        <v>600</v>
      </c>
      <c r="F863" s="30">
        <v>554</v>
      </c>
      <c r="G863" s="29">
        <v>30</v>
      </c>
      <c r="H863" s="31">
        <v>30</v>
      </c>
      <c r="I863" s="29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28">
        <v>46168</v>
      </c>
      <c r="B864" s="29" t="str">
        <f t="shared" si="94"/>
        <v>MAIO</v>
      </c>
      <c r="C864" s="12" t="s">
        <v>32</v>
      </c>
      <c r="D864" s="12" t="s">
        <v>12</v>
      </c>
      <c r="E864" s="30">
        <v>99</v>
      </c>
      <c r="F864" s="30">
        <v>104</v>
      </c>
      <c r="G864" s="29">
        <v>9</v>
      </c>
      <c r="H864" s="31">
        <v>9</v>
      </c>
      <c r="I864" s="29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28">
        <v>46168</v>
      </c>
      <c r="B865" s="29" t="str">
        <f t="shared" si="94"/>
        <v>MAIO</v>
      </c>
      <c r="C865" s="12" t="s">
        <v>14</v>
      </c>
      <c r="D865" s="12" t="s">
        <v>12</v>
      </c>
      <c r="E865" s="30">
        <v>699</v>
      </c>
      <c r="F865" s="30">
        <v>658</v>
      </c>
      <c r="G865" s="29">
        <v>90</v>
      </c>
      <c r="H865" s="31">
        <v>88</v>
      </c>
      <c r="I865" s="29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7"/>
      <c r="E901" s="8"/>
      <c r="F901" s="8"/>
      <c r="H901" s="9"/>
      <c r="J901" s="10"/>
      <c r="K901" s="10"/>
    </row>
    <row r="902" spans="1:11" s="6" customFormat="1" x14ac:dyDescent="0.3">
      <c r="A902" s="7"/>
      <c r="E902" s="8"/>
      <c r="F902" s="8"/>
      <c r="H902" s="9"/>
      <c r="J902" s="10"/>
      <c r="K902" s="10"/>
    </row>
    <row r="903" spans="1:11" s="6" customFormat="1" x14ac:dyDescent="0.3">
      <c r="A903" s="7"/>
      <c r="E903" s="8"/>
      <c r="F903" s="8"/>
      <c r="H903" s="9"/>
      <c r="J903" s="10"/>
      <c r="K903" s="10"/>
    </row>
    <row r="904" spans="1:11" s="6" customFormat="1" x14ac:dyDescent="0.3">
      <c r="A904" s="7"/>
      <c r="E904" s="8"/>
      <c r="F904" s="8"/>
      <c r="H904" s="9"/>
      <c r="J904" s="10"/>
      <c r="K904" s="10"/>
    </row>
    <row r="905" spans="1:11" s="6" customFormat="1" x14ac:dyDescent="0.3">
      <c r="A905" s="7"/>
      <c r="E905" s="8"/>
      <c r="F905" s="8"/>
      <c r="H905" s="9"/>
      <c r="J905" s="10"/>
      <c r="K905" s="10"/>
    </row>
    <row r="906" spans="1:11" s="6" customFormat="1" x14ac:dyDescent="0.3">
      <c r="A906" s="7"/>
      <c r="E906" s="8"/>
      <c r="F906" s="8"/>
      <c r="H906" s="9"/>
      <c r="J906" s="10"/>
      <c r="K906" s="10"/>
    </row>
    <row r="907" spans="1:11" s="6" customFormat="1" x14ac:dyDescent="0.3">
      <c r="A907" s="7"/>
      <c r="E907" s="8"/>
      <c r="F907" s="8"/>
      <c r="H907" s="9"/>
      <c r="J907" s="10"/>
      <c r="K907" s="10"/>
    </row>
    <row r="908" spans="1:11" s="6" customFormat="1" x14ac:dyDescent="0.3">
      <c r="A908" s="7"/>
      <c r="E908" s="8"/>
      <c r="F908" s="8"/>
      <c r="H908" s="9"/>
      <c r="J908" s="10"/>
      <c r="K908" s="10"/>
    </row>
    <row r="909" spans="1:11" s="6" customFormat="1" x14ac:dyDescent="0.3">
      <c r="A909" s="7"/>
      <c r="E909" s="8"/>
      <c r="F909" s="8"/>
      <c r="H909" s="9"/>
      <c r="J909" s="10"/>
      <c r="K909" s="10"/>
    </row>
    <row r="910" spans="1:11" s="6" customFormat="1" x14ac:dyDescent="0.3">
      <c r="A910" s="7"/>
      <c r="E910" s="8"/>
      <c r="F910" s="8"/>
      <c r="H910" s="9"/>
      <c r="J910" s="10"/>
      <c r="K910" s="10"/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7"/>
      <c r="E957" s="8"/>
      <c r="F957" s="8"/>
      <c r="H957" s="9"/>
      <c r="J957" s="10"/>
      <c r="K957" s="10"/>
    </row>
    <row r="958" spans="1:11" s="6" customFormat="1" x14ac:dyDescent="0.3">
      <c r="A958" s="7"/>
      <c r="E958" s="8"/>
      <c r="F958" s="8"/>
      <c r="H958" s="9"/>
      <c r="J958" s="10"/>
      <c r="K958" s="10"/>
    </row>
    <row r="959" spans="1:11" s="6" customFormat="1" x14ac:dyDescent="0.3">
      <c r="A959" s="7"/>
      <c r="E959" s="8"/>
      <c r="F959" s="8"/>
      <c r="H959" s="9"/>
      <c r="J959" s="10"/>
      <c r="K959" s="10"/>
    </row>
    <row r="960" spans="1:11" s="6" customFormat="1" x14ac:dyDescent="0.3">
      <c r="A960" s="7"/>
      <c r="E960" s="8"/>
      <c r="F960" s="8"/>
      <c r="H960" s="9"/>
      <c r="J960" s="10"/>
      <c r="K960" s="10"/>
    </row>
    <row r="961" spans="1:11" s="6" customFormat="1" x14ac:dyDescent="0.3">
      <c r="A961" s="7"/>
      <c r="E961" s="8"/>
      <c r="F961" s="8"/>
      <c r="H961" s="9"/>
      <c r="J961" s="10"/>
      <c r="K961" s="10"/>
    </row>
    <row r="962" spans="1:11" s="6" customFormat="1" x14ac:dyDescent="0.3">
      <c r="A962" s="7"/>
      <c r="E962" s="8"/>
      <c r="F962" s="8"/>
      <c r="H962" s="9"/>
      <c r="J962" s="10"/>
      <c r="K962" s="10"/>
    </row>
    <row r="963" spans="1:11" s="6" customFormat="1" x14ac:dyDescent="0.3">
      <c r="A963" s="7"/>
      <c r="E963" s="8"/>
      <c r="F963" s="8"/>
      <c r="H963" s="9"/>
      <c r="J963" s="10"/>
      <c r="K963" s="10"/>
    </row>
    <row r="964" spans="1:11" s="6" customFormat="1" x14ac:dyDescent="0.3">
      <c r="A964" s="7"/>
      <c r="E964" s="8"/>
      <c r="F964" s="8"/>
      <c r="H964" s="9"/>
      <c r="J964" s="10"/>
      <c r="K964" s="10"/>
    </row>
    <row r="965" spans="1:11" s="6" customFormat="1" x14ac:dyDescent="0.3">
      <c r="A965" s="7"/>
      <c r="E965" s="8"/>
      <c r="F965" s="8"/>
      <c r="H965" s="9"/>
      <c r="J965" s="10"/>
      <c r="K965" s="10"/>
    </row>
    <row r="966" spans="1:11" s="6" customFormat="1" x14ac:dyDescent="0.3">
      <c r="A966" s="7"/>
      <c r="E966" s="8"/>
      <c r="F966" s="8"/>
      <c r="H966" s="9"/>
      <c r="J966" s="10"/>
      <c r="K966" s="10"/>
    </row>
    <row r="967" spans="1:11" s="6" customFormat="1" x14ac:dyDescent="0.3">
      <c r="A967" s="7"/>
      <c r="E967" s="8"/>
      <c r="F967" s="8"/>
      <c r="H967" s="9"/>
      <c r="J967" s="10"/>
      <c r="K967" s="10"/>
    </row>
    <row r="968" spans="1:11" s="6" customFormat="1" x14ac:dyDescent="0.3">
      <c r="A968" s="7"/>
      <c r="E968" s="8"/>
      <c r="F968" s="8"/>
      <c r="H968" s="9"/>
      <c r="J968" s="10"/>
      <c r="K968" s="10"/>
    </row>
    <row r="969" spans="1:11" s="6" customFormat="1" x14ac:dyDescent="0.3">
      <c r="A969" s="7"/>
      <c r="E969" s="8"/>
      <c r="F969" s="8"/>
      <c r="H969" s="9"/>
      <c r="J969" s="10"/>
      <c r="K969" s="10"/>
    </row>
    <row r="970" spans="1:11" s="6" customFormat="1" x14ac:dyDescent="0.3">
      <c r="A970" s="7"/>
      <c r="E970" s="8"/>
      <c r="F970" s="8"/>
      <c r="H970" s="9"/>
      <c r="J970" s="10"/>
      <c r="K970" s="10"/>
    </row>
    <row r="971" spans="1:11" s="6" customFormat="1" x14ac:dyDescent="0.3">
      <c r="A971" s="7"/>
      <c r="E971" s="8"/>
      <c r="F971" s="8"/>
      <c r="H971" s="9"/>
      <c r="J971" s="10"/>
      <c r="K971" s="10"/>
    </row>
    <row r="972" spans="1:11" s="6" customFormat="1" x14ac:dyDescent="0.3">
      <c r="A972" s="7"/>
      <c r="E972" s="8"/>
      <c r="F972" s="8"/>
      <c r="H972" s="9"/>
      <c r="J972" s="10"/>
      <c r="K972" s="10"/>
    </row>
    <row r="973" spans="1:11" s="6" customFormat="1" x14ac:dyDescent="0.3">
      <c r="A973" s="7"/>
      <c r="E973" s="8"/>
      <c r="F973" s="8"/>
      <c r="H973" s="9"/>
      <c r="J973" s="10"/>
      <c r="K973" s="10"/>
    </row>
    <row r="974" spans="1:11" s="6" customFormat="1" x14ac:dyDescent="0.3">
      <c r="A974" s="7"/>
      <c r="E974" s="8"/>
      <c r="F974" s="8"/>
      <c r="H974" s="9"/>
      <c r="J974" s="10"/>
      <c r="K974" s="10"/>
    </row>
    <row r="975" spans="1:11" s="6" customFormat="1" x14ac:dyDescent="0.3">
      <c r="A975" s="7"/>
      <c r="E975" s="8"/>
      <c r="F975" s="8"/>
      <c r="H975" s="9"/>
      <c r="J975" s="10"/>
      <c r="K975" s="10"/>
    </row>
    <row r="976" spans="1:11" s="6" customFormat="1" x14ac:dyDescent="0.3">
      <c r="A976" s="7"/>
      <c r="E976" s="8"/>
      <c r="F976" s="8"/>
      <c r="H976" s="9"/>
      <c r="J976" s="10"/>
      <c r="K976" s="10"/>
    </row>
    <row r="977" spans="1:11" s="6" customFormat="1" x14ac:dyDescent="0.3">
      <c r="A977" s="7"/>
      <c r="E977" s="8"/>
      <c r="F977" s="8"/>
      <c r="H977" s="9"/>
      <c r="J977" s="10"/>
      <c r="K977" s="10"/>
    </row>
    <row r="978" spans="1:11" s="6" customFormat="1" x14ac:dyDescent="0.3">
      <c r="A978" s="7"/>
      <c r="E978" s="8"/>
      <c r="F978" s="8"/>
      <c r="H978" s="9"/>
      <c r="J978" s="10"/>
      <c r="K978" s="10"/>
    </row>
    <row r="979" spans="1:11" s="6" customFormat="1" x14ac:dyDescent="0.3">
      <c r="A979" s="7"/>
      <c r="E979" s="8"/>
      <c r="F979" s="8"/>
      <c r="H979" s="9"/>
      <c r="J979" s="10"/>
      <c r="K979" s="10"/>
    </row>
    <row r="980" spans="1:11" s="6" customFormat="1" x14ac:dyDescent="0.3">
      <c r="A980" s="7"/>
      <c r="E980" s="8"/>
      <c r="F980" s="8"/>
      <c r="H980" s="9"/>
      <c r="J980" s="10"/>
      <c r="K980" s="10"/>
    </row>
    <row r="981" spans="1:11" s="6" customFormat="1" x14ac:dyDescent="0.3">
      <c r="A981" s="7"/>
      <c r="E981" s="8"/>
      <c r="F981" s="8"/>
      <c r="H981" s="9"/>
      <c r="J981" s="10"/>
      <c r="K981" s="10"/>
    </row>
    <row r="982" spans="1:11" s="6" customFormat="1" x14ac:dyDescent="0.3">
      <c r="A982" s="7"/>
      <c r="E982" s="8"/>
      <c r="F982" s="8"/>
      <c r="H982" s="9"/>
      <c r="J982" s="10"/>
      <c r="K982" s="10"/>
    </row>
    <row r="983" spans="1:11" s="6" customFormat="1" x14ac:dyDescent="0.3">
      <c r="A983" s="7"/>
      <c r="E983" s="8"/>
      <c r="F983" s="8"/>
      <c r="H983" s="9"/>
      <c r="J983" s="10"/>
      <c r="K983" s="10"/>
    </row>
    <row r="984" spans="1:11" s="6" customFormat="1" x14ac:dyDescent="0.3">
      <c r="A984" s="7"/>
      <c r="E984" s="8"/>
      <c r="F984" s="8"/>
      <c r="H984" s="9"/>
      <c r="J984" s="10"/>
      <c r="K984" s="10"/>
    </row>
    <row r="985" spans="1:11" s="6" customFormat="1" x14ac:dyDescent="0.3">
      <c r="A985" s="7"/>
      <c r="E985" s="8"/>
      <c r="F985" s="8"/>
      <c r="H985" s="9"/>
      <c r="J985" s="10"/>
      <c r="K985" s="10"/>
    </row>
    <row r="986" spans="1:11" s="6" customFormat="1" x14ac:dyDescent="0.3">
      <c r="A986" s="7"/>
      <c r="E986" s="8"/>
      <c r="F986" s="8"/>
      <c r="H986" s="9"/>
      <c r="J986" s="10"/>
      <c r="K986" s="10"/>
    </row>
    <row r="987" spans="1:11" s="6" customFormat="1" x14ac:dyDescent="0.3">
      <c r="A987" s="7"/>
      <c r="E987" s="8"/>
      <c r="F987" s="8"/>
      <c r="H987" s="9"/>
      <c r="J987" s="10"/>
      <c r="K987" s="10"/>
    </row>
    <row r="988" spans="1:11" s="6" customFormat="1" x14ac:dyDescent="0.3">
      <c r="A988" s="7"/>
      <c r="E988" s="8"/>
      <c r="F988" s="8"/>
      <c r="H988" s="9"/>
      <c r="J988" s="10"/>
      <c r="K988" s="10"/>
    </row>
    <row r="989" spans="1:11" s="6" customFormat="1" x14ac:dyDescent="0.3">
      <c r="A989" s="7"/>
      <c r="E989" s="8"/>
      <c r="F989" s="8"/>
      <c r="H989" s="9"/>
      <c r="J989" s="10"/>
      <c r="K989" s="10"/>
    </row>
    <row r="990" spans="1:11" s="6" customFormat="1" x14ac:dyDescent="0.3">
      <c r="A990" s="7"/>
      <c r="E990" s="8"/>
      <c r="F990" s="8"/>
      <c r="H990" s="9"/>
      <c r="J990" s="10"/>
      <c r="K990" s="10"/>
    </row>
    <row r="991" spans="1:11" s="6" customFormat="1" x14ac:dyDescent="0.3">
      <c r="A991" s="7"/>
      <c r="E991" s="8"/>
      <c r="F991" s="8"/>
      <c r="H991" s="9"/>
      <c r="J991" s="10"/>
      <c r="K991" s="10"/>
    </row>
    <row r="992" spans="1:11" s="6" customFormat="1" x14ac:dyDescent="0.3">
      <c r="A992" s="7"/>
      <c r="E992" s="8"/>
      <c r="F992" s="8"/>
      <c r="H992" s="9"/>
      <c r="J992" s="10"/>
      <c r="K992" s="10"/>
    </row>
    <row r="993" spans="1:11" s="6" customFormat="1" x14ac:dyDescent="0.3">
      <c r="A993" s="7"/>
      <c r="E993" s="8"/>
      <c r="F993" s="8"/>
      <c r="H993" s="9"/>
      <c r="J993" s="10"/>
      <c r="K993" s="10"/>
    </row>
    <row r="994" spans="1:11" s="6" customFormat="1" x14ac:dyDescent="0.3">
      <c r="A994" s="7"/>
      <c r="E994" s="8"/>
      <c r="F994" s="8"/>
      <c r="H994" s="9"/>
      <c r="J994" s="10"/>
      <c r="K994" s="10"/>
    </row>
    <row r="995" spans="1:11" s="6" customFormat="1" x14ac:dyDescent="0.3">
      <c r="A995" s="7"/>
      <c r="E995" s="8"/>
      <c r="F995" s="8"/>
      <c r="H995" s="9"/>
      <c r="J995" s="10"/>
      <c r="K995" s="10"/>
    </row>
    <row r="996" spans="1:11" s="6" customFormat="1" x14ac:dyDescent="0.3">
      <c r="A996" s="7"/>
      <c r="E996" s="8"/>
      <c r="F996" s="8"/>
      <c r="H996" s="9"/>
      <c r="J996" s="10"/>
      <c r="K996" s="10"/>
    </row>
    <row r="997" spans="1:11" s="6" customFormat="1" x14ac:dyDescent="0.3">
      <c r="A997" s="7"/>
      <c r="E997" s="8"/>
      <c r="F997" s="8"/>
      <c r="H997" s="9"/>
      <c r="J997" s="10"/>
      <c r="K997" s="10"/>
    </row>
    <row r="998" spans="1:11" s="6" customFormat="1" x14ac:dyDescent="0.3">
      <c r="A998" s="7"/>
      <c r="E998" s="8"/>
      <c r="F998" s="8"/>
      <c r="H998" s="9"/>
      <c r="J998" s="10"/>
      <c r="K998" s="10"/>
    </row>
    <row r="999" spans="1:11" s="6" customFormat="1" x14ac:dyDescent="0.3">
      <c r="A999" s="7"/>
      <c r="E999" s="8"/>
      <c r="F999" s="8"/>
      <c r="H999" s="9"/>
      <c r="J999" s="10"/>
      <c r="K999" s="10"/>
    </row>
    <row r="1000" spans="1:11" s="6" customFormat="1" x14ac:dyDescent="0.3">
      <c r="A1000" s="7"/>
      <c r="E1000" s="8"/>
      <c r="F1000" s="8"/>
      <c r="H1000" s="9"/>
      <c r="J1000" s="10"/>
      <c r="K1000" s="10"/>
    </row>
    <row r="1001" spans="1:11" s="6" customFormat="1" x14ac:dyDescent="0.3">
      <c r="A1001" s="7"/>
      <c r="E1001" s="8"/>
      <c r="F1001" s="8"/>
      <c r="H1001" s="9"/>
      <c r="J1001" s="10"/>
      <c r="K1001" s="10"/>
    </row>
    <row r="1002" spans="1:11" s="6" customFormat="1" x14ac:dyDescent="0.3">
      <c r="A1002" s="7"/>
      <c r="E1002" s="8"/>
      <c r="F1002" s="8"/>
      <c r="H1002" s="9"/>
      <c r="J1002" s="10"/>
      <c r="K1002" s="10"/>
    </row>
    <row r="1003" spans="1:11" s="6" customFormat="1" x14ac:dyDescent="0.3">
      <c r="A1003" s="7"/>
      <c r="E1003" s="8"/>
      <c r="F1003" s="8"/>
      <c r="H1003" s="9"/>
      <c r="J1003" s="10"/>
      <c r="K1003" s="10"/>
    </row>
    <row r="1004" spans="1:11" s="6" customFormat="1" x14ac:dyDescent="0.3">
      <c r="A1004" s="7"/>
      <c r="E1004" s="8"/>
      <c r="F1004" s="8"/>
      <c r="H1004" s="9"/>
      <c r="J1004" s="10"/>
      <c r="K1004" s="10"/>
    </row>
    <row r="1005" spans="1:11" s="6" customFormat="1" x14ac:dyDescent="0.3">
      <c r="A1005" s="7"/>
      <c r="E1005" s="8"/>
      <c r="F1005" s="8"/>
      <c r="H1005" s="9"/>
      <c r="J1005" s="10"/>
      <c r="K1005" s="10"/>
    </row>
    <row r="1006" spans="1:11" s="6" customFormat="1" x14ac:dyDescent="0.3">
      <c r="A1006" s="7"/>
      <c r="E1006" s="8"/>
      <c r="F1006" s="8"/>
      <c r="H1006" s="9"/>
      <c r="J1006" s="10"/>
      <c r="K1006" s="10"/>
    </row>
    <row r="1007" spans="1:11" x14ac:dyDescent="0.3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 x14ac:dyDescent="0.3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 x14ac:dyDescent="0.3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 x14ac:dyDescent="0.3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 x14ac:dyDescent="0.3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 x14ac:dyDescent="0.3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  <row r="1013" spans="1:11" x14ac:dyDescent="0.3">
      <c r="A1013" s="7"/>
      <c r="B1013" s="6"/>
      <c r="C1013" s="6"/>
      <c r="D1013" s="6"/>
      <c r="E1013" s="8"/>
      <c r="F1013" s="8"/>
      <c r="G1013" s="6"/>
      <c r="H1013" s="9"/>
      <c r="I1013" s="6"/>
      <c r="J1013" s="10"/>
      <c r="K1013" s="10"/>
    </row>
    <row r="1014" spans="1:11" x14ac:dyDescent="0.3">
      <c r="A1014" s="7"/>
      <c r="B1014" s="6"/>
      <c r="C1014" s="6"/>
      <c r="D1014" s="6"/>
      <c r="E1014" s="8"/>
      <c r="F1014" s="8"/>
      <c r="G1014" s="6"/>
      <c r="H1014" s="9"/>
      <c r="I1014" s="6"/>
      <c r="J1014" s="10"/>
      <c r="K1014" s="10"/>
    </row>
    <row r="1015" spans="1:11" x14ac:dyDescent="0.3">
      <c r="A1015" s="7"/>
      <c r="B1015" s="6"/>
      <c r="C1015" s="6"/>
      <c r="D1015" s="6"/>
      <c r="E1015" s="8"/>
      <c r="F1015" s="8"/>
      <c r="G1015" s="6"/>
      <c r="H1015" s="9"/>
      <c r="I1015" s="6"/>
      <c r="J1015" s="10"/>
      <c r="K1015" s="10"/>
    </row>
    <row r="1016" spans="1:11" x14ac:dyDescent="0.3">
      <c r="A1016" s="7"/>
      <c r="B1016" s="6"/>
      <c r="C1016" s="6"/>
      <c r="D1016" s="6"/>
      <c r="E1016" s="8"/>
      <c r="F1016" s="8"/>
      <c r="G1016" s="6"/>
      <c r="H1016" s="9"/>
      <c r="I1016" s="6"/>
      <c r="J1016" s="10"/>
      <c r="K1016" s="10"/>
    </row>
    <row r="1017" spans="1:11" x14ac:dyDescent="0.3">
      <c r="A1017" s="7"/>
      <c r="B1017" s="6"/>
      <c r="C1017" s="6"/>
      <c r="D1017" s="6"/>
      <c r="E1017" s="8"/>
      <c r="F1017" s="8"/>
      <c r="G1017" s="6"/>
      <c r="H1017" s="9"/>
      <c r="I1017" s="6"/>
      <c r="J1017" s="10"/>
      <c r="K1017" s="10"/>
    </row>
    <row r="1018" spans="1:11" x14ac:dyDescent="0.3">
      <c r="A1018" s="7"/>
      <c r="B1018" s="6"/>
      <c r="C1018" s="6"/>
      <c r="D1018" s="6"/>
      <c r="E1018" s="8"/>
      <c r="F1018" s="8"/>
      <c r="G1018" s="6"/>
      <c r="H1018" s="9"/>
      <c r="I1018" s="6"/>
      <c r="J1018" s="10"/>
      <c r="K1018" s="10"/>
    </row>
    <row r="1019" spans="1:11" x14ac:dyDescent="0.3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 x14ac:dyDescent="0.3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  <row r="1021" spans="1:11" x14ac:dyDescent="0.3">
      <c r="A1021" s="7"/>
      <c r="B1021" s="6"/>
      <c r="C1021" s="6"/>
      <c r="D1021" s="6"/>
      <c r="E1021" s="8"/>
      <c r="F1021" s="8"/>
      <c r="G1021" s="6"/>
      <c r="H1021" s="9"/>
      <c r="I1021" s="6"/>
      <c r="J1021" s="10"/>
      <c r="K1021" s="10"/>
    </row>
    <row r="1022" spans="1:11" x14ac:dyDescent="0.3">
      <c r="A1022" s="7"/>
      <c r="B1022" s="6"/>
      <c r="C1022" s="6"/>
      <c r="D1022" s="6"/>
      <c r="E1022" s="8"/>
      <c r="F1022" s="8"/>
      <c r="G1022" s="6"/>
      <c r="H1022" s="9"/>
      <c r="I1022" s="6"/>
      <c r="J1022" s="10"/>
      <c r="K1022" s="10"/>
    </row>
    <row r="1023" spans="1:11" x14ac:dyDescent="0.3">
      <c r="A1023" s="7"/>
      <c r="B1023" s="6"/>
      <c r="C1023" s="6"/>
      <c r="D1023" s="6"/>
      <c r="E1023" s="8"/>
      <c r="F1023" s="8"/>
      <c r="G1023" s="6"/>
      <c r="H1023" s="9"/>
      <c r="I1023" s="6"/>
      <c r="J1023" s="10"/>
      <c r="K1023" s="10"/>
    </row>
    <row r="1024" spans="1:11" x14ac:dyDescent="0.3">
      <c r="A1024" s="7"/>
      <c r="B1024" s="6"/>
      <c r="C1024" s="6"/>
      <c r="D1024" s="6"/>
      <c r="E1024" s="8"/>
      <c r="F1024" s="8"/>
      <c r="G1024" s="6"/>
      <c r="H1024" s="9"/>
      <c r="I1024" s="6"/>
      <c r="J1024" s="10"/>
      <c r="K1024" s="10"/>
    </row>
    <row r="1025" spans="1:11" x14ac:dyDescent="0.3">
      <c r="A1025" s="7"/>
      <c r="B1025" s="6"/>
      <c r="C1025" s="6"/>
      <c r="D1025" s="6"/>
      <c r="E1025" s="8"/>
      <c r="F1025" s="8"/>
      <c r="G1025" s="6"/>
      <c r="H1025" s="9"/>
      <c r="I1025" s="6"/>
      <c r="J1025" s="10"/>
      <c r="K1025" s="10"/>
    </row>
    <row r="1026" spans="1:11" x14ac:dyDescent="0.3">
      <c r="A1026" s="7"/>
      <c r="B1026" s="6"/>
      <c r="C1026" s="6"/>
      <c r="D1026" s="6"/>
      <c r="E1026" s="8"/>
      <c r="F1026" s="8"/>
      <c r="G1026" s="6"/>
      <c r="H1026" s="9"/>
      <c r="I1026" s="6"/>
      <c r="J1026" s="10"/>
      <c r="K1026" s="10"/>
    </row>
    <row r="1027" spans="1:11" x14ac:dyDescent="0.3">
      <c r="A1027" s="7"/>
      <c r="B1027" s="6"/>
      <c r="C1027" s="6"/>
      <c r="D1027" s="6"/>
      <c r="E1027" s="8"/>
      <c r="F1027" s="8"/>
      <c r="G1027" s="6"/>
      <c r="H1027" s="9"/>
      <c r="I1027" s="6"/>
      <c r="J1027" s="10"/>
      <c r="K1027" s="10"/>
    </row>
    <row r="1028" spans="1:11" x14ac:dyDescent="0.3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  <row r="1029" spans="1:11" x14ac:dyDescent="0.3">
      <c r="A1029" s="7"/>
      <c r="B1029" s="6"/>
      <c r="C1029" s="6"/>
      <c r="D1029" s="6"/>
      <c r="E1029" s="8"/>
      <c r="F1029" s="8"/>
      <c r="G1029" s="6"/>
      <c r="H1029" s="9"/>
      <c r="I1029" s="6"/>
      <c r="J1029" s="10"/>
      <c r="K1029" s="10"/>
    </row>
    <row r="1030" spans="1:11" x14ac:dyDescent="0.3">
      <c r="A1030" s="7"/>
      <c r="B1030" s="6"/>
      <c r="C1030" s="6"/>
      <c r="D1030" s="6"/>
      <c r="E1030" s="8"/>
      <c r="F1030" s="8"/>
      <c r="G1030" s="6"/>
      <c r="H1030" s="9"/>
      <c r="I1030" s="6"/>
      <c r="J1030" s="10"/>
      <c r="K1030" s="10"/>
    </row>
    <row r="1031" spans="1:11" x14ac:dyDescent="0.3">
      <c r="A1031" s="7"/>
      <c r="B1031" s="6"/>
      <c r="C1031" s="6"/>
      <c r="D1031" s="6"/>
      <c r="E1031" s="8"/>
      <c r="F1031" s="8"/>
      <c r="G1031" s="6"/>
      <c r="H1031" s="9"/>
      <c r="I1031" s="6"/>
      <c r="J1031" s="10"/>
      <c r="K1031" s="10"/>
    </row>
    <row r="1032" spans="1:11" x14ac:dyDescent="0.3">
      <c r="A1032" s="7"/>
      <c r="B1032" s="6"/>
      <c r="C1032" s="6"/>
      <c r="D1032" s="6"/>
      <c r="E1032" s="8"/>
      <c r="F1032" s="8"/>
      <c r="G1032" s="6"/>
      <c r="H1032" s="9"/>
      <c r="I1032" s="6"/>
      <c r="J1032" s="10"/>
      <c r="K1032" s="10"/>
    </row>
    <row r="1033" spans="1:11" x14ac:dyDescent="0.3">
      <c r="A1033" s="7"/>
      <c r="B1033" s="6"/>
      <c r="C1033" s="6"/>
      <c r="D1033" s="6"/>
      <c r="E1033" s="8"/>
      <c r="F1033" s="8"/>
      <c r="G1033" s="6"/>
      <c r="H1033" s="9"/>
      <c r="I1033" s="6"/>
      <c r="J1033" s="10"/>
      <c r="K1033" s="10"/>
    </row>
    <row r="1034" spans="1:11" x14ac:dyDescent="0.3">
      <c r="A1034" s="7"/>
      <c r="B1034" s="6"/>
      <c r="C1034" s="6"/>
      <c r="D1034" s="6"/>
      <c r="E1034" s="8"/>
      <c r="F1034" s="8"/>
      <c r="G1034" s="6"/>
      <c r="H1034" s="9"/>
      <c r="I1034" s="6"/>
      <c r="J1034" s="10"/>
      <c r="K1034" s="10"/>
    </row>
    <row r="1035" spans="1:11" x14ac:dyDescent="0.3">
      <c r="A1035" s="7"/>
      <c r="B1035" s="6"/>
      <c r="C1035" s="6"/>
      <c r="D1035" s="6"/>
      <c r="E1035" s="8"/>
      <c r="F1035" s="8"/>
      <c r="G1035" s="6"/>
      <c r="H1035" s="9"/>
      <c r="I1035" s="6"/>
      <c r="J1035" s="10"/>
      <c r="K1035" s="10"/>
    </row>
    <row r="1036" spans="1:11" x14ac:dyDescent="0.3">
      <c r="A1036" s="7"/>
      <c r="B1036" s="6"/>
      <c r="C1036" s="6"/>
      <c r="D1036" s="6"/>
      <c r="E1036" s="8"/>
      <c r="F1036" s="8"/>
      <c r="G1036" s="6"/>
      <c r="H1036" s="9"/>
      <c r="I1036" s="6"/>
      <c r="J1036" s="10"/>
      <c r="K1036" s="10"/>
    </row>
    <row r="1037" spans="1:11" x14ac:dyDescent="0.3">
      <c r="A1037" s="7"/>
      <c r="B1037" s="6"/>
      <c r="C1037" s="6"/>
      <c r="D1037" s="6"/>
      <c r="E1037" s="8"/>
      <c r="F1037" s="8"/>
      <c r="G1037" s="6"/>
      <c r="H1037" s="9"/>
      <c r="I1037" s="6"/>
      <c r="J1037" s="10"/>
      <c r="K1037" s="10"/>
    </row>
    <row r="1038" spans="1:11" x14ac:dyDescent="0.3">
      <c r="A1038" s="7"/>
      <c r="B1038" s="6"/>
      <c r="C1038" s="6"/>
      <c r="D1038" s="6"/>
      <c r="E1038" s="8"/>
      <c r="F1038" s="8"/>
      <c r="G1038" s="6"/>
      <c r="H1038" s="9"/>
      <c r="I1038" s="6"/>
      <c r="J1038" s="10"/>
      <c r="K1038" s="10"/>
    </row>
    <row r="1039" spans="1:11" x14ac:dyDescent="0.3">
      <c r="A1039" s="7"/>
      <c r="B1039" s="6"/>
      <c r="C1039" s="6"/>
      <c r="D1039" s="6"/>
      <c r="E1039" s="8"/>
      <c r="F1039" s="8"/>
      <c r="G1039" s="6"/>
      <c r="H1039" s="9"/>
      <c r="I1039" s="6"/>
      <c r="J1039" s="10"/>
      <c r="K1039" s="10"/>
    </row>
    <row r="1040" spans="1:11" x14ac:dyDescent="0.3">
      <c r="A1040" s="7"/>
      <c r="B1040" s="6"/>
      <c r="C1040" s="6"/>
      <c r="D1040" s="6"/>
      <c r="E1040" s="8"/>
      <c r="F1040" s="8"/>
      <c r="G1040" s="6"/>
      <c r="H1040" s="9"/>
      <c r="I1040" s="6"/>
      <c r="J1040" s="10"/>
      <c r="K1040" s="10"/>
    </row>
    <row r="1041" spans="1:11" x14ac:dyDescent="0.3">
      <c r="A1041" s="7"/>
      <c r="B1041" s="6"/>
      <c r="C1041" s="6"/>
      <c r="D1041" s="6"/>
      <c r="E1041" s="8"/>
      <c r="F1041" s="8"/>
      <c r="G1041" s="6"/>
      <c r="H1041" s="9"/>
      <c r="I1041" s="6"/>
      <c r="J1041" s="10"/>
      <c r="K1041" s="10"/>
    </row>
    <row r="1042" spans="1:11" x14ac:dyDescent="0.3">
      <c r="A1042" s="7"/>
      <c r="B1042" s="6"/>
      <c r="C1042" s="6"/>
      <c r="D1042" s="6"/>
      <c r="E1042" s="8"/>
      <c r="F1042" s="8"/>
      <c r="G1042" s="6"/>
      <c r="H1042" s="9"/>
      <c r="I1042" s="6"/>
      <c r="J1042" s="10"/>
      <c r="K1042" s="10"/>
    </row>
    <row r="1043" spans="1:11" x14ac:dyDescent="0.3">
      <c r="A1043" s="7"/>
      <c r="B1043" s="6"/>
      <c r="C1043" s="6"/>
      <c r="D1043" s="6"/>
      <c r="E1043" s="8"/>
      <c r="F1043" s="8"/>
      <c r="G1043" s="6"/>
      <c r="H1043" s="9"/>
      <c r="I1043" s="6"/>
      <c r="J1043" s="10"/>
      <c r="K1043" s="10"/>
    </row>
    <row r="1044" spans="1:11" x14ac:dyDescent="0.3">
      <c r="A1044" s="7"/>
      <c r="B1044" s="6"/>
      <c r="C1044" s="6"/>
      <c r="D1044" s="6"/>
      <c r="E1044" s="8"/>
      <c r="F1044" s="8"/>
      <c r="G1044" s="6"/>
      <c r="H1044" s="9"/>
      <c r="I1044" s="6"/>
      <c r="J1044" s="10"/>
      <c r="K1044" s="10"/>
    </row>
    <row r="1045" spans="1:11" x14ac:dyDescent="0.3">
      <c r="A1045" s="7"/>
      <c r="B1045" s="6"/>
      <c r="C1045" s="6"/>
      <c r="D1045" s="6"/>
      <c r="E1045" s="8"/>
      <c r="F1045" s="8"/>
      <c r="G1045" s="6"/>
      <c r="H1045" s="9"/>
      <c r="I1045" s="6"/>
      <c r="J1045" s="10"/>
      <c r="K1045" s="10"/>
    </row>
    <row r="1046" spans="1:11" x14ac:dyDescent="0.3">
      <c r="A1046" s="7"/>
      <c r="B1046" s="6"/>
      <c r="C1046" s="6"/>
      <c r="D1046" s="6"/>
      <c r="E1046" s="8"/>
      <c r="F1046" s="8"/>
      <c r="G1046" s="6"/>
      <c r="H1046" s="9"/>
      <c r="I1046" s="6"/>
      <c r="J1046" s="10"/>
      <c r="K1046" s="10"/>
    </row>
    <row r="1047" spans="1:11" x14ac:dyDescent="0.3">
      <c r="A1047" s="7"/>
      <c r="B1047" s="6"/>
      <c r="C1047" s="6"/>
      <c r="D1047" s="6"/>
      <c r="E1047" s="8"/>
      <c r="F1047" s="8"/>
      <c r="G1047" s="6"/>
      <c r="H1047" s="9"/>
      <c r="I1047" s="6"/>
      <c r="J1047" s="10"/>
      <c r="K1047" s="10"/>
    </row>
    <row r="1048" spans="1:11" x14ac:dyDescent="0.3">
      <c r="A1048" s="7"/>
      <c r="B1048" s="6"/>
      <c r="C1048" s="6"/>
      <c r="D1048" s="6"/>
      <c r="E1048" s="8"/>
      <c r="F1048" s="8"/>
      <c r="G1048" s="6"/>
      <c r="H1048" s="9"/>
      <c r="I1048" s="6"/>
      <c r="J1048" s="10"/>
      <c r="K1048" s="10"/>
    </row>
    <row r="1049" spans="1:11" x14ac:dyDescent="0.3">
      <c r="A1049" s="7"/>
      <c r="B1049" s="6"/>
      <c r="C1049" s="6"/>
      <c r="D1049" s="6"/>
      <c r="E1049" s="8"/>
      <c r="F1049" s="8"/>
      <c r="G1049" s="6"/>
      <c r="H1049" s="9"/>
      <c r="I1049" s="6"/>
      <c r="J1049" s="10"/>
      <c r="K1049" s="10"/>
    </row>
    <row r="1050" spans="1:11" x14ac:dyDescent="0.3">
      <c r="A1050" s="7"/>
      <c r="B1050" s="6"/>
      <c r="C1050" s="6"/>
      <c r="D1050" s="6"/>
      <c r="E1050" s="8"/>
      <c r="F1050" s="8"/>
      <c r="G1050" s="6"/>
      <c r="H1050" s="9"/>
      <c r="I1050" s="6"/>
      <c r="J1050" s="10"/>
      <c r="K1050" s="10"/>
    </row>
    <row r="1051" spans="1:11" x14ac:dyDescent="0.3">
      <c r="A1051" s="7"/>
      <c r="B1051" s="6"/>
      <c r="C1051" s="6"/>
      <c r="D1051" s="6"/>
      <c r="E1051" s="8"/>
      <c r="F1051" s="8"/>
      <c r="G1051" s="6"/>
      <c r="H1051" s="9"/>
      <c r="I1051" s="6"/>
      <c r="J1051" s="10"/>
      <c r="K1051" s="10"/>
    </row>
    <row r="1052" spans="1:11" x14ac:dyDescent="0.3">
      <c r="A1052" s="7"/>
      <c r="B1052" s="6"/>
      <c r="C1052" s="6"/>
      <c r="D1052" s="6"/>
      <c r="E1052" s="8"/>
      <c r="F1052" s="8"/>
      <c r="G1052" s="6"/>
      <c r="H1052" s="9"/>
      <c r="I1052" s="6"/>
      <c r="J1052" s="10"/>
      <c r="K1052" s="10"/>
    </row>
    <row r="1053" spans="1:11" x14ac:dyDescent="0.3">
      <c r="A1053" s="7"/>
      <c r="B1053" s="6"/>
      <c r="C1053" s="6"/>
      <c r="D1053" s="6"/>
      <c r="E1053" s="8"/>
      <c r="F1053" s="8"/>
      <c r="G1053" s="6"/>
      <c r="H1053" s="9"/>
      <c r="I1053" s="6"/>
      <c r="J1053" s="10"/>
      <c r="K1053" s="10"/>
    </row>
    <row r="1054" spans="1:11" x14ac:dyDescent="0.3">
      <c r="A1054" s="7"/>
      <c r="B1054" s="6"/>
      <c r="C1054" s="6"/>
      <c r="D1054" s="6"/>
      <c r="E1054" s="8"/>
      <c r="F1054" s="8"/>
      <c r="G1054" s="6"/>
      <c r="H1054" s="9"/>
      <c r="I1054" s="6"/>
      <c r="J1054" s="10"/>
      <c r="K1054" s="10"/>
    </row>
    <row r="1055" spans="1:11" x14ac:dyDescent="0.3">
      <c r="A1055" s="7"/>
      <c r="B1055" s="6"/>
      <c r="C1055" s="6"/>
      <c r="D1055" s="6"/>
      <c r="E1055" s="8"/>
      <c r="F1055" s="8"/>
      <c r="G1055" s="6"/>
      <c r="H1055" s="9"/>
      <c r="I1055" s="6"/>
      <c r="J1055" s="10"/>
      <c r="K1055" s="10"/>
    </row>
    <row r="1056" spans="1:11" x14ac:dyDescent="0.3">
      <c r="A1056" s="7"/>
      <c r="B1056" s="6"/>
      <c r="C1056" s="6"/>
      <c r="D1056" s="6"/>
      <c r="E1056" s="8"/>
      <c r="F1056" s="8"/>
      <c r="G1056" s="6"/>
      <c r="H1056" s="9"/>
      <c r="I1056" s="6"/>
      <c r="J1056" s="10"/>
      <c r="K1056" s="10"/>
    </row>
    <row r="1057" spans="1:11" x14ac:dyDescent="0.3">
      <c r="A1057" s="7"/>
      <c r="B1057" s="6"/>
      <c r="C1057" s="6"/>
      <c r="D1057" s="6"/>
      <c r="E1057" s="8"/>
      <c r="F1057" s="8"/>
      <c r="G1057" s="6"/>
      <c r="H1057" s="9"/>
      <c r="I1057" s="6"/>
      <c r="J1057" s="10"/>
      <c r="K1057" s="10"/>
    </row>
    <row r="1058" spans="1:11" x14ac:dyDescent="0.3">
      <c r="A1058" s="7"/>
      <c r="B1058" s="6"/>
      <c r="C1058" s="6"/>
      <c r="D1058" s="6"/>
      <c r="E1058" s="8"/>
      <c r="F1058" s="8"/>
      <c r="G1058" s="6"/>
      <c r="H1058" s="9"/>
      <c r="I1058" s="6"/>
      <c r="J1058" s="10"/>
      <c r="K1058" s="10"/>
    </row>
    <row r="1059" spans="1:11" x14ac:dyDescent="0.3">
      <c r="A1059" s="7"/>
      <c r="B1059" s="6"/>
      <c r="C1059" s="6"/>
      <c r="D1059" s="6"/>
      <c r="E1059" s="8"/>
      <c r="F1059" s="8"/>
      <c r="G1059" s="6"/>
      <c r="H1059" s="9"/>
      <c r="I1059" s="6"/>
      <c r="J1059" s="10"/>
      <c r="K1059" s="10"/>
    </row>
    <row r="1060" spans="1:11" x14ac:dyDescent="0.3">
      <c r="A1060" s="7"/>
      <c r="B1060" s="6"/>
      <c r="C1060" s="6"/>
      <c r="D1060" s="6"/>
      <c r="E1060" s="8"/>
      <c r="F1060" s="8"/>
      <c r="G1060" s="6"/>
      <c r="H1060" s="9"/>
      <c r="I1060" s="6"/>
      <c r="J1060" s="10"/>
      <c r="K1060" s="10"/>
    </row>
    <row r="1061" spans="1:11" x14ac:dyDescent="0.3">
      <c r="A1061" s="7"/>
      <c r="B1061" s="6"/>
      <c r="C1061" s="6"/>
      <c r="D1061" s="6"/>
      <c r="E1061" s="8"/>
      <c r="F1061" s="8"/>
      <c r="G1061" s="6"/>
      <c r="H1061" s="9"/>
      <c r="I1061" s="6"/>
      <c r="J1061" s="10"/>
      <c r="K1061" s="10"/>
    </row>
    <row r="1062" spans="1:11" x14ac:dyDescent="0.3">
      <c r="A1062" s="7"/>
      <c r="B1062" s="6"/>
      <c r="C1062" s="6"/>
      <c r="D1062" s="6"/>
      <c r="E1062" s="8"/>
      <c r="F1062" s="8"/>
      <c r="G1062" s="6"/>
      <c r="H1062" s="9"/>
      <c r="I1062" s="6"/>
      <c r="J1062" s="10"/>
      <c r="K1062" s="10"/>
    </row>
    <row r="1063" spans="1:11" x14ac:dyDescent="0.3">
      <c r="A1063" s="7"/>
      <c r="B1063" s="6"/>
      <c r="C1063" s="6"/>
      <c r="D1063" s="6"/>
      <c r="E1063" s="8"/>
      <c r="F1063" s="8"/>
      <c r="G1063" s="6"/>
      <c r="H1063" s="9"/>
      <c r="I1063" s="6"/>
      <c r="J1063" s="10"/>
      <c r="K1063" s="10"/>
    </row>
    <row r="1064" spans="1:11" x14ac:dyDescent="0.3">
      <c r="A1064" s="7"/>
      <c r="B1064" s="6"/>
      <c r="C1064" s="6"/>
      <c r="D1064" s="6"/>
      <c r="E1064" s="8"/>
      <c r="F1064" s="8"/>
      <c r="G1064" s="6"/>
      <c r="H1064" s="9"/>
      <c r="I1064" s="6"/>
      <c r="J1064" s="10"/>
      <c r="K1064" s="10"/>
    </row>
    <row r="1065" spans="1:11" x14ac:dyDescent="0.3">
      <c r="A1065" s="7"/>
      <c r="B1065" s="6"/>
      <c r="C1065" s="6"/>
      <c r="D1065" s="6"/>
      <c r="E1065" s="8"/>
      <c r="F1065" s="8"/>
      <c r="G1065" s="6"/>
      <c r="H1065" s="9"/>
      <c r="I1065" s="6"/>
      <c r="J1065" s="10"/>
      <c r="K1065" s="10"/>
    </row>
    <row r="1066" spans="1:11" x14ac:dyDescent="0.3">
      <c r="A1066" s="7"/>
      <c r="B1066" s="6"/>
      <c r="C1066" s="6"/>
      <c r="D1066" s="6"/>
      <c r="E1066" s="8"/>
      <c r="F1066" s="8"/>
      <c r="G1066" s="6"/>
      <c r="H1066" s="9"/>
      <c r="I1066" s="6"/>
      <c r="J1066" s="10"/>
      <c r="K1066" s="10"/>
    </row>
    <row r="1067" spans="1:11" x14ac:dyDescent="0.3">
      <c r="A1067" s="7"/>
      <c r="B1067" s="6"/>
      <c r="C1067" s="6"/>
      <c r="D1067" s="6"/>
      <c r="E1067" s="8"/>
      <c r="F1067" s="8"/>
      <c r="G1067" s="6"/>
      <c r="H1067" s="9"/>
      <c r="I1067" s="6"/>
      <c r="J1067" s="10"/>
      <c r="K1067" s="10"/>
    </row>
    <row r="1068" spans="1:11" x14ac:dyDescent="0.3">
      <c r="A1068" s="7"/>
      <c r="B1068" s="6"/>
      <c r="C1068" s="6"/>
      <c r="D1068" s="6"/>
      <c r="E1068" s="8"/>
      <c r="F1068" s="8"/>
      <c r="G1068" s="6"/>
      <c r="H1068" s="9"/>
      <c r="I1068" s="6"/>
      <c r="J1068" s="10"/>
      <c r="K1068" s="10"/>
    </row>
    <row r="1069" spans="1:11" x14ac:dyDescent="0.3">
      <c r="A1069" s="7"/>
      <c r="B1069" s="6"/>
      <c r="C1069" s="6"/>
      <c r="D1069" s="6"/>
      <c r="E1069" s="8"/>
      <c r="F1069" s="8"/>
      <c r="G1069" s="6"/>
      <c r="H1069" s="9"/>
      <c r="I1069" s="6"/>
      <c r="J1069" s="10"/>
      <c r="K1069" s="10"/>
    </row>
    <row r="1070" spans="1:11" x14ac:dyDescent="0.3">
      <c r="A1070" s="7"/>
      <c r="B1070" s="6"/>
      <c r="C1070" s="6"/>
      <c r="D1070" s="6"/>
      <c r="E1070" s="8"/>
      <c r="F1070" s="8"/>
      <c r="G1070" s="6"/>
      <c r="H1070" s="9"/>
      <c r="I1070" s="6"/>
      <c r="J1070" s="10"/>
      <c r="K1070" s="10"/>
    </row>
    <row r="1071" spans="1:11" x14ac:dyDescent="0.3">
      <c r="A1071" s="7"/>
      <c r="B1071" s="6"/>
      <c r="C1071" s="6"/>
      <c r="D1071" s="6"/>
      <c r="E1071" s="8"/>
      <c r="F1071" s="8"/>
      <c r="G1071" s="6"/>
      <c r="H1071" s="9"/>
      <c r="I1071" s="6"/>
      <c r="J1071" s="10"/>
      <c r="K1071" s="10"/>
    </row>
    <row r="1072" spans="1:11" x14ac:dyDescent="0.3">
      <c r="A1072" s="7"/>
      <c r="B1072" s="6"/>
      <c r="C1072" s="6"/>
      <c r="D1072" s="6"/>
      <c r="E1072" s="8"/>
      <c r="F1072" s="8"/>
      <c r="G1072" s="6"/>
      <c r="H1072" s="9"/>
      <c r="I1072" s="6"/>
      <c r="J1072" s="10"/>
      <c r="K1072" s="10"/>
    </row>
    <row r="1073" spans="1:11" x14ac:dyDescent="0.3">
      <c r="A1073" s="7"/>
      <c r="B1073" s="6"/>
      <c r="C1073" s="6"/>
      <c r="D1073" s="6"/>
      <c r="E1073" s="8"/>
      <c r="F1073" s="8"/>
      <c r="G1073" s="6"/>
      <c r="H1073" s="9"/>
      <c r="I1073" s="6"/>
      <c r="J1073" s="10"/>
      <c r="K1073" s="10"/>
    </row>
    <row r="1074" spans="1:11" x14ac:dyDescent="0.3">
      <c r="A1074" s="7"/>
      <c r="B1074" s="6"/>
      <c r="C1074" s="6"/>
      <c r="D1074" s="6"/>
      <c r="E1074" s="8"/>
      <c r="F1074" s="8"/>
      <c r="G1074" s="6"/>
      <c r="H1074" s="9"/>
      <c r="I1074" s="6"/>
      <c r="J1074" s="10"/>
      <c r="K1074" s="10"/>
    </row>
    <row r="1075" spans="1:11" x14ac:dyDescent="0.3">
      <c r="A1075" s="7"/>
      <c r="B1075" s="6"/>
      <c r="C1075" s="6"/>
      <c r="D1075" s="6"/>
      <c r="E1075" s="8"/>
      <c r="F1075" s="8"/>
      <c r="G1075" s="6"/>
      <c r="H1075" s="9"/>
      <c r="I1075" s="6"/>
      <c r="J1075" s="10"/>
      <c r="K1075" s="10"/>
    </row>
    <row r="1076" spans="1:11" x14ac:dyDescent="0.3">
      <c r="A1076" s="7"/>
      <c r="B1076" s="6"/>
      <c r="C1076" s="6"/>
      <c r="D1076" s="6"/>
      <c r="E1076" s="8"/>
      <c r="F1076" s="8"/>
      <c r="G1076" s="6"/>
      <c r="H1076" s="9"/>
      <c r="I1076" s="6"/>
      <c r="J1076" s="10"/>
      <c r="K1076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G8"/>
  <sheetViews>
    <sheetView tabSelected="1" workbookViewId="0">
      <selection activeCell="F2" sqref="F2:F8"/>
    </sheetView>
  </sheetViews>
  <sheetFormatPr defaultRowHeight="14.4" x14ac:dyDescent="0.3"/>
  <cols>
    <col min="1" max="1" width="21.5546875" bestFit="1" customWidth="1"/>
  </cols>
  <sheetData>
    <row r="1" spans="1:7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31</v>
      </c>
    </row>
    <row r="2" spans="1:7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1119</v>
      </c>
      <c r="G2" s="24">
        <f>SUM(B2:F2)</f>
        <v>6438</v>
      </c>
    </row>
    <row r="3" spans="1:7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7793</v>
      </c>
      <c r="G3" s="24">
        <f t="shared" ref="G3:G8" si="0">SUM(B3:F3)</f>
        <v>41795</v>
      </c>
    </row>
    <row r="4" spans="1:7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f t="shared" si="0"/>
        <v>1795</v>
      </c>
    </row>
    <row r="5" spans="1:7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 t="shared" si="0"/>
        <v>15146</v>
      </c>
    </row>
    <row r="6" spans="1:7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433</v>
      </c>
      <c r="G6" s="24">
        <f t="shared" si="0"/>
        <v>3715</v>
      </c>
    </row>
    <row r="7" spans="1:7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559</v>
      </c>
      <c r="G7" s="24">
        <f t="shared" si="0"/>
        <v>5214</v>
      </c>
    </row>
    <row r="8" spans="1:7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522</v>
      </c>
      <c r="G8" s="24">
        <f t="shared" si="0"/>
        <v>1666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2026-05-27T15:10:09Z</dcterms:modified>
</cp:coreProperties>
</file>