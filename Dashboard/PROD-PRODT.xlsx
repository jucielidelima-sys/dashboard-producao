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8E970285-439E-43CC-B10C-02DFF5F532C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LANC.!$A$1:$K$316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9" i="1" l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C6" i="3"/>
  <c r="C5" i="3"/>
  <c r="C4" i="3"/>
  <c r="C3" i="3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D3" i="3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<sst xmlns="http://schemas.openxmlformats.org/spreadsheetml/2006/main" count="687" uniqueCount="33">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</sst>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16" totalsRowShown="0" headerRowDxfId="13" dataDxfId="12" tableBorderDxfId="11">
  <autoFilter ref="A1:K31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86" activePane="bottomLeft" state="frozen"/>
      <selection pane="bottomLeft" activeCell="H315" sqref="H315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16"/>
      <c r="B320" s="17"/>
      <c r="C320" s="17"/>
      <c r="D320" s="17"/>
      <c r="E320" s="18"/>
      <c r="F320" s="18"/>
      <c r="G320" s="17"/>
      <c r="H320" s="19"/>
      <c r="I320" s="17"/>
      <c r="J320" s="20"/>
      <c r="K320" s="20"/>
    </row>
    <row r="321" spans="1:11" s="6" customFormat="1" x14ac:dyDescent="0.3">
      <c r="A321" s="16"/>
      <c r="B321" s="17"/>
      <c r="C321" s="17"/>
      <c r="D321" s="17"/>
      <c r="E321" s="18"/>
      <c r="F321" s="18"/>
      <c r="G321" s="17"/>
      <c r="H321" s="19"/>
      <c r="I321" s="17"/>
      <c r="J321" s="20"/>
      <c r="K321" s="20"/>
    </row>
    <row r="322" spans="1:11" s="6" customFormat="1" x14ac:dyDescent="0.3">
      <c r="A322" s="16"/>
      <c r="B322" s="17"/>
      <c r="C322" s="17"/>
      <c r="D322" s="17"/>
      <c r="E322" s="18"/>
      <c r="F322" s="18"/>
      <c r="G322" s="17"/>
      <c r="H322" s="19"/>
      <c r="I322" s="17"/>
      <c r="J322" s="20"/>
      <c r="K322" s="20"/>
    </row>
    <row r="323" spans="1:11" s="6" customFormat="1" x14ac:dyDescent="0.3">
      <c r="A323" s="16"/>
      <c r="B323" s="17"/>
      <c r="C323" s="17"/>
      <c r="D323" s="17"/>
      <c r="E323" s="18"/>
      <c r="F323" s="18"/>
      <c r="G323" s="17"/>
      <c r="H323" s="19"/>
      <c r="I323" s="17"/>
      <c r="J323" s="20"/>
      <c r="K323" s="20"/>
    </row>
    <row r="324" spans="1:11" s="6" customFormat="1" x14ac:dyDescent="0.3">
      <c r="A324" s="16"/>
      <c r="B324" s="17"/>
      <c r="C324" s="17"/>
      <c r="D324" s="17"/>
      <c r="E324" s="18"/>
      <c r="F324" s="18"/>
      <c r="G324" s="17"/>
      <c r="H324" s="19"/>
      <c r="I324" s="17"/>
      <c r="J324" s="20"/>
      <c r="K324" s="20"/>
    </row>
    <row r="325" spans="1:11" s="6" customFormat="1" x14ac:dyDescent="0.3">
      <c r="A325" s="16"/>
      <c r="B325" s="17"/>
      <c r="C325" s="17"/>
      <c r="D325" s="17"/>
      <c r="E325" s="18"/>
      <c r="F325" s="18"/>
      <c r="G325" s="17"/>
      <c r="H325" s="19"/>
      <c r="I325" s="17"/>
      <c r="J325" s="20"/>
      <c r="K325" s="20"/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16"/>
      <c r="B328" s="17"/>
      <c r="C328" s="17"/>
      <c r="D328" s="17"/>
      <c r="E328" s="18"/>
      <c r="F328" s="18"/>
      <c r="G328" s="17"/>
      <c r="H328" s="19"/>
      <c r="I328" s="17"/>
      <c r="J328" s="20"/>
      <c r="K328" s="20"/>
    </row>
    <row r="329" spans="1:11" s="6" customFormat="1" x14ac:dyDescent="0.3">
      <c r="A329" s="16"/>
      <c r="B329" s="17"/>
      <c r="C329" s="17"/>
      <c r="D329" s="17"/>
      <c r="E329" s="18"/>
      <c r="F329" s="18"/>
      <c r="G329" s="17"/>
      <c r="H329" s="19"/>
      <c r="I329" s="17"/>
      <c r="J329" s="20"/>
      <c r="K329" s="20"/>
    </row>
    <row r="330" spans="1:11" s="6" customFormat="1" x14ac:dyDescent="0.3">
      <c r="A330" s="16"/>
      <c r="B330" s="17"/>
      <c r="C330" s="17"/>
      <c r="D330" s="17"/>
      <c r="E330" s="18"/>
      <c r="F330" s="18"/>
      <c r="G330" s="17"/>
      <c r="H330" s="19"/>
      <c r="I330" s="17"/>
      <c r="J330" s="20"/>
      <c r="K330" s="20"/>
    </row>
    <row r="331" spans="1:11" s="6" customFormat="1" x14ac:dyDescent="0.3">
      <c r="A331" s="16"/>
      <c r="B331" s="17"/>
      <c r="C331" s="17"/>
      <c r="D331" s="17"/>
      <c r="E331" s="18"/>
      <c r="F331" s="18"/>
      <c r="G331" s="17"/>
      <c r="H331" s="19"/>
      <c r="I331" s="17"/>
      <c r="J331" s="20"/>
      <c r="K331" s="20"/>
    </row>
    <row r="332" spans="1:11" s="6" customFormat="1" x14ac:dyDescent="0.3">
      <c r="A332" s="16"/>
      <c r="B332" s="17"/>
      <c r="C332" s="17"/>
      <c r="D332" s="17"/>
      <c r="E332" s="18"/>
      <c r="F332" s="18"/>
      <c r="G332" s="17"/>
      <c r="H332" s="19"/>
      <c r="I332" s="17"/>
      <c r="J332" s="20"/>
      <c r="K332" s="20"/>
    </row>
    <row r="333" spans="1:11" s="6" customFormat="1" x14ac:dyDescent="0.3">
      <c r="A333" s="16"/>
      <c r="B333" s="17"/>
      <c r="C333" s="17"/>
      <c r="D333" s="17"/>
      <c r="E333" s="18"/>
      <c r="F333" s="18"/>
      <c r="G333" s="17"/>
      <c r="H333" s="19"/>
      <c r="I333" s="17"/>
      <c r="J333" s="20"/>
      <c r="K333" s="20"/>
    </row>
    <row r="334" spans="1:11" s="6" customFormat="1" x14ac:dyDescent="0.3">
      <c r="A334" s="16"/>
      <c r="B334" s="17"/>
      <c r="C334" s="17"/>
      <c r="D334" s="17"/>
      <c r="E334" s="18"/>
      <c r="F334" s="18"/>
      <c r="G334" s="17"/>
      <c r="H334" s="19"/>
      <c r="I334" s="17"/>
      <c r="J334" s="20"/>
      <c r="K334" s="20"/>
    </row>
    <row r="335" spans="1:11" s="6" customFormat="1" x14ac:dyDescent="0.3">
      <c r="A335" s="16"/>
      <c r="B335" s="17"/>
      <c r="C335" s="17"/>
      <c r="D335" s="17"/>
      <c r="E335" s="18"/>
      <c r="F335" s="18"/>
      <c r="G335" s="17"/>
      <c r="H335" s="19"/>
      <c r="I335" s="17"/>
      <c r="J335" s="20"/>
      <c r="K335" s="20"/>
    </row>
    <row r="336" spans="1:11" s="6" customFormat="1" x14ac:dyDescent="0.3">
      <c r="A336" s="16"/>
      <c r="B336" s="17"/>
      <c r="C336" s="17"/>
      <c r="D336" s="17"/>
      <c r="E336" s="18"/>
      <c r="F336" s="18"/>
      <c r="G336" s="17"/>
      <c r="H336" s="19"/>
      <c r="I336" s="17"/>
      <c r="J336" s="20"/>
      <c r="K336" s="20"/>
    </row>
    <row r="337" spans="1:11" s="6" customFormat="1" x14ac:dyDescent="0.3">
      <c r="A337" s="16"/>
      <c r="B337" s="17"/>
      <c r="C337" s="17"/>
      <c r="D337" s="17"/>
      <c r="E337" s="18"/>
      <c r="F337" s="18"/>
      <c r="G337" s="17"/>
      <c r="H337" s="19"/>
      <c r="I337" s="17"/>
      <c r="J337" s="20"/>
      <c r="K337" s="20"/>
    </row>
    <row r="338" spans="1:11" s="6" customFormat="1" x14ac:dyDescent="0.3">
      <c r="A338" s="16"/>
      <c r="B338" s="17"/>
      <c r="C338" s="17"/>
      <c r="D338" s="17"/>
      <c r="E338" s="18"/>
      <c r="F338" s="18"/>
      <c r="G338" s="17"/>
      <c r="H338" s="19"/>
      <c r="I338" s="17"/>
      <c r="J338" s="20"/>
      <c r="K338" s="20"/>
    </row>
    <row r="339" spans="1:11" s="6" customFormat="1" x14ac:dyDescent="0.3">
      <c r="A339" s="16"/>
      <c r="B339" s="17"/>
      <c r="C339" s="17"/>
      <c r="D339" s="17"/>
      <c r="E339" s="18"/>
      <c r="F339" s="18"/>
      <c r="G339" s="17"/>
      <c r="H339" s="19"/>
      <c r="I339" s="17"/>
      <c r="J339" s="20"/>
      <c r="K339" s="20"/>
    </row>
    <row r="340" spans="1:11" s="6" customFormat="1" x14ac:dyDescent="0.3">
      <c r="A340" s="16"/>
      <c r="B340" s="17"/>
      <c r="C340" s="17"/>
      <c r="D340" s="17"/>
      <c r="E340" s="18"/>
      <c r="F340" s="18"/>
      <c r="G340" s="17"/>
      <c r="H340" s="19"/>
      <c r="I340" s="17"/>
      <c r="J340" s="20"/>
      <c r="K340" s="20"/>
    </row>
    <row r="341" spans="1:11" s="6" customFormat="1" x14ac:dyDescent="0.3">
      <c r="A341" s="16"/>
      <c r="B341" s="17"/>
      <c r="C341" s="17"/>
      <c r="D341" s="17"/>
      <c r="E341" s="18"/>
      <c r="F341" s="18"/>
      <c r="G341" s="17"/>
      <c r="H341" s="19"/>
      <c r="I341" s="17"/>
      <c r="J341" s="20"/>
      <c r="K341" s="20"/>
    </row>
    <row r="342" spans="1:11" s="6" customFormat="1" x14ac:dyDescent="0.3">
      <c r="A342" s="16"/>
      <c r="B342" s="17"/>
      <c r="C342" s="17"/>
      <c r="D342" s="17"/>
      <c r="E342" s="18"/>
      <c r="F342" s="18"/>
      <c r="G342" s="17"/>
      <c r="H342" s="19"/>
      <c r="I342" s="17"/>
      <c r="J342" s="20"/>
      <c r="K342" s="20"/>
    </row>
    <row r="343" spans="1:11" s="6" customFormat="1" x14ac:dyDescent="0.3">
      <c r="A343" s="16"/>
      <c r="B343" s="17"/>
      <c r="C343" s="17"/>
      <c r="D343" s="17"/>
      <c r="E343" s="18"/>
      <c r="F343" s="18"/>
      <c r="G343" s="17"/>
      <c r="H343" s="19"/>
      <c r="I343" s="17"/>
      <c r="J343" s="20"/>
      <c r="K343" s="20"/>
    </row>
    <row r="344" spans="1:11" s="6" customFormat="1" x14ac:dyDescent="0.3">
      <c r="A344" s="16"/>
      <c r="B344" s="17"/>
      <c r="C344" s="17"/>
      <c r="D344" s="17"/>
      <c r="E344" s="18"/>
      <c r="F344" s="18"/>
      <c r="G344" s="17"/>
      <c r="H344" s="19"/>
      <c r="I344" s="17"/>
      <c r="J344" s="20"/>
      <c r="K344" s="20"/>
    </row>
    <row r="345" spans="1:11" s="6" customFormat="1" x14ac:dyDescent="0.3">
      <c r="A345" s="16"/>
      <c r="B345" s="17"/>
      <c r="C345" s="17"/>
      <c r="D345" s="17"/>
      <c r="E345" s="18"/>
      <c r="F345" s="18"/>
      <c r="G345" s="17"/>
      <c r="H345" s="19"/>
      <c r="I345" s="17"/>
      <c r="J345" s="20"/>
      <c r="K345" s="20"/>
    </row>
    <row r="346" spans="1:11" s="6" customFormat="1" x14ac:dyDescent="0.3">
      <c r="A346" s="16"/>
      <c r="B346" s="17"/>
      <c r="C346" s="17"/>
      <c r="D346" s="17"/>
      <c r="E346" s="18"/>
      <c r="F346" s="18"/>
      <c r="G346" s="17"/>
      <c r="H346" s="19"/>
      <c r="I346" s="17"/>
      <c r="J346" s="20"/>
      <c r="K346" s="20"/>
    </row>
    <row r="347" spans="1:11" s="6" customFormat="1" x14ac:dyDescent="0.3">
      <c r="A347" s="16"/>
      <c r="B347" s="17"/>
      <c r="C347" s="17"/>
      <c r="D347" s="17"/>
      <c r="E347" s="18"/>
      <c r="F347" s="18"/>
      <c r="G347" s="17"/>
      <c r="H347" s="19"/>
      <c r="I347" s="17"/>
      <c r="J347" s="20"/>
      <c r="K347" s="20"/>
    </row>
    <row r="348" spans="1:11" s="6" customFormat="1" x14ac:dyDescent="0.3">
      <c r="A348" s="16"/>
      <c r="B348" s="17"/>
      <c r="C348" s="17"/>
      <c r="D348" s="17"/>
      <c r="E348" s="18"/>
      <c r="F348" s="18"/>
      <c r="G348" s="17"/>
      <c r="H348" s="19"/>
      <c r="I348" s="17"/>
      <c r="J348" s="20"/>
      <c r="K348" s="20"/>
    </row>
    <row r="349" spans="1:11" s="6" customFormat="1" x14ac:dyDescent="0.3">
      <c r="A349" s="16"/>
      <c r="B349" s="17"/>
      <c r="C349" s="17"/>
      <c r="D349" s="17"/>
      <c r="E349" s="18"/>
      <c r="F349" s="18"/>
      <c r="G349" s="17"/>
      <c r="H349" s="19"/>
      <c r="I349" s="17"/>
      <c r="J349" s="20"/>
      <c r="K349" s="20"/>
    </row>
    <row r="350" spans="1:11" s="6" customFormat="1" x14ac:dyDescent="0.3">
      <c r="A350" s="16"/>
      <c r="B350" s="17"/>
      <c r="C350" s="17"/>
      <c r="D350" s="17"/>
      <c r="E350" s="18"/>
      <c r="F350" s="18"/>
      <c r="G350" s="17"/>
      <c r="H350" s="19"/>
      <c r="I350" s="17"/>
      <c r="J350" s="20"/>
      <c r="K350" s="2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225</v>
      </c>
      <c r="D2" s="29">
        <f>SUM(B2:C2)</f>
        <v>1694</v>
      </c>
    </row>
    <row r="3" spans="1:4" x14ac:dyDescent="0.3">
      <c r="A3" s="32" t="s">
        <v>11</v>
      </c>
      <c r="B3" s="29">
        <v>8917</v>
      </c>
      <c r="C3" s="29">
        <f>224+59+2460+182</f>
        <v>2925</v>
      </c>
      <c r="D3" s="29">
        <f t="shared" ref="D3:D8" si="0">SUM(B3:C3)</f>
        <v>11842</v>
      </c>
    </row>
    <row r="4" spans="1:4" x14ac:dyDescent="0.3">
      <c r="A4" s="32" t="s">
        <v>18</v>
      </c>
      <c r="B4" s="29">
        <v>970</v>
      </c>
      <c r="C4" s="29">
        <f>3+85+70</f>
        <v>158</v>
      </c>
      <c r="D4" s="29">
        <f t="shared" si="0"/>
        <v>1128</v>
      </c>
    </row>
    <row r="5" spans="1:4" x14ac:dyDescent="0.3">
      <c r="A5" s="32" t="s">
        <v>16</v>
      </c>
      <c r="B5" s="29">
        <v>3118</v>
      </c>
      <c r="C5" s="29">
        <f>30+520+604+67+1+30</f>
        <v>1252</v>
      </c>
      <c r="D5" s="29">
        <f t="shared" si="0"/>
        <v>4370</v>
      </c>
    </row>
    <row r="6" spans="1:4" x14ac:dyDescent="0.3">
      <c r="A6" s="28" t="s">
        <v>15</v>
      </c>
      <c r="B6" s="29">
        <v>628</v>
      </c>
      <c r="C6" s="29">
        <f>10+28+93+156+2+96</f>
        <v>385</v>
      </c>
      <c r="D6" s="29">
        <f t="shared" si="0"/>
        <v>1013</v>
      </c>
    </row>
    <row r="7" spans="1:4" x14ac:dyDescent="0.3">
      <c r="A7" s="28" t="s">
        <v>17</v>
      </c>
      <c r="B7" s="29">
        <v>661</v>
      </c>
      <c r="C7" s="29">
        <v>159</v>
      </c>
      <c r="D7" s="29">
        <f t="shared" si="0"/>
        <v>820</v>
      </c>
    </row>
    <row r="8" spans="1:4" x14ac:dyDescent="0.3">
      <c r="A8" s="28" t="s">
        <v>13</v>
      </c>
      <c r="B8" s="29">
        <v>1020</v>
      </c>
      <c r="C8" s="29">
        <v>20</v>
      </c>
      <c r="D8" s="29">
        <f t="shared" si="0"/>
        <v>1040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2026-02-23T14:05:26Z</dcterms:modified>
</cp:coreProperties>
</file>