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8F54C75F-37B4-4BEA-A319-06839A87499A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LANC.!$A$1:$K$631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3" l="1"/>
  <c r="E6" i="3"/>
  <c r="E4" i="3"/>
  <c r="E3" i="3"/>
  <c r="F3" i="3" s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<sst xmlns="http://schemas.openxmlformats.org/spreadsheetml/2006/main" count="1319" uniqueCount="35">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</sst>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631" totalsRowShown="0" headerRowDxfId="13" dataDxfId="12" tableBorderDxfId="11">
  <autoFilter ref="A1:K63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597" activePane="bottomLeft" state="frozen"/>
      <selection pane="bottomLeft" activeCell="H632" sqref="H632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28">
        <v>46127</v>
      </c>
      <c r="B623" s="29" t="str">
        <f>UPPER(TEXT(A623,"MMMM"))</f>
        <v>ABRIL</v>
      </c>
      <c r="C623" s="12" t="s">
        <v>15</v>
      </c>
      <c r="D623" s="12" t="s">
        <v>12</v>
      </c>
      <c r="E623" s="30"/>
      <c r="F623" s="30"/>
      <c r="G623" s="29"/>
      <c r="H623" s="31"/>
      <c r="I623" s="29">
        <f>IFERROR(IF(T_PROD[[#This Row],[PREVISTO]]-T_PROD[[#This Row],[EFETIVO]]&lt; 0,0,T_PROD[[#This Row],[PREVISTO]]-T_PROD[[#This Row],[EFETIVO]] ),"")</f>
        <v>0</v>
      </c>
      <c r="J623" s="15" t="str">
        <f>IFERROR(IF(T_PROD[[#This Row],[META]]&gt;0,(T_PROD[[#This Row],[META]]/T_PROD[[#This Row],[PREVISTO]]),""),"")</f>
        <v/>
      </c>
      <c r="K623" s="15" t="str">
        <f>IFERROR(IF(T_PROD[[#This Row],[PRODUÇÃO]]&gt;0,(T_PROD[[#This Row],[PRODUÇÃO]]/T_PROD[[#This Row],[EFETIVO]]),""),"")</f>
        <v/>
      </c>
    </row>
    <row r="624" spans="1:11" s="6" customFormat="1" x14ac:dyDescent="0.3">
      <c r="A624" s="28">
        <v>46127</v>
      </c>
      <c r="B624" s="29" t="str">
        <f t="shared" ref="B624:B631" si="68">UPPER(TEXT(A624,"MMMM"))</f>
        <v>ABRIL</v>
      </c>
      <c r="C624" s="12" t="s">
        <v>16</v>
      </c>
      <c r="D624" s="12" t="s">
        <v>12</v>
      </c>
      <c r="E624" s="30"/>
      <c r="F624" s="30"/>
      <c r="G624" s="29"/>
      <c r="H624" s="31"/>
      <c r="I624" s="29">
        <f>IFERROR(IF(T_PROD[[#This Row],[PREVISTO]]-T_PROD[[#This Row],[EFETIVO]]&lt; 0,0,T_PROD[[#This Row],[PREVISTO]]-T_PROD[[#This Row],[EFETIVO]] ),"")</f>
        <v>0</v>
      </c>
      <c r="J624" s="15" t="str">
        <f>IFERROR(IF(T_PROD[[#This Row],[META]]&gt;0,(T_PROD[[#This Row],[META]]/T_PROD[[#This Row],[PREVISTO]]),""),"")</f>
        <v/>
      </c>
      <c r="K624" s="15" t="str">
        <f>IFERROR(IF(T_PROD[[#This Row],[PRODUÇÃO]]&gt;0,(T_PROD[[#This Row],[PRODUÇÃO]]/T_PROD[[#This Row],[EFETIVO]]),""),"")</f>
        <v/>
      </c>
    </row>
    <row r="625" spans="1:11" s="6" customFormat="1" x14ac:dyDescent="0.3">
      <c r="A625" s="28">
        <v>46127</v>
      </c>
      <c r="B625" s="29" t="str">
        <f t="shared" si="68"/>
        <v>ABRIL</v>
      </c>
      <c r="C625" s="12" t="s">
        <v>17</v>
      </c>
      <c r="D625" s="12" t="s">
        <v>12</v>
      </c>
      <c r="E625" s="30"/>
      <c r="F625" s="30"/>
      <c r="G625" s="29"/>
      <c r="H625" s="31"/>
      <c r="I625" s="29">
        <f>IFERROR(IF(T_PROD[[#This Row],[PREVISTO]]-T_PROD[[#This Row],[EFETIVO]]&lt; 0,0,T_PROD[[#This Row],[PREVISTO]]-T_PROD[[#This Row],[EFETIVO]] ),"")</f>
        <v>0</v>
      </c>
      <c r="J625" s="15" t="str">
        <f>IFERROR(IF(T_PROD[[#This Row],[META]]&gt;0,(T_PROD[[#This Row],[META]]/T_PROD[[#This Row],[PREVISTO]]),""),"")</f>
        <v/>
      </c>
      <c r="K625" s="15" t="str">
        <f>IFERROR(IF(T_PROD[[#This Row],[PRODUÇÃO]]&gt;0,(T_PROD[[#This Row],[PRODUÇÃO]]/T_PROD[[#This Row],[EFETIVO]]),""),"")</f>
        <v/>
      </c>
    </row>
    <row r="626" spans="1:11" s="6" customFormat="1" x14ac:dyDescent="0.3">
      <c r="A626" s="28">
        <v>46127</v>
      </c>
      <c r="B626" s="29" t="str">
        <f t="shared" si="68"/>
        <v>ABRIL</v>
      </c>
      <c r="C626" s="12" t="s">
        <v>18</v>
      </c>
      <c r="D626" s="12" t="s">
        <v>12</v>
      </c>
      <c r="E626" s="30"/>
      <c r="F626" s="30"/>
      <c r="G626" s="29"/>
      <c r="H626" s="31"/>
      <c r="I626" s="29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28">
        <v>46127</v>
      </c>
      <c r="B627" s="29" t="str">
        <f t="shared" si="68"/>
        <v>ABRIL</v>
      </c>
      <c r="C627" s="12" t="s">
        <v>19</v>
      </c>
      <c r="D627" s="12" t="s">
        <v>12</v>
      </c>
      <c r="E627" s="30"/>
      <c r="F627" s="30"/>
      <c r="G627" s="29"/>
      <c r="H627" s="31"/>
      <c r="I627" s="29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28">
        <v>46127</v>
      </c>
      <c r="B628" s="29" t="str">
        <f t="shared" si="68"/>
        <v>ABRIL</v>
      </c>
      <c r="C628" s="12" t="s">
        <v>20</v>
      </c>
      <c r="D628" s="12" t="s">
        <v>12</v>
      </c>
      <c r="E628" s="30"/>
      <c r="F628" s="30"/>
      <c r="G628" s="29"/>
      <c r="H628" s="31"/>
      <c r="I628" s="29">
        <f>IFERROR(IF(T_PROD[[#This Row],[PREVISTO]]-T_PROD[[#This Row],[EFETIVO]]&lt; 0,0,T_PROD[[#This Row],[PREVISTO]]-T_PROD[[#This Row],[EFETIVO]] ),"")</f>
        <v>0</v>
      </c>
      <c r="J628" s="15" t="str">
        <f>IFERROR(IF(T_PROD[[#This Row],[META]]&gt;0,(T_PROD[[#This Row],[META]]/T_PROD[[#This Row],[PREVISTO]]),""),"")</f>
        <v/>
      </c>
      <c r="K628" s="15" t="str">
        <f>IFERROR(IF(T_PROD[[#This Row],[PRODUÇÃO]]&gt;0,(T_PROD[[#This Row],[PRODUÇÃO]]/T_PROD[[#This Row],[EFETIVO]]),""),"")</f>
        <v/>
      </c>
    </row>
    <row r="629" spans="1:11" s="6" customFormat="1" x14ac:dyDescent="0.3">
      <c r="A629" s="28">
        <v>46127</v>
      </c>
      <c r="B629" s="29" t="str">
        <f t="shared" si="68"/>
        <v>ABRIL</v>
      </c>
      <c r="C629" s="12" t="s">
        <v>11</v>
      </c>
      <c r="D629" s="12" t="s">
        <v>12</v>
      </c>
      <c r="E629" s="30">
        <v>252</v>
      </c>
      <c r="F629" s="30">
        <v>265</v>
      </c>
      <c r="G629" s="29">
        <v>14</v>
      </c>
      <c r="H629" s="31">
        <v>14</v>
      </c>
      <c r="I629" s="29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28">
        <v>46127</v>
      </c>
      <c r="B630" s="29" t="str">
        <f t="shared" si="68"/>
        <v>ABRIL</v>
      </c>
      <c r="C630" s="12" t="s">
        <v>32</v>
      </c>
      <c r="D630" s="12" t="s">
        <v>12</v>
      </c>
      <c r="E630" s="30">
        <v>150</v>
      </c>
      <c r="F630" s="30">
        <v>158</v>
      </c>
      <c r="G630" s="29">
        <v>15</v>
      </c>
      <c r="H630" s="31">
        <v>14</v>
      </c>
      <c r="I630" s="29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28">
        <v>46127</v>
      </c>
      <c r="B631" s="29" t="str">
        <f t="shared" si="68"/>
        <v>ABRIL</v>
      </c>
      <c r="C631" s="12" t="s">
        <v>14</v>
      </c>
      <c r="D631" s="12" t="s">
        <v>12</v>
      </c>
      <c r="E631" s="30">
        <v>402</v>
      </c>
      <c r="F631" s="30">
        <v>423</v>
      </c>
      <c r="G631" s="29">
        <v>67</v>
      </c>
      <c r="H631" s="31">
        <v>62</v>
      </c>
      <c r="I631" s="29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16"/>
      <c r="B885" s="17"/>
      <c r="C885" s="17"/>
      <c r="D885" s="17"/>
      <c r="E885" s="18"/>
      <c r="F885" s="18"/>
      <c r="G885" s="17"/>
      <c r="H885" s="19"/>
      <c r="I885" s="17"/>
      <c r="J885" s="20"/>
      <c r="K885" s="20"/>
    </row>
    <row r="886" spans="1:11" s="6" customFormat="1" x14ac:dyDescent="0.3">
      <c r="A886" s="16"/>
      <c r="B886" s="17"/>
      <c r="C886" s="17"/>
      <c r="D886" s="17"/>
      <c r="E886" s="18"/>
      <c r="F886" s="18"/>
      <c r="G886" s="17"/>
      <c r="H886" s="19"/>
      <c r="I886" s="17"/>
      <c r="J886" s="20"/>
      <c r="K886" s="20"/>
    </row>
    <row r="887" spans="1:11" s="6" customFormat="1" x14ac:dyDescent="0.3">
      <c r="A887" s="16"/>
      <c r="B887" s="17"/>
      <c r="C887" s="17"/>
      <c r="D887" s="17"/>
      <c r="E887" s="18"/>
      <c r="F887" s="18"/>
      <c r="G887" s="17"/>
      <c r="H887" s="19"/>
      <c r="I887" s="17"/>
      <c r="J887" s="20"/>
      <c r="K887" s="20"/>
    </row>
    <row r="888" spans="1:11" s="6" customFormat="1" x14ac:dyDescent="0.3">
      <c r="A888" s="16"/>
      <c r="B888" s="17"/>
      <c r="C888" s="17"/>
      <c r="D888" s="17"/>
      <c r="E888" s="18"/>
      <c r="F888" s="18"/>
      <c r="G888" s="17"/>
      <c r="H888" s="19"/>
      <c r="I888" s="17"/>
      <c r="J888" s="20"/>
      <c r="K888" s="20"/>
    </row>
    <row r="889" spans="1:11" s="6" customFormat="1" x14ac:dyDescent="0.3">
      <c r="A889" s="16"/>
      <c r="B889" s="17"/>
      <c r="C889" s="17"/>
      <c r="D889" s="17"/>
      <c r="E889" s="18"/>
      <c r="F889" s="18"/>
      <c r="G889" s="17"/>
      <c r="H889" s="19"/>
      <c r="I889" s="17"/>
      <c r="J889" s="20"/>
      <c r="K889" s="20"/>
    </row>
    <row r="890" spans="1:11" s="6" customFormat="1" x14ac:dyDescent="0.3">
      <c r="A890" s="16"/>
      <c r="B890" s="17"/>
      <c r="C890" s="17"/>
      <c r="D890" s="17"/>
      <c r="E890" s="18"/>
      <c r="F890" s="18"/>
      <c r="G890" s="17"/>
      <c r="H890" s="19"/>
      <c r="I890" s="17"/>
      <c r="J890" s="20"/>
      <c r="K890" s="20"/>
    </row>
    <row r="891" spans="1:11" s="6" customFormat="1" x14ac:dyDescent="0.3">
      <c r="A891" s="16"/>
      <c r="B891" s="17"/>
      <c r="C891" s="17"/>
      <c r="D891" s="17"/>
      <c r="E891" s="18"/>
      <c r="F891" s="18"/>
      <c r="G891" s="17"/>
      <c r="H891" s="19"/>
      <c r="I891" s="17"/>
      <c r="J891" s="20"/>
      <c r="K891" s="20"/>
    </row>
    <row r="892" spans="1:11" s="6" customFormat="1" x14ac:dyDescent="0.3">
      <c r="A892" s="16"/>
      <c r="B892" s="17"/>
      <c r="C892" s="17"/>
      <c r="D892" s="17"/>
      <c r="E892" s="18"/>
      <c r="F892" s="18"/>
      <c r="G892" s="17"/>
      <c r="H892" s="19"/>
      <c r="I892" s="17"/>
      <c r="J892" s="20"/>
      <c r="K892" s="20"/>
    </row>
    <row r="893" spans="1:11" s="6" customFormat="1" x14ac:dyDescent="0.3">
      <c r="A893" s="16"/>
      <c r="B893" s="17"/>
      <c r="C893" s="17"/>
      <c r="D893" s="17"/>
      <c r="E893" s="18"/>
      <c r="F893" s="18"/>
      <c r="G893" s="17"/>
      <c r="H893" s="19"/>
      <c r="I893" s="17"/>
      <c r="J893" s="20"/>
      <c r="K893" s="20"/>
    </row>
    <row r="894" spans="1:11" s="6" customFormat="1" x14ac:dyDescent="0.3">
      <c r="A894" s="16"/>
      <c r="B894" s="17"/>
      <c r="C894" s="17"/>
      <c r="D894" s="17"/>
      <c r="E894" s="18"/>
      <c r="F894" s="18"/>
      <c r="G894" s="17"/>
      <c r="H894" s="19"/>
      <c r="I894" s="17"/>
      <c r="J894" s="20"/>
      <c r="K894" s="20"/>
    </row>
    <row r="895" spans="1:11" s="6" customFormat="1" x14ac:dyDescent="0.3">
      <c r="A895" s="16"/>
      <c r="B895" s="17"/>
      <c r="C895" s="17"/>
      <c r="D895" s="17"/>
      <c r="E895" s="18"/>
      <c r="F895" s="18"/>
      <c r="G895" s="17"/>
      <c r="H895" s="19"/>
      <c r="I895" s="17"/>
      <c r="J895" s="20"/>
      <c r="K895" s="20"/>
    </row>
    <row r="896" spans="1:11" s="6" customFormat="1" x14ac:dyDescent="0.3">
      <c r="A896" s="16"/>
      <c r="B896" s="17"/>
      <c r="C896" s="17"/>
      <c r="D896" s="17"/>
      <c r="E896" s="18"/>
      <c r="F896" s="18"/>
      <c r="G896" s="17"/>
      <c r="H896" s="19"/>
      <c r="I896" s="17"/>
      <c r="J896" s="20"/>
      <c r="K896" s="20"/>
    </row>
    <row r="897" spans="1:11" s="6" customFormat="1" x14ac:dyDescent="0.3">
      <c r="A897" s="16"/>
      <c r="B897" s="17"/>
      <c r="C897" s="17"/>
      <c r="D897" s="17"/>
      <c r="E897" s="18"/>
      <c r="F897" s="18"/>
      <c r="G897" s="17"/>
      <c r="H897" s="19"/>
      <c r="I897" s="17"/>
      <c r="J897" s="20"/>
      <c r="K897" s="20"/>
    </row>
    <row r="898" spans="1:11" s="6" customFormat="1" x14ac:dyDescent="0.3">
      <c r="A898" s="16"/>
      <c r="B898" s="17"/>
      <c r="C898" s="17"/>
      <c r="D898" s="17"/>
      <c r="E898" s="18"/>
      <c r="F898" s="18"/>
      <c r="G898" s="17"/>
      <c r="H898" s="19"/>
      <c r="I898" s="17"/>
      <c r="J898" s="20"/>
      <c r="K898" s="20"/>
    </row>
    <row r="899" spans="1:11" s="6" customFormat="1" x14ac:dyDescent="0.3">
      <c r="A899" s="16"/>
      <c r="B899" s="17"/>
      <c r="C899" s="17"/>
      <c r="D899" s="17"/>
      <c r="E899" s="18"/>
      <c r="F899" s="18"/>
      <c r="G899" s="17"/>
      <c r="H899" s="19"/>
      <c r="I899" s="17"/>
      <c r="J899" s="20"/>
      <c r="K899" s="20"/>
    </row>
    <row r="900" spans="1:11" s="6" customFormat="1" x14ac:dyDescent="0.3">
      <c r="A900" s="16"/>
      <c r="B900" s="17"/>
      <c r="C900" s="17"/>
      <c r="D900" s="17"/>
      <c r="E900" s="18"/>
      <c r="F900" s="18"/>
      <c r="G900" s="17"/>
      <c r="H900" s="19"/>
      <c r="I900" s="17"/>
      <c r="J900" s="20"/>
      <c r="K900" s="2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tabSelected="1" workbookViewId="0">
      <selection activeCell="I14" sqref="I14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573</v>
      </c>
      <c r="F2" s="24">
        <f>SUM(B2:E2)</f>
        <v>4487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825+1+4+53+24+2529+60</f>
        <v>3496</v>
      </c>
      <c r="F3" s="24">
        <f t="shared" ref="F3:F7" si="0">SUM(B3:E3)</f>
        <v>26125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30+1+57</f>
        <v>88</v>
      </c>
      <c r="F4" s="24">
        <f t="shared" si="0"/>
        <v>1767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414+850+51+2+15</f>
        <v>1332</v>
      </c>
      <c r="F5" s="24">
        <f t="shared" si="0"/>
        <v>10569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153+201+75+27+38</f>
        <v>494</v>
      </c>
      <c r="F6" s="24">
        <f t="shared" si="0"/>
        <v>3014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57</v>
      </c>
      <c r="F7" s="24">
        <f t="shared" si="0"/>
        <v>2153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</v>
      </c>
      <c r="F8" s="24">
        <f>SUM(B8:E8)</f>
        <v>1123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2026-04-16T10:52:26Z</dcterms:modified>
</cp:coreProperties>
</file>