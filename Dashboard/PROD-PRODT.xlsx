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627434A3-6878-4332-BAF1-7DEDAB1F1CED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LANC.!$A$1:$K$973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966" i="1" l="1"/>
  <c r="B967" i="1"/>
  <c r="B968" i="1"/>
  <c r="B969" i="1"/>
  <c r="B970" i="1"/>
  <c r="B971" i="1"/>
  <c r="B972" i="1"/>
  <c r="B973" i="1"/>
  <c r="I966" i="1"/>
  <c r="I967" i="1"/>
  <c r="I968" i="1"/>
  <c r="I969" i="1"/>
  <c r="I970" i="1"/>
  <c r="I971" i="1"/>
  <c r="I972" i="1"/>
  <c r="I973" i="1"/>
  <c r="J966" i="1"/>
  <c r="J967" i="1"/>
  <c r="J968" i="1"/>
  <c r="J969" i="1"/>
  <c r="J970" i="1"/>
  <c r="J971" i="1"/>
  <c r="J972" i="1"/>
  <c r="J973" i="1"/>
  <c r="K966" i="1"/>
  <c r="K967" i="1"/>
  <c r="K968" i="1"/>
  <c r="K969" i="1"/>
  <c r="K970" i="1"/>
  <c r="K971" i="1"/>
  <c r="K972" i="1"/>
  <c r="K973" i="1"/>
  <c r="B965" i="1"/>
  <c r="I965" i="1"/>
  <c r="J965" i="1"/>
  <c r="K965" i="1"/>
  <c r="B957" i="1"/>
  <c r="B958" i="1"/>
  <c r="B959" i="1"/>
  <c r="B960" i="1"/>
  <c r="B961" i="1"/>
  <c r="B962" i="1"/>
  <c r="B963" i="1"/>
  <c r="B964" i="1"/>
  <c r="I957" i="1"/>
  <c r="I958" i="1"/>
  <c r="I959" i="1"/>
  <c r="I960" i="1"/>
  <c r="I961" i="1"/>
  <c r="I962" i="1"/>
  <c r="I963" i="1"/>
  <c r="I964" i="1"/>
  <c r="J957" i="1"/>
  <c r="J958" i="1"/>
  <c r="J959" i="1"/>
  <c r="J960" i="1"/>
  <c r="J961" i="1"/>
  <c r="J962" i="1"/>
  <c r="J963" i="1"/>
  <c r="J964" i="1"/>
  <c r="K957" i="1"/>
  <c r="K958" i="1"/>
  <c r="K959" i="1"/>
  <c r="K960" i="1"/>
  <c r="K961" i="1"/>
  <c r="K962" i="1"/>
  <c r="K963" i="1"/>
  <c r="K964" i="1"/>
  <c r="B956" i="1"/>
  <c r="I956" i="1"/>
  <c r="J956" i="1"/>
  <c r="K956" i="1"/>
  <c r="B948" i="1"/>
  <c r="B949" i="1"/>
  <c r="B950" i="1"/>
  <c r="B951" i="1"/>
  <c r="B952" i="1"/>
  <c r="B953" i="1"/>
  <c r="B954" i="1"/>
  <c r="B955" i="1"/>
  <c r="I948" i="1"/>
  <c r="I949" i="1"/>
  <c r="I950" i="1"/>
  <c r="I951" i="1"/>
  <c r="I952" i="1"/>
  <c r="I953" i="1"/>
  <c r="I954" i="1"/>
  <c r="I955" i="1"/>
  <c r="J948" i="1"/>
  <c r="J949" i="1"/>
  <c r="J950" i="1"/>
  <c r="J951" i="1"/>
  <c r="J952" i="1"/>
  <c r="J953" i="1"/>
  <c r="J954" i="1"/>
  <c r="J955" i="1"/>
  <c r="K948" i="1"/>
  <c r="K949" i="1"/>
  <c r="K950" i="1"/>
  <c r="K951" i="1"/>
  <c r="K952" i="1"/>
  <c r="K953" i="1"/>
  <c r="K954" i="1"/>
  <c r="K955" i="1"/>
  <c r="B947" i="1"/>
  <c r="I947" i="1"/>
  <c r="J947" i="1"/>
  <c r="K947" i="1"/>
  <c r="B939" i="1"/>
  <c r="B940" i="1"/>
  <c r="B941" i="1"/>
  <c r="B942" i="1"/>
  <c r="B943" i="1"/>
  <c r="B944" i="1"/>
  <c r="B945" i="1"/>
  <c r="B946" i="1"/>
  <c r="I939" i="1"/>
  <c r="I940" i="1"/>
  <c r="I941" i="1"/>
  <c r="I942" i="1"/>
  <c r="I943" i="1"/>
  <c r="I944" i="1"/>
  <c r="I945" i="1"/>
  <c r="I946" i="1"/>
  <c r="J939" i="1"/>
  <c r="J940" i="1"/>
  <c r="J941" i="1"/>
  <c r="J942" i="1"/>
  <c r="J943" i="1"/>
  <c r="J944" i="1"/>
  <c r="J945" i="1"/>
  <c r="J946" i="1"/>
  <c r="K939" i="1"/>
  <c r="K940" i="1"/>
  <c r="K941" i="1"/>
  <c r="K942" i="1"/>
  <c r="K943" i="1"/>
  <c r="K944" i="1"/>
  <c r="K945" i="1"/>
  <c r="K946" i="1"/>
  <c r="B938" i="1"/>
  <c r="I938" i="1"/>
  <c r="J938" i="1"/>
  <c r="K938" i="1"/>
  <c r="H3" i="3"/>
  <c r="H4" i="3"/>
  <c r="H5" i="3"/>
  <c r="H6" i="3"/>
  <c r="H7" i="3"/>
  <c r="H8" i="3"/>
  <c r="H2" i="3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H2" i="2"/>
  <c r="I2" i="2"/>
  <c r="H3" i="2"/>
  <c r="I3" i="2"/>
  <c r="H4" i="2"/>
  <c r="I4" i="2"/>
  <c r="H5" i="2"/>
  <c r="I5" i="2"/>
  <c r="H6" i="2"/>
  <c r="I6" i="2"/>
  <c r="H7" i="2"/>
  <c r="I7" i="2"/>
  <c r="H8" i="2"/>
  <c r="I8" i="2"/>
  <c r="H9" i="2"/>
  <c r="I9" i="2"/>
  <c r="H10" i="2"/>
  <c r="I10" i="2"/>
  <c r="H11" i="2"/>
  <c r="I11" i="2"/>
  <c r="H12" i="2"/>
  <c r="I12" i="2"/>
  <c r="H13" i="2"/>
  <c r="I13" i="2"/>
  <c r="H14" i="2"/>
  <c r="I14" i="2"/>
  <c r="H15" i="2"/>
  <c r="I15" i="2"/>
  <c r="H16" i="2"/>
  <c r="I16" i="2"/>
  <c r="H17" i="2"/>
  <c r="I17" i="2"/>
  <c r="H18" i="2"/>
  <c r="I18" i="2"/>
  <c r="H19" i="2"/>
  <c r="I19" i="2"/>
  <c r="H20" i="2"/>
  <c r="I20" i="2"/>
  <c r="H21" i="2"/>
  <c r="I21" i="2"/>
  <c r="H22" i="2"/>
  <c r="I22" i="2"/>
  <c r="H23" i="2"/>
  <c r="I23" i="2"/>
  <c r="H24" i="2"/>
  <c r="I24" i="2"/>
  <c r="H25" i="2"/>
  <c r="I25" i="2"/>
  <c r="H26" i="2"/>
  <c r="I26" i="2"/>
  <c r="H27" i="2"/>
  <c r="I27" i="2"/>
  <c r="H28" i="2"/>
  <c r="I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<sst xmlns="http://schemas.openxmlformats.org/spreadsheetml/2006/main" count="2008" uniqueCount="39">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</sst>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973" totalsRowShown="0" headerRowDxfId="13" dataDxfId="12" tableBorderDxfId="11">
  <autoFilter ref="A1:K973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172"/>
  <sheetViews>
    <sheetView showGridLines="0" tabSelected="1" zoomScale="70" zoomScaleNormal="70" zoomScaleSheetLayoutView="70" workbookViewId="0">
      <pane ySplit="1" topLeftCell="A945" activePane="bottomLeft" state="frozen"/>
      <selection pane="bottomLeft" activeCell="R969" sqref="R969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11">
        <v>46181</v>
      </c>
      <c r="B929" s="12" t="str">
        <f>UPPER(TEXT(A929,"MMMM"))</f>
        <v>JUNHO</v>
      </c>
      <c r="C929" s="12" t="s">
        <v>15</v>
      </c>
      <c r="D929" s="12" t="s">
        <v>12</v>
      </c>
      <c r="E929" s="13">
        <v>30</v>
      </c>
      <c r="F929" s="13">
        <v>21</v>
      </c>
      <c r="G929" s="12">
        <v>2</v>
      </c>
      <c r="H929" s="14">
        <v>2</v>
      </c>
      <c r="I929" s="12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 x14ac:dyDescent="0.3">
      <c r="A930" s="11">
        <v>46181</v>
      </c>
      <c r="B930" s="12" t="str">
        <f t="shared" ref="B930:B937" si="102">UPPER(TEXT(A930,"MMMM"))</f>
        <v>JUNHO</v>
      </c>
      <c r="C930" s="12" t="s">
        <v>16</v>
      </c>
      <c r="D930" s="12" t="s">
        <v>12</v>
      </c>
      <c r="E930" s="13">
        <v>170</v>
      </c>
      <c r="F930" s="13">
        <v>38</v>
      </c>
      <c r="G930" s="12">
        <v>5</v>
      </c>
      <c r="H930" s="14">
        <v>5</v>
      </c>
      <c r="I930" s="12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 x14ac:dyDescent="0.3">
      <c r="A931" s="11">
        <v>46181</v>
      </c>
      <c r="B931" s="12" t="str">
        <f t="shared" si="102"/>
        <v>JUNHO</v>
      </c>
      <c r="C931" s="12" t="s">
        <v>17</v>
      </c>
      <c r="D931" s="12" t="s">
        <v>12</v>
      </c>
      <c r="E931" s="13">
        <v>160</v>
      </c>
      <c r="F931" s="13">
        <v>126</v>
      </c>
      <c r="G931" s="12">
        <v>10</v>
      </c>
      <c r="H931" s="14">
        <v>10</v>
      </c>
      <c r="I931" s="12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 x14ac:dyDescent="0.3">
      <c r="A932" s="11">
        <v>46181</v>
      </c>
      <c r="B932" s="12" t="str">
        <f t="shared" si="102"/>
        <v>JUNHO</v>
      </c>
      <c r="C932" s="12" t="s">
        <v>18</v>
      </c>
      <c r="D932" s="12" t="s">
        <v>12</v>
      </c>
      <c r="E932" s="13"/>
      <c r="F932" s="13"/>
      <c r="G932" s="12"/>
      <c r="H932" s="14"/>
      <c r="I932" s="12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 x14ac:dyDescent="0.3">
      <c r="A933" s="11">
        <v>46181</v>
      </c>
      <c r="B933" s="12" t="str">
        <f t="shared" si="102"/>
        <v>JUNHO</v>
      </c>
      <c r="C933" s="12" t="s">
        <v>19</v>
      </c>
      <c r="D933" s="12" t="s">
        <v>12</v>
      </c>
      <c r="E933" s="13"/>
      <c r="F933" s="13"/>
      <c r="G933" s="12"/>
      <c r="H933" s="14"/>
      <c r="I933" s="12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 x14ac:dyDescent="0.3">
      <c r="A934" s="11">
        <v>46181</v>
      </c>
      <c r="B934" s="12" t="str">
        <f t="shared" si="102"/>
        <v>JUNHO</v>
      </c>
      <c r="C934" s="12" t="s">
        <v>20</v>
      </c>
      <c r="D934" s="12" t="s">
        <v>12</v>
      </c>
      <c r="E934" s="13">
        <v>360</v>
      </c>
      <c r="F934" s="13">
        <v>185</v>
      </c>
      <c r="G934" s="12">
        <v>90</v>
      </c>
      <c r="H934" s="14">
        <v>90</v>
      </c>
      <c r="I934" s="12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 x14ac:dyDescent="0.3">
      <c r="A935" s="11">
        <v>46181</v>
      </c>
      <c r="B935" s="12" t="str">
        <f t="shared" si="102"/>
        <v>JUNHO</v>
      </c>
      <c r="C935" s="12" t="s">
        <v>11</v>
      </c>
      <c r="D935" s="12" t="s">
        <v>12</v>
      </c>
      <c r="E935" s="13">
        <v>640</v>
      </c>
      <c r="F935" s="13">
        <v>680</v>
      </c>
      <c r="G935" s="12">
        <v>32</v>
      </c>
      <c r="H935" s="14">
        <v>32</v>
      </c>
      <c r="I935" s="12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 x14ac:dyDescent="0.3">
      <c r="A936" s="11">
        <v>46181</v>
      </c>
      <c r="B936" s="12" t="str">
        <f t="shared" si="102"/>
        <v>JUNHO</v>
      </c>
      <c r="C936" s="12" t="s">
        <v>32</v>
      </c>
      <c r="D936" s="12" t="s">
        <v>12</v>
      </c>
      <c r="E936" s="13">
        <v>99</v>
      </c>
      <c r="F936" s="13">
        <v>101</v>
      </c>
      <c r="G936" s="12">
        <v>9</v>
      </c>
      <c r="H936" s="14">
        <v>9</v>
      </c>
      <c r="I936" s="12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 x14ac:dyDescent="0.3">
      <c r="A937" s="11">
        <v>46181</v>
      </c>
      <c r="B937" s="12" t="str">
        <f t="shared" si="102"/>
        <v>JUNHO</v>
      </c>
      <c r="C937" s="12" t="s">
        <v>14</v>
      </c>
      <c r="D937" s="12" t="s">
        <v>12</v>
      </c>
      <c r="E937" s="13">
        <v>739</v>
      </c>
      <c r="F937" s="13">
        <v>781</v>
      </c>
      <c r="G937" s="12">
        <v>95</v>
      </c>
      <c r="H937" s="14">
        <v>93</v>
      </c>
      <c r="I937" s="12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 x14ac:dyDescent="0.3">
      <c r="A938" s="11">
        <v>46182</v>
      </c>
      <c r="B938" s="12" t="str">
        <f>UPPER(TEXT(A938,"MMMM"))</f>
        <v>JUNHO</v>
      </c>
      <c r="C938" s="12" t="s">
        <v>15</v>
      </c>
      <c r="D938" s="12" t="s">
        <v>12</v>
      </c>
      <c r="E938" s="13">
        <v>75</v>
      </c>
      <c r="F938" s="13">
        <v>34</v>
      </c>
      <c r="G938" s="12">
        <v>5</v>
      </c>
      <c r="H938" s="14">
        <v>5</v>
      </c>
      <c r="I938" s="12">
        <f>IFERROR(IF(T_PROD[[#This Row],[PREVISTO]]-T_PROD[[#This Row],[EFETIVO]]&lt; 0,0,T_PROD[[#This Row],[PREVISTO]]-T_PROD[[#This Row],[EFETIVO]] ),"")</f>
        <v>0</v>
      </c>
      <c r="J938" s="15">
        <f>IFERROR(IF(T_PROD[[#This Row],[META]]&gt;0,(T_PROD[[#This Row],[META]]/T_PROD[[#This Row],[PREVISTO]]),""),"")</f>
        <v>15</v>
      </c>
      <c r="K938" s="15">
        <f>IFERROR(IF(T_PROD[[#This Row],[PRODUÇÃO]]&gt;0,(T_PROD[[#This Row],[PRODUÇÃO]]/T_PROD[[#This Row],[EFETIVO]]),""),"")</f>
        <v>6.8</v>
      </c>
    </row>
    <row r="939" spans="1:11" s="6" customFormat="1" x14ac:dyDescent="0.3">
      <c r="A939" s="11">
        <v>46182</v>
      </c>
      <c r="B939" s="12" t="str">
        <f t="shared" ref="B939:B946" si="103">UPPER(TEXT(A939,"MMMM"))</f>
        <v>JUNHO</v>
      </c>
      <c r="C939" s="12" t="s">
        <v>16</v>
      </c>
      <c r="D939" s="12" t="s">
        <v>12</v>
      </c>
      <c r="E939" s="13">
        <v>68</v>
      </c>
      <c r="F939" s="13">
        <v>34</v>
      </c>
      <c r="G939" s="12">
        <v>2</v>
      </c>
      <c r="H939" s="14">
        <v>2</v>
      </c>
      <c r="I939" s="12">
        <f>IFERROR(IF(T_PROD[[#This Row],[PREVISTO]]-T_PROD[[#This Row],[EFETIVO]]&lt; 0,0,T_PROD[[#This Row],[PREVISTO]]-T_PROD[[#This Row],[EFETIVO]] ),"")</f>
        <v>0</v>
      </c>
      <c r="J939" s="15">
        <f>IFERROR(IF(T_PROD[[#This Row],[META]]&gt;0,(T_PROD[[#This Row],[META]]/T_PROD[[#This Row],[PREVISTO]]),""),"")</f>
        <v>34</v>
      </c>
      <c r="K939" s="15">
        <f>IFERROR(IF(T_PROD[[#This Row],[PRODUÇÃO]]&gt;0,(T_PROD[[#This Row],[PRODUÇÃO]]/T_PROD[[#This Row],[EFETIVO]]),""),"")</f>
        <v>17</v>
      </c>
    </row>
    <row r="940" spans="1:11" s="6" customFormat="1" x14ac:dyDescent="0.3">
      <c r="A940" s="11">
        <v>46182</v>
      </c>
      <c r="B940" s="12" t="str">
        <f t="shared" si="103"/>
        <v>JUNHO</v>
      </c>
      <c r="C940" s="12" t="s">
        <v>17</v>
      </c>
      <c r="D940" s="12" t="s">
        <v>12</v>
      </c>
      <c r="E940" s="13">
        <v>176</v>
      </c>
      <c r="F940" s="13">
        <v>119</v>
      </c>
      <c r="G940" s="12">
        <v>11</v>
      </c>
      <c r="H940" s="14">
        <v>11</v>
      </c>
      <c r="I940" s="12">
        <f>IFERROR(IF(T_PROD[[#This Row],[PREVISTO]]-T_PROD[[#This Row],[EFETIVO]]&lt; 0,0,T_PROD[[#This Row],[PREVISTO]]-T_PROD[[#This Row],[EFETIVO]] ),"")</f>
        <v>0</v>
      </c>
      <c r="J940" s="15">
        <f>IFERROR(IF(T_PROD[[#This Row],[META]]&gt;0,(T_PROD[[#This Row],[META]]/T_PROD[[#This Row],[PREVISTO]]),""),"")</f>
        <v>16</v>
      </c>
      <c r="K940" s="15">
        <f>IFERROR(IF(T_PROD[[#This Row],[PRODUÇÃO]]&gt;0,(T_PROD[[#This Row],[PRODUÇÃO]]/T_PROD[[#This Row],[EFETIVO]]),""),"")</f>
        <v>10.818181818181818</v>
      </c>
    </row>
    <row r="941" spans="1:11" s="6" customFormat="1" x14ac:dyDescent="0.3">
      <c r="A941" s="11">
        <v>46182</v>
      </c>
      <c r="B941" s="12" t="str">
        <f t="shared" si="103"/>
        <v>JUNHO</v>
      </c>
      <c r="C941" s="12" t="s">
        <v>18</v>
      </c>
      <c r="D941" s="12" t="s">
        <v>12</v>
      </c>
      <c r="E941" s="13"/>
      <c r="F941" s="13"/>
      <c r="G941" s="12"/>
      <c r="H941" s="14"/>
      <c r="I941" s="12">
        <f>IFERROR(IF(T_PROD[[#This Row],[PREVISTO]]-T_PROD[[#This Row],[EFETIVO]]&lt; 0,0,T_PROD[[#This Row],[PREVISTO]]-T_PROD[[#This Row],[EFETIVO]] ),"")</f>
        <v>0</v>
      </c>
      <c r="J941" s="15" t="str">
        <f>IFERROR(IF(T_PROD[[#This Row],[META]]&gt;0,(T_PROD[[#This Row],[META]]/T_PROD[[#This Row],[PREVISTO]]),""),"")</f>
        <v/>
      </c>
      <c r="K941" s="15" t="str">
        <f>IFERROR(IF(T_PROD[[#This Row],[PRODUÇÃO]]&gt;0,(T_PROD[[#This Row],[PRODUÇÃO]]/T_PROD[[#This Row],[EFETIVO]]),""),"")</f>
        <v/>
      </c>
    </row>
    <row r="942" spans="1:11" s="6" customFormat="1" x14ac:dyDescent="0.3">
      <c r="A942" s="11">
        <v>46182</v>
      </c>
      <c r="B942" s="12" t="str">
        <f t="shared" si="103"/>
        <v>JUNHO</v>
      </c>
      <c r="C942" s="12" t="s">
        <v>19</v>
      </c>
      <c r="D942" s="12" t="s">
        <v>12</v>
      </c>
      <c r="E942" s="13"/>
      <c r="F942" s="13"/>
      <c r="G942" s="12"/>
      <c r="H942" s="14"/>
      <c r="I942" s="12">
        <f>IFERROR(IF(T_PROD[[#This Row],[PREVISTO]]-T_PROD[[#This Row],[EFETIVO]]&lt; 0,0,T_PROD[[#This Row],[PREVISTO]]-T_PROD[[#This Row],[EFETIVO]] ),"")</f>
        <v>0</v>
      </c>
      <c r="J942" s="15" t="str">
        <f>IFERROR(IF(T_PROD[[#This Row],[META]]&gt;0,(T_PROD[[#This Row],[META]]/T_PROD[[#This Row],[PREVISTO]]),""),"")</f>
        <v/>
      </c>
      <c r="K942" s="15" t="str">
        <f>IFERROR(IF(T_PROD[[#This Row],[PRODUÇÃO]]&gt;0,(T_PROD[[#This Row],[PRODUÇÃO]]/T_PROD[[#This Row],[EFETIVO]]),""),"")</f>
        <v/>
      </c>
    </row>
    <row r="943" spans="1:11" s="6" customFormat="1" x14ac:dyDescent="0.3">
      <c r="A943" s="11">
        <v>46182</v>
      </c>
      <c r="B943" s="12" t="str">
        <f t="shared" si="103"/>
        <v>JUNHO</v>
      </c>
      <c r="C943" s="12" t="s">
        <v>20</v>
      </c>
      <c r="D943" s="12" t="s">
        <v>12</v>
      </c>
      <c r="E943" s="13">
        <v>319</v>
      </c>
      <c r="F943" s="13">
        <v>187</v>
      </c>
      <c r="G943" s="12">
        <v>90</v>
      </c>
      <c r="H943" s="14">
        <v>90</v>
      </c>
      <c r="I943" s="12">
        <f>IFERROR(IF(T_PROD[[#This Row],[PREVISTO]]-T_PROD[[#This Row],[EFETIVO]]&lt; 0,0,T_PROD[[#This Row],[PREVISTO]]-T_PROD[[#This Row],[EFETIVO]] ),"")</f>
        <v>0</v>
      </c>
      <c r="J943" s="15">
        <f>IFERROR(IF(T_PROD[[#This Row],[META]]&gt;0,(T_PROD[[#This Row],[META]]/T_PROD[[#This Row],[PREVISTO]]),""),"")</f>
        <v>3.5444444444444443</v>
      </c>
      <c r="K943" s="15">
        <f>IFERROR(IF(T_PROD[[#This Row],[PRODUÇÃO]]&gt;0,(T_PROD[[#This Row],[PRODUÇÃO]]/T_PROD[[#This Row],[EFETIVO]]),""),"")</f>
        <v>2.0777777777777779</v>
      </c>
    </row>
    <row r="944" spans="1:11" s="6" customFormat="1" x14ac:dyDescent="0.3">
      <c r="A944" s="11">
        <v>46182</v>
      </c>
      <c r="B944" s="12" t="str">
        <f t="shared" si="103"/>
        <v>JUNHO</v>
      </c>
      <c r="C944" s="12" t="s">
        <v>11</v>
      </c>
      <c r="D944" s="12" t="s">
        <v>12</v>
      </c>
      <c r="E944" s="13">
        <v>640</v>
      </c>
      <c r="F944" s="13">
        <v>660</v>
      </c>
      <c r="G944" s="12">
        <v>32</v>
      </c>
      <c r="H944" s="14">
        <v>32</v>
      </c>
      <c r="I944" s="12">
        <f>IFERROR(IF(T_PROD[[#This Row],[PREVISTO]]-T_PROD[[#This Row],[EFETIVO]]&lt; 0,0,T_PROD[[#This Row],[PREVISTO]]-T_PROD[[#This Row],[EFETIVO]] ),"")</f>
        <v>0</v>
      </c>
      <c r="J944" s="15">
        <f>IFERROR(IF(T_PROD[[#This Row],[META]]&gt;0,(T_PROD[[#This Row],[META]]/T_PROD[[#This Row],[PREVISTO]]),""),"")</f>
        <v>20</v>
      </c>
      <c r="K944" s="15">
        <f>IFERROR(IF(T_PROD[[#This Row],[PRODUÇÃO]]&gt;0,(T_PROD[[#This Row],[PRODUÇÃO]]/T_PROD[[#This Row],[EFETIVO]]),""),"")</f>
        <v>20.625</v>
      </c>
    </row>
    <row r="945" spans="1:11" s="6" customFormat="1" x14ac:dyDescent="0.3">
      <c r="A945" s="11">
        <v>46182</v>
      </c>
      <c r="B945" s="12" t="str">
        <f t="shared" si="103"/>
        <v>JUNHO</v>
      </c>
      <c r="C945" s="12" t="s">
        <v>32</v>
      </c>
      <c r="D945" s="12" t="s">
        <v>12</v>
      </c>
      <c r="E945" s="13">
        <v>77</v>
      </c>
      <c r="F945" s="13">
        <v>80</v>
      </c>
      <c r="G945" s="12">
        <v>7</v>
      </c>
      <c r="H945" s="14">
        <v>7</v>
      </c>
      <c r="I945" s="12">
        <f>IFERROR(IF(T_PROD[[#This Row],[PREVISTO]]-T_PROD[[#This Row],[EFETIVO]]&lt; 0,0,T_PROD[[#This Row],[PREVISTO]]-T_PROD[[#This Row],[EFETIVO]] ),"")</f>
        <v>0</v>
      </c>
      <c r="J945" s="15">
        <f>IFERROR(IF(T_PROD[[#This Row],[META]]&gt;0,(T_PROD[[#This Row],[META]]/T_PROD[[#This Row],[PREVISTO]]),""),"")</f>
        <v>11</v>
      </c>
      <c r="K945" s="15">
        <f>IFERROR(IF(T_PROD[[#This Row],[PRODUÇÃO]]&gt;0,(T_PROD[[#This Row],[PRODUÇÃO]]/T_PROD[[#This Row],[EFETIVO]]),""),"")</f>
        <v>11.428571428571429</v>
      </c>
    </row>
    <row r="946" spans="1:11" s="6" customFormat="1" x14ac:dyDescent="0.3">
      <c r="A946" s="11">
        <v>46182</v>
      </c>
      <c r="B946" s="12" t="str">
        <f t="shared" si="103"/>
        <v>JUNHO</v>
      </c>
      <c r="C946" s="12" t="s">
        <v>14</v>
      </c>
      <c r="D946" s="12" t="s">
        <v>12</v>
      </c>
      <c r="E946" s="13">
        <v>717</v>
      </c>
      <c r="F946" s="13">
        <v>740</v>
      </c>
      <c r="G946" s="12">
        <v>95</v>
      </c>
      <c r="H946" s="14">
        <v>93</v>
      </c>
      <c r="I946" s="12">
        <f>IFERROR(IF(T_PROD[[#This Row],[PREVISTO]]-T_PROD[[#This Row],[EFETIVO]]&lt; 0,0,T_PROD[[#This Row],[PREVISTO]]-T_PROD[[#This Row],[EFETIVO]] ),"")</f>
        <v>2</v>
      </c>
      <c r="J946" s="15">
        <f>IFERROR(IF(T_PROD[[#This Row],[META]]&gt;0,(T_PROD[[#This Row],[META]]/T_PROD[[#This Row],[PREVISTO]]),""),"")</f>
        <v>7.5473684210526315</v>
      </c>
      <c r="K946" s="15">
        <f>IFERROR(IF(T_PROD[[#This Row],[PRODUÇÃO]]&gt;0,(T_PROD[[#This Row],[PRODUÇÃO]]/T_PROD[[#This Row],[EFETIVO]]),""),"")</f>
        <v>7.956989247311828</v>
      </c>
    </row>
    <row r="947" spans="1:11" s="6" customFormat="1" x14ac:dyDescent="0.3">
      <c r="A947" s="11">
        <v>46183</v>
      </c>
      <c r="B947" s="12" t="str">
        <f>UPPER(TEXT(A947,"MMMM"))</f>
        <v>JUNHO</v>
      </c>
      <c r="C947" s="12" t="s">
        <v>15</v>
      </c>
      <c r="D947" s="12" t="s">
        <v>12</v>
      </c>
      <c r="E947" s="13">
        <v>60</v>
      </c>
      <c r="F947" s="13">
        <v>34</v>
      </c>
      <c r="G947" s="12">
        <v>4</v>
      </c>
      <c r="H947" s="14">
        <v>4</v>
      </c>
      <c r="I947" s="12">
        <f>IFERROR(IF(T_PROD[[#This Row],[PREVISTO]]-T_PROD[[#This Row],[EFETIVO]]&lt; 0,0,T_PROD[[#This Row],[PREVISTO]]-T_PROD[[#This Row],[EFETIVO]] ),"")</f>
        <v>0</v>
      </c>
      <c r="J947" s="15">
        <f>IFERROR(IF(T_PROD[[#This Row],[META]]&gt;0,(T_PROD[[#This Row],[META]]/T_PROD[[#This Row],[PREVISTO]]),""),"")</f>
        <v>15</v>
      </c>
      <c r="K947" s="15">
        <f>IFERROR(IF(T_PROD[[#This Row],[PRODUÇÃO]]&gt;0,(T_PROD[[#This Row],[PRODUÇÃO]]/T_PROD[[#This Row],[EFETIVO]]),""),"")</f>
        <v>8.5</v>
      </c>
    </row>
    <row r="948" spans="1:11" s="6" customFormat="1" x14ac:dyDescent="0.3">
      <c r="A948" s="11">
        <v>46183</v>
      </c>
      <c r="B948" s="12" t="str">
        <f t="shared" ref="B948:B955" si="104">UPPER(TEXT(A948,"MMMM"))</f>
        <v>JUNHO</v>
      </c>
      <c r="C948" s="12" t="s">
        <v>16</v>
      </c>
      <c r="D948" s="12" t="s">
        <v>12</v>
      </c>
      <c r="E948" s="13">
        <v>170</v>
      </c>
      <c r="F948" s="13">
        <v>190</v>
      </c>
      <c r="G948" s="12">
        <v>5</v>
      </c>
      <c r="H948" s="14">
        <v>5</v>
      </c>
      <c r="I948" s="12">
        <f>IFERROR(IF(T_PROD[[#This Row],[PREVISTO]]-T_PROD[[#This Row],[EFETIVO]]&lt; 0,0,T_PROD[[#This Row],[PREVISTO]]-T_PROD[[#This Row],[EFETIVO]] ),"")</f>
        <v>0</v>
      </c>
      <c r="J948" s="15">
        <f>IFERROR(IF(T_PROD[[#This Row],[META]]&gt;0,(T_PROD[[#This Row],[META]]/T_PROD[[#This Row],[PREVISTO]]),""),"")</f>
        <v>34</v>
      </c>
      <c r="K948" s="15">
        <f>IFERROR(IF(T_PROD[[#This Row],[PRODUÇÃO]]&gt;0,(T_PROD[[#This Row],[PRODUÇÃO]]/T_PROD[[#This Row],[EFETIVO]]),""),"")</f>
        <v>38</v>
      </c>
    </row>
    <row r="949" spans="1:11" s="6" customFormat="1" x14ac:dyDescent="0.3">
      <c r="A949" s="11">
        <v>46183</v>
      </c>
      <c r="B949" s="12" t="str">
        <f t="shared" si="104"/>
        <v>JUNHO</v>
      </c>
      <c r="C949" s="12" t="s">
        <v>17</v>
      </c>
      <c r="D949" s="12" t="s">
        <v>12</v>
      </c>
      <c r="E949" s="13">
        <v>160</v>
      </c>
      <c r="F949" s="13">
        <v>165</v>
      </c>
      <c r="G949" s="12">
        <v>10</v>
      </c>
      <c r="H949" s="14">
        <v>10</v>
      </c>
      <c r="I949" s="12">
        <f>IFERROR(IF(T_PROD[[#This Row],[PREVISTO]]-T_PROD[[#This Row],[EFETIVO]]&lt; 0,0,T_PROD[[#This Row],[PREVISTO]]-T_PROD[[#This Row],[EFETIVO]] ),"")</f>
        <v>0</v>
      </c>
      <c r="J949" s="15">
        <f>IFERROR(IF(T_PROD[[#This Row],[META]]&gt;0,(T_PROD[[#This Row],[META]]/T_PROD[[#This Row],[PREVISTO]]),""),"")</f>
        <v>16</v>
      </c>
      <c r="K949" s="15">
        <f>IFERROR(IF(T_PROD[[#This Row],[PRODUÇÃO]]&gt;0,(T_PROD[[#This Row],[PRODUÇÃO]]/T_PROD[[#This Row],[EFETIVO]]),""),"")</f>
        <v>16.5</v>
      </c>
    </row>
    <row r="950" spans="1:11" s="6" customFormat="1" x14ac:dyDescent="0.3">
      <c r="A950" s="11">
        <v>46183</v>
      </c>
      <c r="B950" s="12" t="str">
        <f t="shared" si="104"/>
        <v>JUNHO</v>
      </c>
      <c r="C950" s="12" t="s">
        <v>18</v>
      </c>
      <c r="D950" s="12" t="s">
        <v>12</v>
      </c>
      <c r="E950" s="13"/>
      <c r="F950" s="13"/>
      <c r="G950" s="12"/>
      <c r="H950" s="14"/>
      <c r="I950" s="12">
        <f>IFERROR(IF(T_PROD[[#This Row],[PREVISTO]]-T_PROD[[#This Row],[EFETIVO]]&lt; 0,0,T_PROD[[#This Row],[PREVISTO]]-T_PROD[[#This Row],[EFETIVO]] ),"")</f>
        <v>0</v>
      </c>
      <c r="J950" s="15" t="str">
        <f>IFERROR(IF(T_PROD[[#This Row],[META]]&gt;0,(T_PROD[[#This Row],[META]]/T_PROD[[#This Row],[PREVISTO]]),""),"")</f>
        <v/>
      </c>
      <c r="K950" s="15" t="str">
        <f>IFERROR(IF(T_PROD[[#This Row],[PRODUÇÃO]]&gt;0,(T_PROD[[#This Row],[PRODUÇÃO]]/T_PROD[[#This Row],[EFETIVO]]),""),"")</f>
        <v/>
      </c>
    </row>
    <row r="951" spans="1:11" s="6" customFormat="1" x14ac:dyDescent="0.3">
      <c r="A951" s="11">
        <v>46183</v>
      </c>
      <c r="B951" s="12" t="str">
        <f t="shared" si="104"/>
        <v>JUNHO</v>
      </c>
      <c r="C951" s="12" t="s">
        <v>19</v>
      </c>
      <c r="D951" s="12" t="s">
        <v>12</v>
      </c>
      <c r="E951" s="13"/>
      <c r="F951" s="13"/>
      <c r="G951" s="12"/>
      <c r="H951" s="14"/>
      <c r="I951" s="12">
        <f>IFERROR(IF(T_PROD[[#This Row],[PREVISTO]]-T_PROD[[#This Row],[EFETIVO]]&lt; 0,0,T_PROD[[#This Row],[PREVISTO]]-T_PROD[[#This Row],[EFETIVO]] ),"")</f>
        <v>0</v>
      </c>
      <c r="J951" s="15" t="str">
        <f>IFERROR(IF(T_PROD[[#This Row],[META]]&gt;0,(T_PROD[[#This Row],[META]]/T_PROD[[#This Row],[PREVISTO]]),""),"")</f>
        <v/>
      </c>
      <c r="K951" s="15" t="str">
        <f>IFERROR(IF(T_PROD[[#This Row],[PRODUÇÃO]]&gt;0,(T_PROD[[#This Row],[PRODUÇÃO]]/T_PROD[[#This Row],[EFETIVO]]),""),"")</f>
        <v/>
      </c>
    </row>
    <row r="952" spans="1:11" s="6" customFormat="1" x14ac:dyDescent="0.3">
      <c r="A952" s="11">
        <v>46183</v>
      </c>
      <c r="B952" s="12" t="str">
        <f t="shared" si="104"/>
        <v>JUNHO</v>
      </c>
      <c r="C952" s="12" t="s">
        <v>20</v>
      </c>
      <c r="D952" s="12" t="s">
        <v>12</v>
      </c>
      <c r="E952" s="13">
        <v>390</v>
      </c>
      <c r="F952" s="13">
        <v>389</v>
      </c>
      <c r="G952" s="12">
        <v>90</v>
      </c>
      <c r="H952" s="14">
        <v>90</v>
      </c>
      <c r="I952" s="12">
        <f>IFERROR(IF(T_PROD[[#This Row],[PREVISTO]]-T_PROD[[#This Row],[EFETIVO]]&lt; 0,0,T_PROD[[#This Row],[PREVISTO]]-T_PROD[[#This Row],[EFETIVO]] ),"")</f>
        <v>0</v>
      </c>
      <c r="J952" s="15">
        <f>IFERROR(IF(T_PROD[[#This Row],[META]]&gt;0,(T_PROD[[#This Row],[META]]/T_PROD[[#This Row],[PREVISTO]]),""),"")</f>
        <v>4.333333333333333</v>
      </c>
      <c r="K952" s="15">
        <f>IFERROR(IF(T_PROD[[#This Row],[PRODUÇÃO]]&gt;0,(T_PROD[[#This Row],[PRODUÇÃO]]/T_PROD[[#This Row],[EFETIVO]]),""),"")</f>
        <v>4.322222222222222</v>
      </c>
    </row>
    <row r="953" spans="1:11" s="6" customFormat="1" x14ac:dyDescent="0.3">
      <c r="A953" s="11">
        <v>46183</v>
      </c>
      <c r="B953" s="12" t="str">
        <f t="shared" si="104"/>
        <v>JUNHO</v>
      </c>
      <c r="C953" s="12" t="s">
        <v>11</v>
      </c>
      <c r="D953" s="12" t="s">
        <v>12</v>
      </c>
      <c r="E953" s="13">
        <v>600</v>
      </c>
      <c r="F953" s="13">
        <v>630</v>
      </c>
      <c r="G953" s="12">
        <v>30</v>
      </c>
      <c r="H953" s="14">
        <v>30</v>
      </c>
      <c r="I953" s="12">
        <f>IFERROR(IF(T_PROD[[#This Row],[PREVISTO]]-T_PROD[[#This Row],[EFETIVO]]&lt; 0,0,T_PROD[[#This Row],[PREVISTO]]-T_PROD[[#This Row],[EFETIVO]] ),"")</f>
        <v>0</v>
      </c>
      <c r="J953" s="15">
        <f>IFERROR(IF(T_PROD[[#This Row],[META]]&gt;0,(T_PROD[[#This Row],[META]]/T_PROD[[#This Row],[PREVISTO]]),""),"")</f>
        <v>20</v>
      </c>
      <c r="K953" s="15">
        <f>IFERROR(IF(T_PROD[[#This Row],[PRODUÇÃO]]&gt;0,(T_PROD[[#This Row],[PRODUÇÃO]]/T_PROD[[#This Row],[EFETIVO]]),""),"")</f>
        <v>21</v>
      </c>
    </row>
    <row r="954" spans="1:11" s="6" customFormat="1" x14ac:dyDescent="0.3">
      <c r="A954" s="11">
        <v>46183</v>
      </c>
      <c r="B954" s="12" t="str">
        <f t="shared" si="104"/>
        <v>JUNHO</v>
      </c>
      <c r="C954" s="12" t="s">
        <v>32</v>
      </c>
      <c r="D954" s="12" t="s">
        <v>12</v>
      </c>
      <c r="E954" s="13">
        <v>88</v>
      </c>
      <c r="F954" s="13">
        <v>92</v>
      </c>
      <c r="G954" s="12">
        <v>8</v>
      </c>
      <c r="H954" s="14">
        <v>8</v>
      </c>
      <c r="I954" s="12">
        <f>IFERROR(IF(T_PROD[[#This Row],[PREVISTO]]-T_PROD[[#This Row],[EFETIVO]]&lt; 0,0,T_PROD[[#This Row],[PREVISTO]]-T_PROD[[#This Row],[EFETIVO]] ),"")</f>
        <v>0</v>
      </c>
      <c r="J954" s="15">
        <f>IFERROR(IF(T_PROD[[#This Row],[META]]&gt;0,(T_PROD[[#This Row],[META]]/T_PROD[[#This Row],[PREVISTO]]),""),"")</f>
        <v>11</v>
      </c>
      <c r="K954" s="15">
        <f>IFERROR(IF(T_PROD[[#This Row],[PRODUÇÃO]]&gt;0,(T_PROD[[#This Row],[PRODUÇÃO]]/T_PROD[[#This Row],[EFETIVO]]),""),"")</f>
        <v>11.5</v>
      </c>
    </row>
    <row r="955" spans="1:11" s="6" customFormat="1" x14ac:dyDescent="0.3">
      <c r="A955" s="11">
        <v>46183</v>
      </c>
      <c r="B955" s="12" t="str">
        <f t="shared" si="104"/>
        <v>JUNHO</v>
      </c>
      <c r="C955" s="12" t="s">
        <v>14</v>
      </c>
      <c r="D955" s="12" t="s">
        <v>12</v>
      </c>
      <c r="E955" s="13">
        <v>688</v>
      </c>
      <c r="F955" s="13">
        <v>722</v>
      </c>
      <c r="G955" s="12">
        <v>95</v>
      </c>
      <c r="H955" s="14">
        <v>90</v>
      </c>
      <c r="I955" s="12">
        <f>IFERROR(IF(T_PROD[[#This Row],[PREVISTO]]-T_PROD[[#This Row],[EFETIVO]]&lt; 0,0,T_PROD[[#This Row],[PREVISTO]]-T_PROD[[#This Row],[EFETIVO]] ),"")</f>
        <v>5</v>
      </c>
      <c r="J955" s="15">
        <f>IFERROR(IF(T_PROD[[#This Row],[META]]&gt;0,(T_PROD[[#This Row],[META]]/T_PROD[[#This Row],[PREVISTO]]),""),"")</f>
        <v>7.242105263157895</v>
      </c>
      <c r="K955" s="15">
        <f>IFERROR(IF(T_PROD[[#This Row],[PRODUÇÃO]]&gt;0,(T_PROD[[#This Row],[PRODUÇÃO]]/T_PROD[[#This Row],[EFETIVO]]),""),"")</f>
        <v>8.0222222222222221</v>
      </c>
    </row>
    <row r="956" spans="1:11" s="6" customFormat="1" x14ac:dyDescent="0.3">
      <c r="A956" s="11">
        <v>46184</v>
      </c>
      <c r="B956" s="12" t="str">
        <f>UPPER(TEXT(A956,"MMMM"))</f>
        <v>JUNHO</v>
      </c>
      <c r="C956" s="12" t="s">
        <v>15</v>
      </c>
      <c r="D956" s="12" t="s">
        <v>12</v>
      </c>
      <c r="E956" s="13">
        <v>82.5</v>
      </c>
      <c r="F956" s="13">
        <v>33</v>
      </c>
      <c r="G956" s="12">
        <v>5.5</v>
      </c>
      <c r="H956" s="14">
        <v>5.5</v>
      </c>
      <c r="I956" s="12">
        <f>IFERROR(IF(T_PROD[[#This Row],[PREVISTO]]-T_PROD[[#This Row],[EFETIVO]]&lt; 0,0,T_PROD[[#This Row],[PREVISTO]]-T_PROD[[#This Row],[EFETIVO]] ),"")</f>
        <v>0</v>
      </c>
      <c r="J956" s="15">
        <f>IFERROR(IF(T_PROD[[#This Row],[META]]&gt;0,(T_PROD[[#This Row],[META]]/T_PROD[[#This Row],[PREVISTO]]),""),"")</f>
        <v>15</v>
      </c>
      <c r="K956" s="15">
        <f>IFERROR(IF(T_PROD[[#This Row],[PRODUÇÃO]]&gt;0,(T_PROD[[#This Row],[PRODUÇÃO]]/T_PROD[[#This Row],[EFETIVO]]),""),"")</f>
        <v>6</v>
      </c>
    </row>
    <row r="957" spans="1:11" s="6" customFormat="1" x14ac:dyDescent="0.3">
      <c r="A957" s="11">
        <v>46184</v>
      </c>
      <c r="B957" s="12" t="str">
        <f t="shared" ref="B957:B964" si="105">UPPER(TEXT(A957,"MMMM"))</f>
        <v>JUNHO</v>
      </c>
      <c r="C957" s="12" t="s">
        <v>16</v>
      </c>
      <c r="D957" s="12" t="s">
        <v>12</v>
      </c>
      <c r="E957" s="13">
        <v>204</v>
      </c>
      <c r="F957" s="13">
        <v>153</v>
      </c>
      <c r="G957" s="12">
        <v>6</v>
      </c>
      <c r="H957" s="14">
        <v>6</v>
      </c>
      <c r="I957" s="12">
        <f>IFERROR(IF(T_PROD[[#This Row],[PREVISTO]]-T_PROD[[#This Row],[EFETIVO]]&lt; 0,0,T_PROD[[#This Row],[PREVISTO]]-T_PROD[[#This Row],[EFETIVO]] ),"")</f>
        <v>0</v>
      </c>
      <c r="J957" s="15">
        <f>IFERROR(IF(T_PROD[[#This Row],[META]]&gt;0,(T_PROD[[#This Row],[META]]/T_PROD[[#This Row],[PREVISTO]]),""),"")</f>
        <v>34</v>
      </c>
      <c r="K957" s="15">
        <f>IFERROR(IF(T_PROD[[#This Row],[PRODUÇÃO]]&gt;0,(T_PROD[[#This Row],[PRODUÇÃO]]/T_PROD[[#This Row],[EFETIVO]]),""),"")</f>
        <v>25.5</v>
      </c>
    </row>
    <row r="958" spans="1:11" s="6" customFormat="1" x14ac:dyDescent="0.3">
      <c r="A958" s="11">
        <v>46184</v>
      </c>
      <c r="B958" s="12" t="str">
        <f t="shared" si="105"/>
        <v>JUNHO</v>
      </c>
      <c r="C958" s="12" t="s">
        <v>17</v>
      </c>
      <c r="D958" s="12" t="s">
        <v>12</v>
      </c>
      <c r="E958" s="13">
        <v>176</v>
      </c>
      <c r="F958" s="13">
        <v>179</v>
      </c>
      <c r="G958" s="12">
        <v>11</v>
      </c>
      <c r="H958" s="14">
        <v>11</v>
      </c>
      <c r="I958" s="12">
        <f>IFERROR(IF(T_PROD[[#This Row],[PREVISTO]]-T_PROD[[#This Row],[EFETIVO]]&lt; 0,0,T_PROD[[#This Row],[PREVISTO]]-T_PROD[[#This Row],[EFETIVO]] ),"")</f>
        <v>0</v>
      </c>
      <c r="J958" s="15">
        <f>IFERROR(IF(T_PROD[[#This Row],[META]]&gt;0,(T_PROD[[#This Row],[META]]/T_PROD[[#This Row],[PREVISTO]]),""),"")</f>
        <v>16</v>
      </c>
      <c r="K958" s="15">
        <f>IFERROR(IF(T_PROD[[#This Row],[PRODUÇÃO]]&gt;0,(T_PROD[[#This Row],[PRODUÇÃO]]/T_PROD[[#This Row],[EFETIVO]]),""),"")</f>
        <v>16.272727272727273</v>
      </c>
    </row>
    <row r="959" spans="1:11" s="6" customFormat="1" x14ac:dyDescent="0.3">
      <c r="A959" s="11">
        <v>46184</v>
      </c>
      <c r="B959" s="12" t="str">
        <f t="shared" si="105"/>
        <v>JUNHO</v>
      </c>
      <c r="C959" s="12" t="s">
        <v>18</v>
      </c>
      <c r="D959" s="12" t="s">
        <v>12</v>
      </c>
      <c r="E959" s="13"/>
      <c r="F959" s="13"/>
      <c r="G959" s="12"/>
      <c r="H959" s="14"/>
      <c r="I959" s="12">
        <f>IFERROR(IF(T_PROD[[#This Row],[PREVISTO]]-T_PROD[[#This Row],[EFETIVO]]&lt; 0,0,T_PROD[[#This Row],[PREVISTO]]-T_PROD[[#This Row],[EFETIVO]] ),"")</f>
        <v>0</v>
      </c>
      <c r="J959" s="15" t="str">
        <f>IFERROR(IF(T_PROD[[#This Row],[META]]&gt;0,(T_PROD[[#This Row],[META]]/T_PROD[[#This Row],[PREVISTO]]),""),"")</f>
        <v/>
      </c>
      <c r="K959" s="15" t="str">
        <f>IFERROR(IF(T_PROD[[#This Row],[PRODUÇÃO]]&gt;0,(T_PROD[[#This Row],[PRODUÇÃO]]/T_PROD[[#This Row],[EFETIVO]]),""),"")</f>
        <v/>
      </c>
    </row>
    <row r="960" spans="1:11" s="6" customFormat="1" x14ac:dyDescent="0.3">
      <c r="A960" s="11">
        <v>46184</v>
      </c>
      <c r="B960" s="12" t="str">
        <f t="shared" si="105"/>
        <v>JUNHO</v>
      </c>
      <c r="C960" s="12" t="s">
        <v>19</v>
      </c>
      <c r="D960" s="12" t="s">
        <v>12</v>
      </c>
      <c r="E960" s="13"/>
      <c r="F960" s="13"/>
      <c r="G960" s="12"/>
      <c r="H960" s="14"/>
      <c r="I960" s="12">
        <f>IFERROR(IF(T_PROD[[#This Row],[PREVISTO]]-T_PROD[[#This Row],[EFETIVO]]&lt; 0,0,T_PROD[[#This Row],[PREVISTO]]-T_PROD[[#This Row],[EFETIVO]] ),"")</f>
        <v>0</v>
      </c>
      <c r="J960" s="15" t="str">
        <f>IFERROR(IF(T_PROD[[#This Row],[META]]&gt;0,(T_PROD[[#This Row],[META]]/T_PROD[[#This Row],[PREVISTO]]),""),"")</f>
        <v/>
      </c>
      <c r="K960" s="15" t="str">
        <f>IFERROR(IF(T_PROD[[#This Row],[PRODUÇÃO]]&gt;0,(T_PROD[[#This Row],[PRODUÇÃO]]/T_PROD[[#This Row],[EFETIVO]]),""),"")</f>
        <v/>
      </c>
    </row>
    <row r="961" spans="1:11" s="6" customFormat="1" x14ac:dyDescent="0.3">
      <c r="A961" s="11">
        <v>46184</v>
      </c>
      <c r="B961" s="12" t="str">
        <f t="shared" si="105"/>
        <v>JUNHO</v>
      </c>
      <c r="C961" s="12" t="s">
        <v>20</v>
      </c>
      <c r="D961" s="12" t="s">
        <v>12</v>
      </c>
      <c r="E961" s="13">
        <v>463</v>
      </c>
      <c r="F961" s="13">
        <v>365</v>
      </c>
      <c r="G961" s="12">
        <v>90</v>
      </c>
      <c r="H961" s="14">
        <v>90</v>
      </c>
      <c r="I961" s="12">
        <f>IFERROR(IF(T_PROD[[#This Row],[PREVISTO]]-T_PROD[[#This Row],[EFETIVO]]&lt; 0,0,T_PROD[[#This Row],[PREVISTO]]-T_PROD[[#This Row],[EFETIVO]] ),"")</f>
        <v>0</v>
      </c>
      <c r="J961" s="15">
        <f>IFERROR(IF(T_PROD[[#This Row],[META]]&gt;0,(T_PROD[[#This Row],[META]]/T_PROD[[#This Row],[PREVISTO]]),""),"")</f>
        <v>5.1444444444444448</v>
      </c>
      <c r="K961" s="15">
        <f>IFERROR(IF(T_PROD[[#This Row],[PRODUÇÃO]]&gt;0,(T_PROD[[#This Row],[PRODUÇÃO]]/T_PROD[[#This Row],[EFETIVO]]),""),"")</f>
        <v>4.0555555555555554</v>
      </c>
    </row>
    <row r="962" spans="1:11" s="6" customFormat="1" x14ac:dyDescent="0.3">
      <c r="A962" s="11">
        <v>46184</v>
      </c>
      <c r="B962" s="12" t="str">
        <f t="shared" si="105"/>
        <v>JUNHO</v>
      </c>
      <c r="C962" s="12" t="s">
        <v>11</v>
      </c>
      <c r="D962" s="12" t="s">
        <v>12</v>
      </c>
      <c r="E962" s="13">
        <v>600</v>
      </c>
      <c r="F962" s="13">
        <v>620</v>
      </c>
      <c r="G962" s="12">
        <v>30</v>
      </c>
      <c r="H962" s="14">
        <v>30</v>
      </c>
      <c r="I962" s="12">
        <f>IFERROR(IF(T_PROD[[#This Row],[PREVISTO]]-T_PROD[[#This Row],[EFETIVO]]&lt; 0,0,T_PROD[[#This Row],[PREVISTO]]-T_PROD[[#This Row],[EFETIVO]] ),"")</f>
        <v>0</v>
      </c>
      <c r="J962" s="15">
        <f>IFERROR(IF(T_PROD[[#This Row],[META]]&gt;0,(T_PROD[[#This Row],[META]]/T_PROD[[#This Row],[PREVISTO]]),""),"")</f>
        <v>20</v>
      </c>
      <c r="K962" s="15">
        <f>IFERROR(IF(T_PROD[[#This Row],[PRODUÇÃO]]&gt;0,(T_PROD[[#This Row],[PRODUÇÃO]]/T_PROD[[#This Row],[EFETIVO]]),""),"")</f>
        <v>20.666666666666668</v>
      </c>
    </row>
    <row r="963" spans="1:11" s="6" customFormat="1" x14ac:dyDescent="0.3">
      <c r="A963" s="11">
        <v>46184</v>
      </c>
      <c r="B963" s="12" t="str">
        <f t="shared" si="105"/>
        <v>JUNHO</v>
      </c>
      <c r="C963" s="12" t="s">
        <v>32</v>
      </c>
      <c r="D963" s="12" t="s">
        <v>12</v>
      </c>
      <c r="E963" s="13">
        <v>88</v>
      </c>
      <c r="F963" s="13">
        <v>93</v>
      </c>
      <c r="G963" s="12">
        <v>8</v>
      </c>
      <c r="H963" s="14">
        <v>8</v>
      </c>
      <c r="I963" s="12">
        <f>IFERROR(IF(T_PROD[[#This Row],[PREVISTO]]-T_PROD[[#This Row],[EFETIVO]]&lt; 0,0,T_PROD[[#This Row],[PREVISTO]]-T_PROD[[#This Row],[EFETIVO]] ),"")</f>
        <v>0</v>
      </c>
      <c r="J963" s="15">
        <f>IFERROR(IF(T_PROD[[#This Row],[META]]&gt;0,(T_PROD[[#This Row],[META]]/T_PROD[[#This Row],[PREVISTO]]),""),"")</f>
        <v>11</v>
      </c>
      <c r="K963" s="15">
        <f>IFERROR(IF(T_PROD[[#This Row],[PRODUÇÃO]]&gt;0,(T_PROD[[#This Row],[PRODUÇÃO]]/T_PROD[[#This Row],[EFETIVO]]),""),"")</f>
        <v>11.625</v>
      </c>
    </row>
    <row r="964" spans="1:11" s="6" customFormat="1" x14ac:dyDescent="0.3">
      <c r="A964" s="11">
        <v>46184</v>
      </c>
      <c r="B964" s="12" t="str">
        <f t="shared" si="105"/>
        <v>JUNHO</v>
      </c>
      <c r="C964" s="12" t="s">
        <v>14</v>
      </c>
      <c r="D964" s="12" t="s">
        <v>12</v>
      </c>
      <c r="E964" s="13">
        <v>688</v>
      </c>
      <c r="F964" s="13">
        <v>713</v>
      </c>
      <c r="G964" s="12">
        <v>95</v>
      </c>
      <c r="H964" s="14">
        <v>89</v>
      </c>
      <c r="I964" s="12">
        <f>IFERROR(IF(T_PROD[[#This Row],[PREVISTO]]-T_PROD[[#This Row],[EFETIVO]]&lt; 0,0,T_PROD[[#This Row],[PREVISTO]]-T_PROD[[#This Row],[EFETIVO]] ),"")</f>
        <v>6</v>
      </c>
      <c r="J964" s="15">
        <f>IFERROR(IF(T_PROD[[#This Row],[META]]&gt;0,(T_PROD[[#This Row],[META]]/T_PROD[[#This Row],[PREVISTO]]),""),"")</f>
        <v>7.242105263157895</v>
      </c>
      <c r="K964" s="15">
        <f>IFERROR(IF(T_PROD[[#This Row],[PRODUÇÃO]]&gt;0,(T_PROD[[#This Row],[PRODUÇÃO]]/T_PROD[[#This Row],[EFETIVO]]),""),"")</f>
        <v>8.0112359550561791</v>
      </c>
    </row>
    <row r="965" spans="1:11" s="6" customFormat="1" x14ac:dyDescent="0.3">
      <c r="A965" s="28">
        <v>46185</v>
      </c>
      <c r="B965" s="29" t="str">
        <f>UPPER(TEXT(A965,"MMMM"))</f>
        <v>JUNHO</v>
      </c>
      <c r="C965" s="12" t="s">
        <v>15</v>
      </c>
      <c r="D965" s="12" t="s">
        <v>12</v>
      </c>
      <c r="E965" s="30">
        <v>82.5</v>
      </c>
      <c r="F965" s="30">
        <v>50</v>
      </c>
      <c r="G965" s="29">
        <v>5.5</v>
      </c>
      <c r="H965" s="31">
        <v>5.5</v>
      </c>
      <c r="I965" s="29">
        <f>IFERROR(IF(T_PROD[[#This Row],[PREVISTO]]-T_PROD[[#This Row],[EFETIVO]]&lt; 0,0,T_PROD[[#This Row],[PREVISTO]]-T_PROD[[#This Row],[EFETIVO]] ),"")</f>
        <v>0</v>
      </c>
      <c r="J965" s="15">
        <f>IFERROR(IF(T_PROD[[#This Row],[META]]&gt;0,(T_PROD[[#This Row],[META]]/T_PROD[[#This Row],[PREVISTO]]),""),"")</f>
        <v>15</v>
      </c>
      <c r="K965" s="15">
        <f>IFERROR(IF(T_PROD[[#This Row],[PRODUÇÃO]]&gt;0,(T_PROD[[#This Row],[PRODUÇÃO]]/T_PROD[[#This Row],[EFETIVO]]),""),"")</f>
        <v>9.0909090909090917</v>
      </c>
    </row>
    <row r="966" spans="1:11" s="6" customFormat="1" x14ac:dyDescent="0.3">
      <c r="A966" s="28">
        <v>46185</v>
      </c>
      <c r="B966" s="29" t="str">
        <f t="shared" ref="B966:B973" si="106">UPPER(TEXT(A966,"MMMM"))</f>
        <v>JUNHO</v>
      </c>
      <c r="C966" s="12" t="s">
        <v>16</v>
      </c>
      <c r="D966" s="12" t="s">
        <v>12</v>
      </c>
      <c r="E966" s="30">
        <v>204</v>
      </c>
      <c r="F966" s="30">
        <v>144</v>
      </c>
      <c r="G966" s="29">
        <v>6</v>
      </c>
      <c r="H966" s="31">
        <v>6</v>
      </c>
      <c r="I966" s="29">
        <f>IFERROR(IF(T_PROD[[#This Row],[PREVISTO]]-T_PROD[[#This Row],[EFETIVO]]&lt; 0,0,T_PROD[[#This Row],[PREVISTO]]-T_PROD[[#This Row],[EFETIVO]] ),"")</f>
        <v>0</v>
      </c>
      <c r="J966" s="15">
        <f>IFERROR(IF(T_PROD[[#This Row],[META]]&gt;0,(T_PROD[[#This Row],[META]]/T_PROD[[#This Row],[PREVISTO]]),""),"")</f>
        <v>34</v>
      </c>
      <c r="K966" s="15">
        <f>IFERROR(IF(T_PROD[[#This Row],[PRODUÇÃO]]&gt;0,(T_PROD[[#This Row],[PRODUÇÃO]]/T_PROD[[#This Row],[EFETIVO]]),""),"")</f>
        <v>24</v>
      </c>
    </row>
    <row r="967" spans="1:11" s="6" customFormat="1" x14ac:dyDescent="0.3">
      <c r="A967" s="28">
        <v>46185</v>
      </c>
      <c r="B967" s="29" t="str">
        <f t="shared" si="106"/>
        <v>JUNHO</v>
      </c>
      <c r="C967" s="12" t="s">
        <v>17</v>
      </c>
      <c r="D967" s="12" t="s">
        <v>12</v>
      </c>
      <c r="E967" s="30">
        <v>176</v>
      </c>
      <c r="F967" s="30">
        <v>151</v>
      </c>
      <c r="G967" s="29">
        <v>11</v>
      </c>
      <c r="H967" s="31">
        <v>11</v>
      </c>
      <c r="I967" s="29">
        <f>IFERROR(IF(T_PROD[[#This Row],[PREVISTO]]-T_PROD[[#This Row],[EFETIVO]]&lt; 0,0,T_PROD[[#This Row],[PREVISTO]]-T_PROD[[#This Row],[EFETIVO]] ),"")</f>
        <v>0</v>
      </c>
      <c r="J967" s="15">
        <f>IFERROR(IF(T_PROD[[#This Row],[META]]&gt;0,(T_PROD[[#This Row],[META]]/T_PROD[[#This Row],[PREVISTO]]),""),"")</f>
        <v>16</v>
      </c>
      <c r="K967" s="15">
        <f>IFERROR(IF(T_PROD[[#This Row],[PRODUÇÃO]]&gt;0,(T_PROD[[#This Row],[PRODUÇÃO]]/T_PROD[[#This Row],[EFETIVO]]),""),"")</f>
        <v>13.727272727272727</v>
      </c>
    </row>
    <row r="968" spans="1:11" s="6" customFormat="1" x14ac:dyDescent="0.3">
      <c r="A968" s="28">
        <v>46185</v>
      </c>
      <c r="B968" s="29" t="str">
        <f t="shared" si="106"/>
        <v>JUNHO</v>
      </c>
      <c r="C968" s="12" t="s">
        <v>18</v>
      </c>
      <c r="D968" s="12" t="s">
        <v>12</v>
      </c>
      <c r="E968" s="30"/>
      <c r="F968" s="30"/>
      <c r="G968" s="29"/>
      <c r="H968" s="31"/>
      <c r="I968" s="29">
        <f>IFERROR(IF(T_PROD[[#This Row],[PREVISTO]]-T_PROD[[#This Row],[EFETIVO]]&lt; 0,0,T_PROD[[#This Row],[PREVISTO]]-T_PROD[[#This Row],[EFETIVO]] ),"")</f>
        <v>0</v>
      </c>
      <c r="J968" s="15" t="str">
        <f>IFERROR(IF(T_PROD[[#This Row],[META]]&gt;0,(T_PROD[[#This Row],[META]]/T_PROD[[#This Row],[PREVISTO]]),""),"")</f>
        <v/>
      </c>
      <c r="K968" s="15" t="str">
        <f>IFERROR(IF(T_PROD[[#This Row],[PRODUÇÃO]]&gt;0,(T_PROD[[#This Row],[PRODUÇÃO]]/T_PROD[[#This Row],[EFETIVO]]),""),"")</f>
        <v/>
      </c>
    </row>
    <row r="969" spans="1:11" s="6" customFormat="1" x14ac:dyDescent="0.3">
      <c r="A969" s="28">
        <v>46185</v>
      </c>
      <c r="B969" s="29" t="str">
        <f t="shared" si="106"/>
        <v>JUNHO</v>
      </c>
      <c r="C969" s="12" t="s">
        <v>19</v>
      </c>
      <c r="D969" s="12" t="s">
        <v>12</v>
      </c>
      <c r="E969" s="30"/>
      <c r="F969" s="30"/>
      <c r="G969" s="29"/>
      <c r="H969" s="31"/>
      <c r="I969" s="29">
        <f>IFERROR(IF(T_PROD[[#This Row],[PREVISTO]]-T_PROD[[#This Row],[EFETIVO]]&lt; 0,0,T_PROD[[#This Row],[PREVISTO]]-T_PROD[[#This Row],[EFETIVO]] ),"")</f>
        <v>0</v>
      </c>
      <c r="J969" s="15" t="str">
        <f>IFERROR(IF(T_PROD[[#This Row],[META]]&gt;0,(T_PROD[[#This Row],[META]]/T_PROD[[#This Row],[PREVISTO]]),""),"")</f>
        <v/>
      </c>
      <c r="K969" s="15" t="str">
        <f>IFERROR(IF(T_PROD[[#This Row],[PRODUÇÃO]]&gt;0,(T_PROD[[#This Row],[PRODUÇÃO]]/T_PROD[[#This Row],[EFETIVO]]),""),"")</f>
        <v/>
      </c>
    </row>
    <row r="970" spans="1:11" s="6" customFormat="1" x14ac:dyDescent="0.3">
      <c r="A970" s="28">
        <v>46185</v>
      </c>
      <c r="B970" s="29" t="str">
        <f t="shared" si="106"/>
        <v>JUNHO</v>
      </c>
      <c r="C970" s="12" t="s">
        <v>20</v>
      </c>
      <c r="D970" s="12" t="s">
        <v>12</v>
      </c>
      <c r="E970" s="30">
        <v>463</v>
      </c>
      <c r="F970" s="30">
        <v>345</v>
      </c>
      <c r="G970" s="29">
        <v>90</v>
      </c>
      <c r="H970" s="31">
        <v>90</v>
      </c>
      <c r="I970" s="29">
        <f>IFERROR(IF(T_PROD[[#This Row],[PREVISTO]]-T_PROD[[#This Row],[EFETIVO]]&lt; 0,0,T_PROD[[#This Row],[PREVISTO]]-T_PROD[[#This Row],[EFETIVO]] ),"")</f>
        <v>0</v>
      </c>
      <c r="J970" s="15">
        <f>IFERROR(IF(T_PROD[[#This Row],[META]]&gt;0,(T_PROD[[#This Row],[META]]/T_PROD[[#This Row],[PREVISTO]]),""),"")</f>
        <v>5.1444444444444448</v>
      </c>
      <c r="K970" s="15">
        <f>IFERROR(IF(T_PROD[[#This Row],[PRODUÇÃO]]&gt;0,(T_PROD[[#This Row],[PRODUÇÃO]]/T_PROD[[#This Row],[EFETIVO]]),""),"")</f>
        <v>3.8333333333333335</v>
      </c>
    </row>
    <row r="971" spans="1:11" s="6" customFormat="1" x14ac:dyDescent="0.3">
      <c r="A971" s="28">
        <v>46185</v>
      </c>
      <c r="B971" s="29" t="str">
        <f t="shared" si="106"/>
        <v>JUNHO</v>
      </c>
      <c r="C971" s="12" t="s">
        <v>11</v>
      </c>
      <c r="D971" s="12" t="s">
        <v>12</v>
      </c>
      <c r="E971" s="30">
        <v>500</v>
      </c>
      <c r="F971" s="30">
        <v>465</v>
      </c>
      <c r="G971" s="29">
        <v>25</v>
      </c>
      <c r="H971" s="31">
        <v>25</v>
      </c>
      <c r="I971" s="29">
        <f>IFERROR(IF(T_PROD[[#This Row],[PREVISTO]]-T_PROD[[#This Row],[EFETIVO]]&lt; 0,0,T_PROD[[#This Row],[PREVISTO]]-T_PROD[[#This Row],[EFETIVO]] ),"")</f>
        <v>0</v>
      </c>
      <c r="J971" s="15">
        <f>IFERROR(IF(T_PROD[[#This Row],[META]]&gt;0,(T_PROD[[#This Row],[META]]/T_PROD[[#This Row],[PREVISTO]]),""),"")</f>
        <v>20</v>
      </c>
      <c r="K971" s="15">
        <f>IFERROR(IF(T_PROD[[#This Row],[PRODUÇÃO]]&gt;0,(T_PROD[[#This Row],[PRODUÇÃO]]/T_PROD[[#This Row],[EFETIVO]]),""),"")</f>
        <v>18.600000000000001</v>
      </c>
    </row>
    <row r="972" spans="1:11" s="6" customFormat="1" x14ac:dyDescent="0.3">
      <c r="A972" s="28">
        <v>46185</v>
      </c>
      <c r="B972" s="29" t="str">
        <f t="shared" si="106"/>
        <v>JUNHO</v>
      </c>
      <c r="C972" s="12" t="s">
        <v>32</v>
      </c>
      <c r="D972" s="12" t="s">
        <v>12</v>
      </c>
      <c r="E972" s="30">
        <v>88</v>
      </c>
      <c r="F972" s="30">
        <v>77</v>
      </c>
      <c r="G972" s="29">
        <v>8</v>
      </c>
      <c r="H972" s="31">
        <v>8</v>
      </c>
      <c r="I972" s="29">
        <f>IFERROR(IF(T_PROD[[#This Row],[PREVISTO]]-T_PROD[[#This Row],[EFETIVO]]&lt; 0,0,T_PROD[[#This Row],[PREVISTO]]-T_PROD[[#This Row],[EFETIVO]] ),"")</f>
        <v>0</v>
      </c>
      <c r="J972" s="15">
        <f>IFERROR(IF(T_PROD[[#This Row],[META]]&gt;0,(T_PROD[[#This Row],[META]]/T_PROD[[#This Row],[PREVISTO]]),""),"")</f>
        <v>11</v>
      </c>
      <c r="K972" s="15">
        <f>IFERROR(IF(T_PROD[[#This Row],[PRODUÇÃO]]&gt;0,(T_PROD[[#This Row],[PRODUÇÃO]]/T_PROD[[#This Row],[EFETIVO]]),""),"")</f>
        <v>9.625</v>
      </c>
    </row>
    <row r="973" spans="1:11" s="6" customFormat="1" x14ac:dyDescent="0.3">
      <c r="A973" s="28">
        <v>46185</v>
      </c>
      <c r="B973" s="29" t="str">
        <f t="shared" si="106"/>
        <v>JUNHO</v>
      </c>
      <c r="C973" s="12" t="s">
        <v>14</v>
      </c>
      <c r="D973" s="12" t="s">
        <v>12</v>
      </c>
      <c r="E973" s="30">
        <v>588</v>
      </c>
      <c r="F973" s="30">
        <v>542</v>
      </c>
      <c r="G973" s="29">
        <v>75</v>
      </c>
      <c r="H973" s="31">
        <v>75</v>
      </c>
      <c r="I973" s="29">
        <f>IFERROR(IF(T_PROD[[#This Row],[PREVISTO]]-T_PROD[[#This Row],[EFETIVO]]&lt; 0,0,T_PROD[[#This Row],[PREVISTO]]-T_PROD[[#This Row],[EFETIVO]] ),"")</f>
        <v>0</v>
      </c>
      <c r="J973" s="15">
        <f>IFERROR(IF(T_PROD[[#This Row],[META]]&gt;0,(T_PROD[[#This Row],[META]]/T_PROD[[#This Row],[PREVISTO]]),""),"")</f>
        <v>7.84</v>
      </c>
      <c r="K973" s="15">
        <f>IFERROR(IF(T_PROD[[#This Row],[PRODUÇÃO]]&gt;0,(T_PROD[[#This Row],[PRODUÇÃO]]/T_PROD[[#This Row],[EFETIVO]]),""),"")</f>
        <v>7.2266666666666666</v>
      </c>
    </row>
    <row r="974" spans="1:11" s="6" customFormat="1" x14ac:dyDescent="0.3">
      <c r="A974" s="7"/>
      <c r="E974" s="8"/>
      <c r="F974" s="8"/>
      <c r="H974" s="9"/>
      <c r="J974" s="10"/>
      <c r="K974" s="10"/>
    </row>
    <row r="975" spans="1:11" s="6" customFormat="1" x14ac:dyDescent="0.3">
      <c r="A975" s="7"/>
      <c r="E975" s="8"/>
      <c r="F975" s="8"/>
      <c r="H975" s="9"/>
      <c r="J975" s="10"/>
      <c r="K975" s="10"/>
    </row>
    <row r="976" spans="1:11" s="6" customFormat="1" x14ac:dyDescent="0.3">
      <c r="A976" s="7"/>
      <c r="E976" s="8"/>
      <c r="F976" s="8"/>
      <c r="H976" s="9"/>
      <c r="J976" s="10"/>
      <c r="K976" s="10"/>
    </row>
    <row r="977" spans="1:11" s="6" customFormat="1" x14ac:dyDescent="0.3">
      <c r="A977" s="7"/>
      <c r="E977" s="8"/>
      <c r="F977" s="8"/>
      <c r="H977" s="9"/>
      <c r="J977" s="10"/>
      <c r="K977" s="10"/>
    </row>
    <row r="978" spans="1:11" s="6" customFormat="1" x14ac:dyDescent="0.3">
      <c r="A978" s="7"/>
      <c r="E978" s="8"/>
      <c r="F978" s="8"/>
      <c r="H978" s="9"/>
      <c r="J978" s="10"/>
      <c r="K978" s="10"/>
    </row>
    <row r="979" spans="1:11" s="6" customFormat="1" x14ac:dyDescent="0.3">
      <c r="A979" s="7"/>
      <c r="E979" s="8"/>
      <c r="F979" s="8"/>
      <c r="H979" s="9"/>
      <c r="J979" s="10"/>
      <c r="K979" s="10"/>
    </row>
    <row r="980" spans="1:11" s="6" customFormat="1" x14ac:dyDescent="0.3">
      <c r="A980" s="7"/>
      <c r="E980" s="8"/>
      <c r="F980" s="8"/>
      <c r="H980" s="9"/>
      <c r="J980" s="10"/>
      <c r="K980" s="10"/>
    </row>
    <row r="981" spans="1:11" s="6" customFormat="1" x14ac:dyDescent="0.3">
      <c r="A981" s="7"/>
      <c r="E981" s="8"/>
      <c r="F981" s="8"/>
      <c r="H981" s="9"/>
      <c r="J981" s="10"/>
      <c r="K981" s="10"/>
    </row>
    <row r="982" spans="1:11" s="6" customFormat="1" x14ac:dyDescent="0.3">
      <c r="A982" s="7"/>
      <c r="E982" s="8"/>
      <c r="F982" s="8"/>
      <c r="H982" s="9"/>
      <c r="J982" s="10"/>
      <c r="K982" s="10"/>
    </row>
    <row r="983" spans="1:11" s="6" customFormat="1" x14ac:dyDescent="0.3">
      <c r="A983" s="7"/>
      <c r="E983" s="8"/>
      <c r="F983" s="8"/>
      <c r="H983" s="9"/>
      <c r="J983" s="10"/>
      <c r="K983" s="10"/>
    </row>
    <row r="984" spans="1:11" s="6" customFormat="1" x14ac:dyDescent="0.3">
      <c r="A984" s="7"/>
      <c r="E984" s="8"/>
      <c r="F984" s="8"/>
      <c r="H984" s="9"/>
      <c r="J984" s="10"/>
      <c r="K984" s="10"/>
    </row>
    <row r="985" spans="1:11" s="6" customFormat="1" x14ac:dyDescent="0.3">
      <c r="A985" s="7"/>
      <c r="E985" s="8"/>
      <c r="F985" s="8"/>
      <c r="H985" s="9"/>
      <c r="J985" s="10"/>
      <c r="K985" s="10"/>
    </row>
    <row r="986" spans="1:11" s="6" customFormat="1" x14ac:dyDescent="0.3">
      <c r="A986" s="7"/>
      <c r="E986" s="8"/>
      <c r="F986" s="8"/>
      <c r="H986" s="9"/>
      <c r="J986" s="10"/>
      <c r="K986" s="10"/>
    </row>
    <row r="987" spans="1:11" s="6" customFormat="1" x14ac:dyDescent="0.3">
      <c r="A987" s="7"/>
      <c r="E987" s="8"/>
      <c r="F987" s="8"/>
      <c r="H987" s="9"/>
      <c r="J987" s="10"/>
      <c r="K987" s="10"/>
    </row>
    <row r="988" spans="1:11" s="6" customFormat="1" x14ac:dyDescent="0.3">
      <c r="A988" s="7"/>
      <c r="E988" s="8"/>
      <c r="F988" s="8"/>
      <c r="H988" s="9"/>
      <c r="J988" s="10"/>
      <c r="K988" s="10"/>
    </row>
    <row r="989" spans="1:11" s="6" customFormat="1" x14ac:dyDescent="0.3">
      <c r="A989" s="7"/>
      <c r="E989" s="8"/>
      <c r="F989" s="8"/>
      <c r="H989" s="9"/>
      <c r="J989" s="10"/>
      <c r="K989" s="10"/>
    </row>
    <row r="990" spans="1:11" s="6" customFormat="1" x14ac:dyDescent="0.3">
      <c r="A990" s="7"/>
      <c r="E990" s="8"/>
      <c r="F990" s="8"/>
      <c r="H990" s="9"/>
      <c r="J990" s="10"/>
      <c r="K990" s="10"/>
    </row>
    <row r="991" spans="1:11" s="6" customFormat="1" x14ac:dyDescent="0.3">
      <c r="A991" s="7"/>
      <c r="E991" s="8"/>
      <c r="F991" s="8"/>
      <c r="H991" s="9"/>
      <c r="J991" s="10"/>
      <c r="K991" s="10"/>
    </row>
    <row r="992" spans="1:11" s="6" customFormat="1" x14ac:dyDescent="0.3">
      <c r="A992" s="7"/>
      <c r="E992" s="8"/>
      <c r="F992" s="8"/>
      <c r="H992" s="9"/>
      <c r="J992" s="10"/>
      <c r="K992" s="10"/>
    </row>
    <row r="993" spans="1:11" s="6" customFormat="1" x14ac:dyDescent="0.3">
      <c r="A993" s="7"/>
      <c r="E993" s="8"/>
      <c r="F993" s="8"/>
      <c r="H993" s="9"/>
      <c r="J993" s="10"/>
      <c r="K993" s="10"/>
    </row>
    <row r="994" spans="1:11" s="6" customFormat="1" x14ac:dyDescent="0.3">
      <c r="A994" s="7"/>
      <c r="E994" s="8"/>
      <c r="F994" s="8"/>
      <c r="H994" s="9"/>
      <c r="J994" s="10"/>
      <c r="K994" s="10"/>
    </row>
    <row r="995" spans="1:11" s="6" customFormat="1" x14ac:dyDescent="0.3">
      <c r="A995" s="7"/>
      <c r="E995" s="8"/>
      <c r="F995" s="8"/>
      <c r="H995" s="9"/>
      <c r="J995" s="10"/>
      <c r="K995" s="10"/>
    </row>
    <row r="996" spans="1:11" s="6" customFormat="1" x14ac:dyDescent="0.3">
      <c r="A996" s="7"/>
      <c r="E996" s="8"/>
      <c r="F996" s="8"/>
      <c r="H996" s="9"/>
      <c r="J996" s="10"/>
      <c r="K996" s="10"/>
    </row>
    <row r="997" spans="1:11" s="6" customFormat="1" x14ac:dyDescent="0.3">
      <c r="A997" s="7"/>
      <c r="E997" s="8"/>
      <c r="F997" s="8"/>
      <c r="H997" s="9"/>
      <c r="J997" s="10"/>
      <c r="K997" s="10"/>
    </row>
    <row r="998" spans="1:11" s="6" customFormat="1" x14ac:dyDescent="0.3">
      <c r="A998" s="7"/>
      <c r="E998" s="8"/>
      <c r="F998" s="8"/>
      <c r="H998" s="9"/>
      <c r="J998" s="10"/>
      <c r="K998" s="10"/>
    </row>
    <row r="999" spans="1:11" s="6" customFormat="1" x14ac:dyDescent="0.3">
      <c r="A999" s="7"/>
      <c r="E999" s="8"/>
      <c r="F999" s="8"/>
      <c r="H999" s="9"/>
      <c r="J999" s="10"/>
      <c r="K999" s="10"/>
    </row>
    <row r="1000" spans="1:11" s="6" customFormat="1" x14ac:dyDescent="0.3">
      <c r="A1000" s="7"/>
      <c r="E1000" s="8"/>
      <c r="F1000" s="8"/>
      <c r="H1000" s="9"/>
      <c r="J1000" s="10"/>
      <c r="K1000" s="10"/>
    </row>
    <row r="1001" spans="1:11" s="6" customFormat="1" x14ac:dyDescent="0.3">
      <c r="A1001" s="7"/>
      <c r="E1001" s="8"/>
      <c r="F1001" s="8"/>
      <c r="H1001" s="9"/>
      <c r="J1001" s="10"/>
      <c r="K1001" s="10"/>
    </row>
    <row r="1002" spans="1:11" s="6" customFormat="1" x14ac:dyDescent="0.3">
      <c r="A1002" s="7"/>
      <c r="E1002" s="8"/>
      <c r="F1002" s="8"/>
      <c r="H1002" s="9"/>
      <c r="J1002" s="10"/>
      <c r="K1002" s="10"/>
    </row>
    <row r="1003" spans="1:11" s="6" customFormat="1" x14ac:dyDescent="0.3">
      <c r="A1003" s="7"/>
      <c r="E1003" s="8"/>
      <c r="F1003" s="8"/>
      <c r="H1003" s="9"/>
      <c r="J1003" s="10"/>
      <c r="K1003" s="10"/>
    </row>
    <row r="1004" spans="1:11" s="6" customFormat="1" x14ac:dyDescent="0.3">
      <c r="A1004" s="7"/>
      <c r="E1004" s="8"/>
      <c r="F1004" s="8"/>
      <c r="H1004" s="9"/>
      <c r="J1004" s="10"/>
      <c r="K1004" s="10"/>
    </row>
    <row r="1005" spans="1:11" s="6" customFormat="1" x14ac:dyDescent="0.3">
      <c r="A1005" s="7"/>
      <c r="E1005" s="8"/>
      <c r="F1005" s="8"/>
      <c r="H1005" s="9"/>
      <c r="J1005" s="10"/>
      <c r="K1005" s="10"/>
    </row>
    <row r="1006" spans="1:11" s="6" customFormat="1" x14ac:dyDescent="0.3">
      <c r="A1006" s="7"/>
      <c r="E1006" s="8"/>
      <c r="F1006" s="8"/>
      <c r="H1006" s="9"/>
      <c r="J1006" s="10"/>
      <c r="K1006" s="10"/>
    </row>
    <row r="1007" spans="1:11" x14ac:dyDescent="0.3">
      <c r="A1007" s="7"/>
      <c r="B1007" s="6"/>
      <c r="C1007" s="6"/>
      <c r="D1007" s="6"/>
      <c r="E1007" s="8"/>
      <c r="F1007" s="8"/>
      <c r="G1007" s="6"/>
      <c r="H1007" s="9"/>
      <c r="I1007" s="6"/>
      <c r="J1007" s="10"/>
      <c r="K1007" s="10"/>
    </row>
    <row r="1008" spans="1:11" x14ac:dyDescent="0.3">
      <c r="A1008" s="7"/>
      <c r="B1008" s="6"/>
      <c r="C1008" s="6"/>
      <c r="D1008" s="6"/>
      <c r="E1008" s="8"/>
      <c r="F1008" s="8"/>
      <c r="G1008" s="6"/>
      <c r="H1008" s="9"/>
      <c r="I1008" s="6"/>
      <c r="J1008" s="10"/>
      <c r="K1008" s="10"/>
    </row>
    <row r="1009" spans="1:11" x14ac:dyDescent="0.3">
      <c r="A1009" s="7"/>
      <c r="B1009" s="6"/>
      <c r="C1009" s="6"/>
      <c r="D1009" s="6"/>
      <c r="E1009" s="8"/>
      <c r="F1009" s="8"/>
      <c r="G1009" s="6"/>
      <c r="H1009" s="9"/>
      <c r="I1009" s="6"/>
      <c r="J1009" s="10"/>
      <c r="K1009" s="10"/>
    </row>
    <row r="1010" spans="1:11" x14ac:dyDescent="0.3">
      <c r="A1010" s="7"/>
      <c r="B1010" s="6"/>
      <c r="C1010" s="6"/>
      <c r="D1010" s="6"/>
      <c r="E1010" s="8"/>
      <c r="F1010" s="8"/>
      <c r="G1010" s="6"/>
      <c r="H1010" s="9"/>
      <c r="I1010" s="6"/>
      <c r="J1010" s="10"/>
      <c r="K1010" s="10"/>
    </row>
    <row r="1011" spans="1:11" x14ac:dyDescent="0.3">
      <c r="A1011" s="7"/>
      <c r="B1011" s="6"/>
      <c r="C1011" s="6"/>
      <c r="D1011" s="6"/>
      <c r="E1011" s="8"/>
      <c r="F1011" s="8"/>
      <c r="G1011" s="6"/>
      <c r="H1011" s="9"/>
      <c r="I1011" s="6"/>
      <c r="J1011" s="10"/>
      <c r="K1011" s="10"/>
    </row>
    <row r="1012" spans="1:11" x14ac:dyDescent="0.3">
      <c r="A1012" s="7"/>
      <c r="B1012" s="6"/>
      <c r="C1012" s="6"/>
      <c r="D1012" s="6"/>
      <c r="E1012" s="8"/>
      <c r="F1012" s="8"/>
      <c r="G1012" s="6"/>
      <c r="H1012" s="9"/>
      <c r="I1012" s="6"/>
      <c r="J1012" s="10"/>
      <c r="K1012" s="10"/>
    </row>
    <row r="1013" spans="1:11" x14ac:dyDescent="0.3">
      <c r="A1013" s="7"/>
      <c r="B1013" s="6"/>
      <c r="C1013" s="6"/>
      <c r="D1013" s="6"/>
      <c r="E1013" s="8"/>
      <c r="F1013" s="8"/>
      <c r="G1013" s="6"/>
      <c r="H1013" s="9"/>
      <c r="I1013" s="6"/>
      <c r="J1013" s="10"/>
      <c r="K1013" s="10"/>
    </row>
    <row r="1014" spans="1:11" x14ac:dyDescent="0.3">
      <c r="A1014" s="7"/>
      <c r="B1014" s="6"/>
      <c r="C1014" s="6"/>
      <c r="D1014" s="6"/>
      <c r="E1014" s="8"/>
      <c r="F1014" s="8"/>
      <c r="G1014" s="6"/>
      <c r="H1014" s="9"/>
      <c r="I1014" s="6"/>
      <c r="J1014" s="10"/>
      <c r="K1014" s="10"/>
    </row>
    <row r="1015" spans="1:11" x14ac:dyDescent="0.3">
      <c r="A1015" s="7"/>
      <c r="B1015" s="6"/>
      <c r="C1015" s="6"/>
      <c r="D1015" s="6"/>
      <c r="E1015" s="8"/>
      <c r="F1015" s="8"/>
      <c r="G1015" s="6"/>
      <c r="H1015" s="9"/>
      <c r="I1015" s="6"/>
      <c r="J1015" s="10"/>
      <c r="K1015" s="10"/>
    </row>
    <row r="1016" spans="1:11" x14ac:dyDescent="0.3">
      <c r="A1016" s="7"/>
      <c r="B1016" s="6"/>
      <c r="C1016" s="6"/>
      <c r="D1016" s="6"/>
      <c r="E1016" s="8"/>
      <c r="F1016" s="8"/>
      <c r="G1016" s="6"/>
      <c r="H1016" s="9"/>
      <c r="I1016" s="6"/>
      <c r="J1016" s="10"/>
      <c r="K1016" s="10"/>
    </row>
    <row r="1017" spans="1:11" x14ac:dyDescent="0.3">
      <c r="A1017" s="7"/>
      <c r="B1017" s="6"/>
      <c r="C1017" s="6"/>
      <c r="D1017" s="6"/>
      <c r="E1017" s="8"/>
      <c r="F1017" s="8"/>
      <c r="G1017" s="6"/>
      <c r="H1017" s="9"/>
      <c r="I1017" s="6"/>
      <c r="J1017" s="10"/>
      <c r="K1017" s="10"/>
    </row>
    <row r="1018" spans="1:11" x14ac:dyDescent="0.3">
      <c r="A1018" s="7"/>
      <c r="B1018" s="6"/>
      <c r="C1018" s="6"/>
      <c r="D1018" s="6"/>
      <c r="E1018" s="8"/>
      <c r="F1018" s="8"/>
      <c r="G1018" s="6"/>
      <c r="H1018" s="9"/>
      <c r="I1018" s="6"/>
      <c r="J1018" s="10"/>
      <c r="K1018" s="10"/>
    </row>
    <row r="1019" spans="1:11" x14ac:dyDescent="0.3">
      <c r="A1019" s="7"/>
      <c r="B1019" s="6"/>
      <c r="C1019" s="6"/>
      <c r="D1019" s="6"/>
      <c r="E1019" s="8"/>
      <c r="F1019" s="8"/>
      <c r="G1019" s="6"/>
      <c r="H1019" s="9"/>
      <c r="I1019" s="6"/>
      <c r="J1019" s="10"/>
      <c r="K1019" s="10"/>
    </row>
    <row r="1020" spans="1:11" x14ac:dyDescent="0.3">
      <c r="A1020" s="7"/>
      <c r="B1020" s="6"/>
      <c r="C1020" s="6"/>
      <c r="D1020" s="6"/>
      <c r="E1020" s="8"/>
      <c r="F1020" s="8"/>
      <c r="G1020" s="6"/>
      <c r="H1020" s="9"/>
      <c r="I1020" s="6"/>
      <c r="J1020" s="10"/>
      <c r="K1020" s="10"/>
    </row>
    <row r="1021" spans="1:11" x14ac:dyDescent="0.3">
      <c r="A1021" s="7"/>
      <c r="B1021" s="6"/>
      <c r="C1021" s="6"/>
      <c r="D1021" s="6"/>
      <c r="E1021" s="8"/>
      <c r="F1021" s="8"/>
      <c r="G1021" s="6"/>
      <c r="H1021" s="9"/>
      <c r="I1021" s="6"/>
      <c r="J1021" s="10"/>
      <c r="K1021" s="10"/>
    </row>
    <row r="1022" spans="1:11" x14ac:dyDescent="0.3">
      <c r="A1022" s="7"/>
      <c r="B1022" s="6"/>
      <c r="C1022" s="6"/>
      <c r="D1022" s="6"/>
      <c r="E1022" s="8"/>
      <c r="F1022" s="8"/>
      <c r="G1022" s="6"/>
      <c r="H1022" s="9"/>
      <c r="I1022" s="6"/>
      <c r="J1022" s="10"/>
      <c r="K1022" s="10"/>
    </row>
    <row r="1023" spans="1:11" x14ac:dyDescent="0.3">
      <c r="A1023" s="7"/>
      <c r="B1023" s="6"/>
      <c r="C1023" s="6"/>
      <c r="D1023" s="6"/>
      <c r="E1023" s="8"/>
      <c r="F1023" s="8"/>
      <c r="G1023" s="6"/>
      <c r="H1023" s="9"/>
      <c r="I1023" s="6"/>
      <c r="J1023" s="10"/>
      <c r="K1023" s="10"/>
    </row>
    <row r="1024" spans="1:11" x14ac:dyDescent="0.3">
      <c r="A1024" s="7"/>
      <c r="B1024" s="6"/>
      <c r="C1024" s="6"/>
      <c r="D1024" s="6"/>
      <c r="E1024" s="8"/>
      <c r="F1024" s="8"/>
      <c r="G1024" s="6"/>
      <c r="H1024" s="9"/>
      <c r="I1024" s="6"/>
      <c r="J1024" s="10"/>
      <c r="K1024" s="10"/>
    </row>
    <row r="1025" spans="1:11" x14ac:dyDescent="0.3">
      <c r="A1025" s="7"/>
      <c r="B1025" s="6"/>
      <c r="C1025" s="6"/>
      <c r="D1025" s="6"/>
      <c r="E1025" s="8"/>
      <c r="F1025" s="8"/>
      <c r="G1025" s="6"/>
      <c r="H1025" s="9"/>
      <c r="I1025" s="6"/>
      <c r="J1025" s="10"/>
      <c r="K1025" s="10"/>
    </row>
    <row r="1026" spans="1:11" x14ac:dyDescent="0.3">
      <c r="A1026" s="7"/>
      <c r="B1026" s="6"/>
      <c r="C1026" s="6"/>
      <c r="D1026" s="6"/>
      <c r="E1026" s="8"/>
      <c r="F1026" s="8"/>
      <c r="G1026" s="6"/>
      <c r="H1026" s="9"/>
      <c r="I1026" s="6"/>
      <c r="J1026" s="10"/>
      <c r="K1026" s="10"/>
    </row>
    <row r="1027" spans="1:11" x14ac:dyDescent="0.3">
      <c r="A1027" s="7"/>
      <c r="B1027" s="6"/>
      <c r="C1027" s="6"/>
      <c r="D1027" s="6"/>
      <c r="E1027" s="8"/>
      <c r="F1027" s="8"/>
      <c r="G1027" s="6"/>
      <c r="H1027" s="9"/>
      <c r="I1027" s="6"/>
      <c r="J1027" s="10"/>
      <c r="K1027" s="10"/>
    </row>
    <row r="1028" spans="1:11" x14ac:dyDescent="0.3">
      <c r="A1028" s="7"/>
      <c r="B1028" s="6"/>
      <c r="C1028" s="6"/>
      <c r="D1028" s="6"/>
      <c r="E1028" s="8"/>
      <c r="F1028" s="8"/>
      <c r="G1028" s="6"/>
      <c r="H1028" s="9"/>
      <c r="I1028" s="6"/>
      <c r="J1028" s="10"/>
      <c r="K1028" s="10"/>
    </row>
    <row r="1029" spans="1:11" x14ac:dyDescent="0.3">
      <c r="A1029" s="7"/>
      <c r="B1029" s="6"/>
      <c r="C1029" s="6"/>
      <c r="D1029" s="6"/>
      <c r="E1029" s="8"/>
      <c r="F1029" s="8"/>
      <c r="G1029" s="6"/>
      <c r="H1029" s="9"/>
      <c r="I1029" s="6"/>
      <c r="J1029" s="10"/>
      <c r="K1029" s="10"/>
    </row>
    <row r="1030" spans="1:11" x14ac:dyDescent="0.3">
      <c r="A1030" s="7"/>
      <c r="B1030" s="6"/>
      <c r="C1030" s="6"/>
      <c r="D1030" s="6"/>
      <c r="E1030" s="8"/>
      <c r="F1030" s="8"/>
      <c r="G1030" s="6"/>
      <c r="H1030" s="9"/>
      <c r="I1030" s="6"/>
      <c r="J1030" s="10"/>
      <c r="K1030" s="10"/>
    </row>
    <row r="1031" spans="1:11" x14ac:dyDescent="0.3">
      <c r="A1031" s="7"/>
      <c r="B1031" s="6"/>
      <c r="C1031" s="6"/>
      <c r="D1031" s="6"/>
      <c r="E1031" s="8"/>
      <c r="F1031" s="8"/>
      <c r="G1031" s="6"/>
      <c r="H1031" s="9"/>
      <c r="I1031" s="6"/>
      <c r="J1031" s="10"/>
      <c r="K1031" s="10"/>
    </row>
    <row r="1032" spans="1:11" x14ac:dyDescent="0.3">
      <c r="A1032" s="7"/>
      <c r="B1032" s="6"/>
      <c r="C1032" s="6"/>
      <c r="D1032" s="6"/>
      <c r="E1032" s="8"/>
      <c r="F1032" s="8"/>
      <c r="G1032" s="6"/>
      <c r="H1032" s="9"/>
      <c r="I1032" s="6"/>
      <c r="J1032" s="10"/>
      <c r="K1032" s="10"/>
    </row>
    <row r="1033" spans="1:11" x14ac:dyDescent="0.3">
      <c r="A1033" s="7"/>
      <c r="B1033" s="6"/>
      <c r="C1033" s="6"/>
      <c r="D1033" s="6"/>
      <c r="E1033" s="8"/>
      <c r="F1033" s="8"/>
      <c r="G1033" s="6"/>
      <c r="H1033" s="9"/>
      <c r="I1033" s="6"/>
      <c r="J1033" s="10"/>
      <c r="K1033" s="10"/>
    </row>
    <row r="1034" spans="1:11" x14ac:dyDescent="0.3">
      <c r="A1034" s="7"/>
      <c r="B1034" s="6"/>
      <c r="C1034" s="6"/>
      <c r="D1034" s="6"/>
      <c r="E1034" s="8"/>
      <c r="F1034" s="8"/>
      <c r="G1034" s="6"/>
      <c r="H1034" s="9"/>
      <c r="I1034" s="6"/>
      <c r="J1034" s="10"/>
      <c r="K1034" s="10"/>
    </row>
    <row r="1035" spans="1:11" x14ac:dyDescent="0.3">
      <c r="A1035" s="7"/>
      <c r="B1035" s="6"/>
      <c r="C1035" s="6"/>
      <c r="D1035" s="6"/>
      <c r="E1035" s="8"/>
      <c r="F1035" s="8"/>
      <c r="G1035" s="6"/>
      <c r="H1035" s="9"/>
      <c r="I1035" s="6"/>
      <c r="J1035" s="10"/>
      <c r="K1035" s="10"/>
    </row>
    <row r="1036" spans="1:11" x14ac:dyDescent="0.3">
      <c r="A1036" s="7"/>
      <c r="B1036" s="6"/>
      <c r="C1036" s="6"/>
      <c r="D1036" s="6"/>
      <c r="E1036" s="8"/>
      <c r="F1036" s="8"/>
      <c r="G1036" s="6"/>
      <c r="H1036" s="9"/>
      <c r="I1036" s="6"/>
      <c r="J1036" s="10"/>
      <c r="K1036" s="10"/>
    </row>
    <row r="1037" spans="1:11" x14ac:dyDescent="0.3">
      <c r="A1037" s="7"/>
      <c r="B1037" s="6"/>
      <c r="C1037" s="6"/>
      <c r="D1037" s="6"/>
      <c r="E1037" s="8"/>
      <c r="F1037" s="8"/>
      <c r="G1037" s="6"/>
      <c r="H1037" s="9"/>
      <c r="I1037" s="6"/>
      <c r="J1037" s="10"/>
      <c r="K1037" s="10"/>
    </row>
    <row r="1038" spans="1:11" x14ac:dyDescent="0.3">
      <c r="A1038" s="7"/>
      <c r="B1038" s="6"/>
      <c r="C1038" s="6"/>
      <c r="D1038" s="6"/>
      <c r="E1038" s="8"/>
      <c r="F1038" s="8"/>
      <c r="G1038" s="6"/>
      <c r="H1038" s="9"/>
      <c r="I1038" s="6"/>
      <c r="J1038" s="10"/>
      <c r="K1038" s="10"/>
    </row>
    <row r="1039" spans="1:11" x14ac:dyDescent="0.3">
      <c r="A1039" s="7"/>
      <c r="B1039" s="6"/>
      <c r="C1039" s="6"/>
      <c r="D1039" s="6"/>
      <c r="E1039" s="8"/>
      <c r="F1039" s="8"/>
      <c r="G1039" s="6"/>
      <c r="H1039" s="9"/>
      <c r="I1039" s="6"/>
      <c r="J1039" s="10"/>
      <c r="K1039" s="10"/>
    </row>
    <row r="1040" spans="1:11" x14ac:dyDescent="0.3">
      <c r="A1040" s="7"/>
      <c r="B1040" s="6"/>
      <c r="C1040" s="6"/>
      <c r="D1040" s="6"/>
      <c r="E1040" s="8"/>
      <c r="F1040" s="8"/>
      <c r="G1040" s="6"/>
      <c r="H1040" s="9"/>
      <c r="I1040" s="6"/>
      <c r="J1040" s="10"/>
      <c r="K1040" s="10"/>
    </row>
    <row r="1041" spans="1:11" x14ac:dyDescent="0.3">
      <c r="A1041" s="7"/>
      <c r="B1041" s="6"/>
      <c r="C1041" s="6"/>
      <c r="D1041" s="6"/>
      <c r="E1041" s="8"/>
      <c r="F1041" s="8"/>
      <c r="G1041" s="6"/>
      <c r="H1041" s="9"/>
      <c r="I1041" s="6"/>
      <c r="J1041" s="10"/>
      <c r="K1041" s="10"/>
    </row>
    <row r="1042" spans="1:11" x14ac:dyDescent="0.3">
      <c r="A1042" s="7"/>
      <c r="B1042" s="6"/>
      <c r="C1042" s="6"/>
      <c r="D1042" s="6"/>
      <c r="E1042" s="8"/>
      <c r="F1042" s="8"/>
      <c r="G1042" s="6"/>
      <c r="H1042" s="9"/>
      <c r="I1042" s="6"/>
      <c r="J1042" s="10"/>
      <c r="K1042" s="10"/>
    </row>
    <row r="1043" spans="1:11" x14ac:dyDescent="0.3">
      <c r="A1043" s="7"/>
      <c r="B1043" s="6"/>
      <c r="C1043" s="6"/>
      <c r="D1043" s="6"/>
      <c r="E1043" s="8"/>
      <c r="F1043" s="8"/>
      <c r="G1043" s="6"/>
      <c r="H1043" s="9"/>
      <c r="I1043" s="6"/>
      <c r="J1043" s="10"/>
      <c r="K1043" s="10"/>
    </row>
    <row r="1044" spans="1:11" x14ac:dyDescent="0.3">
      <c r="A1044" s="7"/>
      <c r="B1044" s="6"/>
      <c r="C1044" s="6"/>
      <c r="D1044" s="6"/>
      <c r="E1044" s="8"/>
      <c r="F1044" s="8"/>
      <c r="G1044" s="6"/>
      <c r="H1044" s="9"/>
      <c r="I1044" s="6"/>
      <c r="J1044" s="10"/>
      <c r="K1044" s="10"/>
    </row>
    <row r="1045" spans="1:11" x14ac:dyDescent="0.3">
      <c r="A1045" s="7"/>
      <c r="B1045" s="6"/>
      <c r="C1045" s="6"/>
      <c r="D1045" s="6"/>
      <c r="E1045" s="8"/>
      <c r="F1045" s="8"/>
      <c r="G1045" s="6"/>
      <c r="H1045" s="9"/>
      <c r="I1045" s="6"/>
      <c r="J1045" s="10"/>
      <c r="K1045" s="10"/>
    </row>
    <row r="1046" spans="1:11" x14ac:dyDescent="0.3">
      <c r="A1046" s="7"/>
      <c r="B1046" s="6"/>
      <c r="C1046" s="6"/>
      <c r="D1046" s="6"/>
      <c r="E1046" s="8"/>
      <c r="F1046" s="8"/>
      <c r="G1046" s="6"/>
      <c r="H1046" s="9"/>
      <c r="I1046" s="6"/>
      <c r="J1046" s="10"/>
      <c r="K1046" s="10"/>
    </row>
    <row r="1047" spans="1:11" x14ac:dyDescent="0.3">
      <c r="A1047" s="7"/>
      <c r="B1047" s="6"/>
      <c r="C1047" s="6"/>
      <c r="D1047" s="6"/>
      <c r="E1047" s="8"/>
      <c r="F1047" s="8"/>
      <c r="G1047" s="6"/>
      <c r="H1047" s="9"/>
      <c r="I1047" s="6"/>
      <c r="J1047" s="10"/>
      <c r="K1047" s="10"/>
    </row>
    <row r="1048" spans="1:11" x14ac:dyDescent="0.3">
      <c r="A1048" s="7"/>
      <c r="B1048" s="6"/>
      <c r="C1048" s="6"/>
      <c r="D1048" s="6"/>
      <c r="E1048" s="8"/>
      <c r="F1048" s="8"/>
      <c r="G1048" s="6"/>
      <c r="H1048" s="9"/>
      <c r="I1048" s="6"/>
      <c r="J1048" s="10"/>
      <c r="K1048" s="10"/>
    </row>
    <row r="1049" spans="1:11" x14ac:dyDescent="0.3">
      <c r="A1049" s="7"/>
      <c r="B1049" s="6"/>
      <c r="C1049" s="6"/>
      <c r="D1049" s="6"/>
      <c r="E1049" s="8"/>
      <c r="F1049" s="8"/>
      <c r="G1049" s="6"/>
      <c r="H1049" s="9"/>
      <c r="I1049" s="6"/>
      <c r="J1049" s="10"/>
      <c r="K1049" s="10"/>
    </row>
    <row r="1050" spans="1:11" x14ac:dyDescent="0.3">
      <c r="A1050" s="7"/>
      <c r="B1050" s="6"/>
      <c r="C1050" s="6"/>
      <c r="D1050" s="6"/>
      <c r="E1050" s="8"/>
      <c r="F1050" s="8"/>
      <c r="G1050" s="6"/>
      <c r="H1050" s="9"/>
      <c r="I1050" s="6"/>
      <c r="J1050" s="10"/>
      <c r="K1050" s="10"/>
    </row>
    <row r="1051" spans="1:11" x14ac:dyDescent="0.3">
      <c r="A1051" s="7"/>
      <c r="B1051" s="6"/>
      <c r="C1051" s="6"/>
      <c r="D1051" s="6"/>
      <c r="E1051" s="8"/>
      <c r="F1051" s="8"/>
      <c r="G1051" s="6"/>
      <c r="H1051" s="9"/>
      <c r="I1051" s="6"/>
      <c r="J1051" s="10"/>
      <c r="K1051" s="10"/>
    </row>
    <row r="1052" spans="1:11" x14ac:dyDescent="0.3">
      <c r="A1052" s="7"/>
      <c r="B1052" s="6"/>
      <c r="C1052" s="6"/>
      <c r="D1052" s="6"/>
      <c r="E1052" s="8"/>
      <c r="F1052" s="8"/>
      <c r="G1052" s="6"/>
      <c r="H1052" s="9"/>
      <c r="I1052" s="6"/>
      <c r="J1052" s="10"/>
      <c r="K1052" s="10"/>
    </row>
    <row r="1053" spans="1:11" x14ac:dyDescent="0.3">
      <c r="A1053" s="7"/>
      <c r="B1053" s="6"/>
      <c r="C1053" s="6"/>
      <c r="D1053" s="6"/>
      <c r="E1053" s="8"/>
      <c r="F1053" s="8"/>
      <c r="G1053" s="6"/>
      <c r="H1053" s="9"/>
      <c r="I1053" s="6"/>
      <c r="J1053" s="10"/>
      <c r="K1053" s="10"/>
    </row>
    <row r="1054" spans="1:11" x14ac:dyDescent="0.3">
      <c r="A1054" s="7"/>
      <c r="B1054" s="6"/>
      <c r="C1054" s="6"/>
      <c r="D1054" s="6"/>
      <c r="E1054" s="8"/>
      <c r="F1054" s="8"/>
      <c r="G1054" s="6"/>
      <c r="H1054" s="9"/>
      <c r="I1054" s="6"/>
      <c r="J1054" s="10"/>
      <c r="K1054" s="10"/>
    </row>
    <row r="1055" spans="1:11" x14ac:dyDescent="0.3">
      <c r="A1055" s="7"/>
      <c r="B1055" s="6"/>
      <c r="C1055" s="6"/>
      <c r="D1055" s="6"/>
      <c r="E1055" s="8"/>
      <c r="F1055" s="8"/>
      <c r="G1055" s="6"/>
      <c r="H1055" s="9"/>
      <c r="I1055" s="6"/>
      <c r="J1055" s="10"/>
      <c r="K1055" s="10"/>
    </row>
    <row r="1056" spans="1:11" x14ac:dyDescent="0.3">
      <c r="A1056" s="7"/>
      <c r="B1056" s="6"/>
      <c r="C1056" s="6"/>
      <c r="D1056" s="6"/>
      <c r="E1056" s="8"/>
      <c r="F1056" s="8"/>
      <c r="G1056" s="6"/>
      <c r="H1056" s="9"/>
      <c r="I1056" s="6"/>
      <c r="J1056" s="10"/>
      <c r="K1056" s="10"/>
    </row>
    <row r="1057" spans="1:11" x14ac:dyDescent="0.3">
      <c r="A1057" s="7"/>
      <c r="B1057" s="6"/>
      <c r="C1057" s="6"/>
      <c r="D1057" s="6"/>
      <c r="E1057" s="8"/>
      <c r="F1057" s="8"/>
      <c r="G1057" s="6"/>
      <c r="H1057" s="9"/>
      <c r="I1057" s="6"/>
      <c r="J1057" s="10"/>
      <c r="K1057" s="10"/>
    </row>
    <row r="1058" spans="1:11" x14ac:dyDescent="0.3">
      <c r="A1058" s="7"/>
      <c r="B1058" s="6"/>
      <c r="C1058" s="6"/>
      <c r="D1058" s="6"/>
      <c r="E1058" s="8"/>
      <c r="F1058" s="8"/>
      <c r="G1058" s="6"/>
      <c r="H1058" s="9"/>
      <c r="I1058" s="6"/>
      <c r="J1058" s="10"/>
      <c r="K1058" s="10"/>
    </row>
    <row r="1059" spans="1:11" x14ac:dyDescent="0.3">
      <c r="A1059" s="7"/>
      <c r="B1059" s="6"/>
      <c r="C1059" s="6"/>
      <c r="D1059" s="6"/>
      <c r="E1059" s="8"/>
      <c r="F1059" s="8"/>
      <c r="G1059" s="6"/>
      <c r="H1059" s="9"/>
      <c r="I1059" s="6"/>
      <c r="J1059" s="10"/>
      <c r="K1059" s="10"/>
    </row>
    <row r="1060" spans="1:11" x14ac:dyDescent="0.3">
      <c r="A1060" s="7"/>
      <c r="B1060" s="6"/>
      <c r="C1060" s="6"/>
      <c r="D1060" s="6"/>
      <c r="E1060" s="8"/>
      <c r="F1060" s="8"/>
      <c r="G1060" s="6"/>
      <c r="H1060" s="9"/>
      <c r="I1060" s="6"/>
      <c r="J1060" s="10"/>
      <c r="K1060" s="10"/>
    </row>
    <row r="1061" spans="1:11" x14ac:dyDescent="0.3">
      <c r="A1061" s="7"/>
      <c r="B1061" s="6"/>
      <c r="C1061" s="6"/>
      <c r="D1061" s="6"/>
      <c r="E1061" s="8"/>
      <c r="F1061" s="8"/>
      <c r="G1061" s="6"/>
      <c r="H1061" s="9"/>
      <c r="I1061" s="6"/>
      <c r="J1061" s="10"/>
      <c r="K1061" s="10"/>
    </row>
    <row r="1062" spans="1:11" x14ac:dyDescent="0.3">
      <c r="A1062" s="7"/>
      <c r="B1062" s="6"/>
      <c r="C1062" s="6"/>
      <c r="D1062" s="6"/>
      <c r="E1062" s="8"/>
      <c r="F1062" s="8"/>
      <c r="G1062" s="6"/>
      <c r="H1062" s="9"/>
      <c r="I1062" s="6"/>
      <c r="J1062" s="10"/>
      <c r="K1062" s="10"/>
    </row>
    <row r="1063" spans="1:11" x14ac:dyDescent="0.3">
      <c r="A1063" s="7"/>
      <c r="B1063" s="6"/>
      <c r="C1063" s="6"/>
      <c r="D1063" s="6"/>
      <c r="E1063" s="8"/>
      <c r="F1063" s="8"/>
      <c r="G1063" s="6"/>
      <c r="H1063" s="9"/>
      <c r="I1063" s="6"/>
      <c r="J1063" s="10"/>
      <c r="K1063" s="10"/>
    </row>
    <row r="1064" spans="1:11" x14ac:dyDescent="0.3">
      <c r="A1064" s="7"/>
      <c r="B1064" s="6"/>
      <c r="C1064" s="6"/>
      <c r="D1064" s="6"/>
      <c r="E1064" s="8"/>
      <c r="F1064" s="8"/>
      <c r="G1064" s="6"/>
      <c r="H1064" s="9"/>
      <c r="I1064" s="6"/>
      <c r="J1064" s="10"/>
      <c r="K1064" s="10"/>
    </row>
    <row r="1065" spans="1:11" x14ac:dyDescent="0.3">
      <c r="A1065" s="7"/>
      <c r="B1065" s="6"/>
      <c r="C1065" s="6"/>
      <c r="D1065" s="6"/>
      <c r="E1065" s="8"/>
      <c r="F1065" s="8"/>
      <c r="G1065" s="6"/>
      <c r="H1065" s="9"/>
      <c r="I1065" s="6"/>
      <c r="J1065" s="10"/>
      <c r="K1065" s="10"/>
    </row>
    <row r="1066" spans="1:11" x14ac:dyDescent="0.3">
      <c r="A1066" s="7"/>
      <c r="B1066" s="6"/>
      <c r="C1066" s="6"/>
      <c r="D1066" s="6"/>
      <c r="E1066" s="8"/>
      <c r="F1066" s="8"/>
      <c r="G1066" s="6"/>
      <c r="H1066" s="9"/>
      <c r="I1066" s="6"/>
      <c r="J1066" s="10"/>
      <c r="K1066" s="10"/>
    </row>
    <row r="1067" spans="1:11" x14ac:dyDescent="0.3">
      <c r="A1067" s="7"/>
      <c r="B1067" s="6"/>
      <c r="C1067" s="6"/>
      <c r="D1067" s="6"/>
      <c r="E1067" s="8"/>
      <c r="F1067" s="8"/>
      <c r="G1067" s="6"/>
      <c r="H1067" s="9"/>
      <c r="I1067" s="6"/>
      <c r="J1067" s="10"/>
      <c r="K1067" s="10"/>
    </row>
    <row r="1068" spans="1:11" x14ac:dyDescent="0.3">
      <c r="A1068" s="7"/>
      <c r="B1068" s="6"/>
      <c r="C1068" s="6"/>
      <c r="D1068" s="6"/>
      <c r="E1068" s="8"/>
      <c r="F1068" s="8"/>
      <c r="G1068" s="6"/>
      <c r="H1068" s="9"/>
      <c r="I1068" s="6"/>
      <c r="J1068" s="10"/>
      <c r="K1068" s="10"/>
    </row>
    <row r="1069" spans="1:11" x14ac:dyDescent="0.3">
      <c r="A1069" s="7"/>
      <c r="B1069" s="6"/>
      <c r="C1069" s="6"/>
      <c r="D1069" s="6"/>
      <c r="E1069" s="8"/>
      <c r="F1069" s="8"/>
      <c r="G1069" s="6"/>
      <c r="H1069" s="9"/>
      <c r="I1069" s="6"/>
      <c r="J1069" s="10"/>
      <c r="K1069" s="10"/>
    </row>
    <row r="1070" spans="1:11" x14ac:dyDescent="0.3">
      <c r="A1070" s="7"/>
      <c r="B1070" s="6"/>
      <c r="C1070" s="6"/>
      <c r="D1070" s="6"/>
      <c r="E1070" s="8"/>
      <c r="F1070" s="8"/>
      <c r="G1070" s="6"/>
      <c r="H1070" s="9"/>
      <c r="I1070" s="6"/>
      <c r="J1070" s="10"/>
      <c r="K1070" s="10"/>
    </row>
    <row r="1071" spans="1:11" x14ac:dyDescent="0.3">
      <c r="A1071" s="7"/>
      <c r="B1071" s="6"/>
      <c r="C1071" s="6"/>
      <c r="D1071" s="6"/>
      <c r="E1071" s="8"/>
      <c r="F1071" s="8"/>
      <c r="G1071" s="6"/>
      <c r="H1071" s="9"/>
      <c r="I1071" s="6"/>
      <c r="J1071" s="10"/>
      <c r="K1071" s="10"/>
    </row>
    <row r="1072" spans="1:11" x14ac:dyDescent="0.3">
      <c r="A1072" s="7"/>
      <c r="B1072" s="6"/>
      <c r="C1072" s="6"/>
      <c r="D1072" s="6"/>
      <c r="E1072" s="8"/>
      <c r="F1072" s="8"/>
      <c r="G1072" s="6"/>
      <c r="H1072" s="9"/>
      <c r="I1072" s="6"/>
      <c r="J1072" s="10"/>
      <c r="K1072" s="10"/>
    </row>
    <row r="1073" spans="1:11" x14ac:dyDescent="0.3">
      <c r="A1073" s="7"/>
      <c r="B1073" s="6"/>
      <c r="C1073" s="6"/>
      <c r="D1073" s="6"/>
      <c r="E1073" s="8"/>
      <c r="F1073" s="8"/>
      <c r="G1073" s="6"/>
      <c r="H1073" s="9"/>
      <c r="I1073" s="6"/>
      <c r="J1073" s="10"/>
      <c r="K1073" s="10"/>
    </row>
    <row r="1074" spans="1:11" x14ac:dyDescent="0.3">
      <c r="A1074" s="7"/>
      <c r="B1074" s="6"/>
      <c r="C1074" s="6"/>
      <c r="D1074" s="6"/>
      <c r="E1074" s="8"/>
      <c r="F1074" s="8"/>
      <c r="G1074" s="6"/>
      <c r="H1074" s="9"/>
      <c r="I1074" s="6"/>
      <c r="J1074" s="10"/>
      <c r="K1074" s="10"/>
    </row>
    <row r="1075" spans="1:11" x14ac:dyDescent="0.3">
      <c r="A1075" s="7"/>
      <c r="B1075" s="6"/>
      <c r="C1075" s="6"/>
      <c r="D1075" s="6"/>
      <c r="E1075" s="8"/>
      <c r="F1075" s="8"/>
      <c r="G1075" s="6"/>
      <c r="H1075" s="9"/>
      <c r="I1075" s="6"/>
      <c r="J1075" s="10"/>
      <c r="K1075" s="10"/>
    </row>
    <row r="1076" spans="1:11" x14ac:dyDescent="0.3">
      <c r="A1076" s="7"/>
      <c r="B1076" s="6"/>
      <c r="C1076" s="6"/>
      <c r="D1076" s="6"/>
      <c r="E1076" s="8"/>
      <c r="F1076" s="8"/>
      <c r="G1076" s="6"/>
      <c r="H1076" s="9"/>
      <c r="I1076" s="6"/>
      <c r="J1076" s="10"/>
      <c r="K1076" s="10"/>
    </row>
    <row r="1077" spans="1:11" x14ac:dyDescent="0.3">
      <c r="A1077" s="7"/>
      <c r="B1077" s="6"/>
      <c r="C1077" s="6"/>
      <c r="D1077" s="6"/>
      <c r="E1077" s="8"/>
      <c r="F1077" s="8"/>
      <c r="G1077" s="6"/>
      <c r="H1077" s="9"/>
      <c r="I1077" s="6"/>
      <c r="J1077" s="10"/>
      <c r="K1077" s="10"/>
    </row>
    <row r="1078" spans="1:11" x14ac:dyDescent="0.3">
      <c r="A1078" s="7"/>
      <c r="B1078" s="6"/>
      <c r="C1078" s="6"/>
      <c r="D1078" s="6"/>
      <c r="E1078" s="8"/>
      <c r="F1078" s="8"/>
      <c r="G1078" s="6"/>
      <c r="H1078" s="9"/>
      <c r="I1078" s="6"/>
      <c r="J1078" s="10"/>
      <c r="K1078" s="10"/>
    </row>
    <row r="1079" spans="1:11" x14ac:dyDescent="0.3">
      <c r="A1079" s="7"/>
      <c r="B1079" s="6"/>
      <c r="C1079" s="6"/>
      <c r="D1079" s="6"/>
      <c r="E1079" s="8"/>
      <c r="F1079" s="8"/>
      <c r="G1079" s="6"/>
      <c r="H1079" s="9"/>
      <c r="I1079" s="6"/>
      <c r="J1079" s="10"/>
      <c r="K1079" s="10"/>
    </row>
    <row r="1080" spans="1:11" x14ac:dyDescent="0.3">
      <c r="A1080" s="7"/>
      <c r="B1080" s="6"/>
      <c r="C1080" s="6"/>
      <c r="D1080" s="6"/>
      <c r="E1080" s="8"/>
      <c r="F1080" s="8"/>
      <c r="G1080" s="6"/>
      <c r="H1080" s="9"/>
      <c r="I1080" s="6"/>
      <c r="J1080" s="10"/>
      <c r="K1080" s="10"/>
    </row>
    <row r="1081" spans="1:11" x14ac:dyDescent="0.3">
      <c r="A1081" s="7"/>
      <c r="B1081" s="6"/>
      <c r="C1081" s="6"/>
      <c r="D1081" s="6"/>
      <c r="E1081" s="8"/>
      <c r="F1081" s="8"/>
      <c r="G1081" s="6"/>
      <c r="H1081" s="9"/>
      <c r="I1081" s="6"/>
      <c r="J1081" s="10"/>
      <c r="K1081" s="10"/>
    </row>
    <row r="1082" spans="1:11" x14ac:dyDescent="0.3">
      <c r="A1082" s="7"/>
      <c r="B1082" s="6"/>
      <c r="C1082" s="6"/>
      <c r="D1082" s="6"/>
      <c r="E1082" s="8"/>
      <c r="F1082" s="8"/>
      <c r="G1082" s="6"/>
      <c r="H1082" s="9"/>
      <c r="I1082" s="6"/>
      <c r="J1082" s="10"/>
      <c r="K1082" s="10"/>
    </row>
    <row r="1083" spans="1:11" x14ac:dyDescent="0.3">
      <c r="A1083" s="7"/>
      <c r="B1083" s="6"/>
      <c r="C1083" s="6"/>
      <c r="D1083" s="6"/>
      <c r="E1083" s="8"/>
      <c r="F1083" s="8"/>
      <c r="G1083" s="6"/>
      <c r="H1083" s="9"/>
      <c r="I1083" s="6"/>
      <c r="J1083" s="10"/>
      <c r="K1083" s="10"/>
    </row>
    <row r="1084" spans="1:11" x14ac:dyDescent="0.3">
      <c r="A1084" s="7"/>
      <c r="B1084" s="6"/>
      <c r="C1084" s="6"/>
      <c r="D1084" s="6"/>
      <c r="E1084" s="8"/>
      <c r="F1084" s="8"/>
      <c r="G1084" s="6"/>
      <c r="H1084" s="9"/>
      <c r="I1084" s="6"/>
      <c r="J1084" s="10"/>
      <c r="K1084" s="10"/>
    </row>
    <row r="1085" spans="1:11" x14ac:dyDescent="0.3">
      <c r="A1085" s="7"/>
      <c r="B1085" s="6"/>
      <c r="C1085" s="6"/>
      <c r="D1085" s="6"/>
      <c r="E1085" s="8"/>
      <c r="F1085" s="8"/>
      <c r="G1085" s="6"/>
      <c r="H1085" s="9"/>
      <c r="I1085" s="6"/>
      <c r="J1085" s="10"/>
      <c r="K1085" s="10"/>
    </row>
    <row r="1086" spans="1:11" x14ac:dyDescent="0.3">
      <c r="A1086" s="7"/>
      <c r="B1086" s="6"/>
      <c r="C1086" s="6"/>
      <c r="D1086" s="6"/>
      <c r="E1086" s="8"/>
      <c r="F1086" s="8"/>
      <c r="G1086" s="6"/>
      <c r="H1086" s="9"/>
      <c r="I1086" s="6"/>
      <c r="J1086" s="10"/>
      <c r="K1086" s="10"/>
    </row>
    <row r="1087" spans="1:11" x14ac:dyDescent="0.3">
      <c r="A1087" s="7"/>
      <c r="B1087" s="6"/>
      <c r="C1087" s="6"/>
      <c r="D1087" s="6"/>
      <c r="E1087" s="8"/>
      <c r="F1087" s="8"/>
      <c r="G1087" s="6"/>
      <c r="H1087" s="9"/>
      <c r="I1087" s="6"/>
      <c r="J1087" s="10"/>
      <c r="K1087" s="10"/>
    </row>
    <row r="1088" spans="1:11" x14ac:dyDescent="0.3">
      <c r="A1088" s="7"/>
      <c r="B1088" s="6"/>
      <c r="C1088" s="6"/>
      <c r="D1088" s="6"/>
      <c r="E1088" s="8"/>
      <c r="F1088" s="8"/>
      <c r="G1088" s="6"/>
      <c r="H1088" s="9"/>
      <c r="I1088" s="6"/>
      <c r="J1088" s="10"/>
      <c r="K1088" s="10"/>
    </row>
    <row r="1089" spans="1:11" x14ac:dyDescent="0.3">
      <c r="A1089" s="7"/>
      <c r="B1089" s="6"/>
      <c r="C1089" s="6"/>
      <c r="D1089" s="6"/>
      <c r="E1089" s="8"/>
      <c r="F1089" s="8"/>
      <c r="G1089" s="6"/>
      <c r="H1089" s="9"/>
      <c r="I1089" s="6"/>
      <c r="J1089" s="10"/>
      <c r="K1089" s="10"/>
    </row>
    <row r="1090" spans="1:11" x14ac:dyDescent="0.3">
      <c r="A1090" s="7"/>
      <c r="B1090" s="6"/>
      <c r="C1090" s="6"/>
      <c r="D1090" s="6"/>
      <c r="E1090" s="8"/>
      <c r="F1090" s="8"/>
      <c r="G1090" s="6"/>
      <c r="H1090" s="9"/>
      <c r="I1090" s="6"/>
      <c r="J1090" s="10"/>
      <c r="K1090" s="10"/>
    </row>
    <row r="1091" spans="1:11" x14ac:dyDescent="0.3">
      <c r="A1091" s="7"/>
      <c r="B1091" s="6"/>
      <c r="C1091" s="6"/>
      <c r="D1091" s="6"/>
      <c r="E1091" s="8"/>
      <c r="F1091" s="8"/>
      <c r="G1091" s="6"/>
      <c r="H1091" s="9"/>
      <c r="I1091" s="6"/>
      <c r="J1091" s="10"/>
      <c r="K1091" s="10"/>
    </row>
    <row r="1092" spans="1:11" x14ac:dyDescent="0.3">
      <c r="A1092" s="7"/>
      <c r="B1092" s="6"/>
      <c r="C1092" s="6"/>
      <c r="D1092" s="6"/>
      <c r="E1092" s="8"/>
      <c r="F1092" s="8"/>
      <c r="G1092" s="6"/>
      <c r="H1092" s="9"/>
      <c r="I1092" s="6"/>
      <c r="J1092" s="10"/>
      <c r="K1092" s="10"/>
    </row>
    <row r="1093" spans="1:11" x14ac:dyDescent="0.3">
      <c r="A1093" s="7"/>
      <c r="B1093" s="6"/>
      <c r="C1093" s="6"/>
      <c r="D1093" s="6"/>
      <c r="E1093" s="8"/>
      <c r="F1093" s="8"/>
      <c r="G1093" s="6"/>
      <c r="H1093" s="9"/>
      <c r="I1093" s="6"/>
      <c r="J1093" s="10"/>
      <c r="K1093" s="10"/>
    </row>
    <row r="1094" spans="1:11" x14ac:dyDescent="0.3">
      <c r="A1094" s="7"/>
      <c r="B1094" s="6"/>
      <c r="C1094" s="6"/>
      <c r="D1094" s="6"/>
      <c r="E1094" s="8"/>
      <c r="F1094" s="8"/>
      <c r="G1094" s="6"/>
      <c r="H1094" s="9"/>
      <c r="I1094" s="6"/>
      <c r="J1094" s="10"/>
      <c r="K1094" s="10"/>
    </row>
    <row r="1095" spans="1:11" x14ac:dyDescent="0.3">
      <c r="A1095" s="7"/>
      <c r="B1095" s="6"/>
      <c r="C1095" s="6"/>
      <c r="D1095" s="6"/>
      <c r="E1095" s="8"/>
      <c r="F1095" s="8"/>
      <c r="G1095" s="6"/>
      <c r="H1095" s="9"/>
      <c r="I1095" s="6"/>
      <c r="J1095" s="10"/>
      <c r="K1095" s="10"/>
    </row>
    <row r="1096" spans="1:11" x14ac:dyDescent="0.3">
      <c r="A1096" s="7"/>
      <c r="B1096" s="6"/>
      <c r="C1096" s="6"/>
      <c r="D1096" s="6"/>
      <c r="E1096" s="8"/>
      <c r="F1096" s="8"/>
      <c r="G1096" s="6"/>
      <c r="H1096" s="9"/>
      <c r="I1096" s="6"/>
      <c r="J1096" s="10"/>
      <c r="K1096" s="10"/>
    </row>
    <row r="1097" spans="1:11" x14ac:dyDescent="0.3">
      <c r="A1097" s="7"/>
      <c r="B1097" s="6"/>
      <c r="C1097" s="6"/>
      <c r="D1097" s="6"/>
      <c r="E1097" s="8"/>
      <c r="F1097" s="8"/>
      <c r="G1097" s="6"/>
      <c r="H1097" s="9"/>
      <c r="I1097" s="6"/>
      <c r="J1097" s="10"/>
      <c r="K1097" s="10"/>
    </row>
    <row r="1098" spans="1:11" x14ac:dyDescent="0.3">
      <c r="A1098" s="7"/>
      <c r="B1098" s="6"/>
      <c r="C1098" s="6"/>
      <c r="D1098" s="6"/>
      <c r="E1098" s="8"/>
      <c r="F1098" s="8"/>
      <c r="G1098" s="6"/>
      <c r="H1098" s="9"/>
      <c r="I1098" s="6"/>
      <c r="J1098" s="10"/>
      <c r="K1098" s="10"/>
    </row>
    <row r="1099" spans="1:11" x14ac:dyDescent="0.3">
      <c r="A1099" s="7"/>
      <c r="B1099" s="6"/>
      <c r="C1099" s="6"/>
      <c r="D1099" s="6"/>
      <c r="E1099" s="8"/>
      <c r="F1099" s="8"/>
      <c r="G1099" s="6"/>
      <c r="H1099" s="9"/>
      <c r="I1099" s="6"/>
      <c r="J1099" s="10"/>
      <c r="K1099" s="10"/>
    </row>
    <row r="1100" spans="1:11" x14ac:dyDescent="0.3">
      <c r="A1100" s="7"/>
      <c r="B1100" s="6"/>
      <c r="C1100" s="6"/>
      <c r="D1100" s="6"/>
      <c r="E1100" s="8"/>
      <c r="F1100" s="8"/>
      <c r="G1100" s="6"/>
      <c r="H1100" s="9"/>
      <c r="I1100" s="6"/>
      <c r="J1100" s="10"/>
      <c r="K1100" s="10"/>
    </row>
    <row r="1101" spans="1:11" x14ac:dyDescent="0.3">
      <c r="A1101" s="7"/>
      <c r="B1101" s="6"/>
      <c r="C1101" s="6"/>
      <c r="D1101" s="6"/>
      <c r="E1101" s="8"/>
      <c r="F1101" s="8"/>
      <c r="G1101" s="6"/>
      <c r="H1101" s="9"/>
      <c r="I1101" s="6"/>
      <c r="J1101" s="10"/>
      <c r="K1101" s="10"/>
    </row>
    <row r="1102" spans="1:11" x14ac:dyDescent="0.3">
      <c r="A1102" s="7"/>
      <c r="B1102" s="6"/>
      <c r="C1102" s="6"/>
      <c r="D1102" s="6"/>
      <c r="E1102" s="8"/>
      <c r="F1102" s="8"/>
      <c r="G1102" s="6"/>
      <c r="H1102" s="9"/>
      <c r="I1102" s="6"/>
      <c r="J1102" s="10"/>
      <c r="K1102" s="10"/>
    </row>
    <row r="1103" spans="1:11" x14ac:dyDescent="0.3">
      <c r="A1103" s="7"/>
      <c r="B1103" s="6"/>
      <c r="C1103" s="6"/>
      <c r="D1103" s="6"/>
      <c r="E1103" s="8"/>
      <c r="F1103" s="8"/>
      <c r="G1103" s="6"/>
      <c r="H1103" s="9"/>
      <c r="I1103" s="6"/>
      <c r="J1103" s="10"/>
      <c r="K1103" s="10"/>
    </row>
    <row r="1104" spans="1:11" x14ac:dyDescent="0.3">
      <c r="A1104" s="7"/>
      <c r="B1104" s="6"/>
      <c r="C1104" s="6"/>
      <c r="D1104" s="6"/>
      <c r="E1104" s="8"/>
      <c r="F1104" s="8"/>
      <c r="G1104" s="6"/>
      <c r="H1104" s="9"/>
      <c r="I1104" s="6"/>
      <c r="J1104" s="10"/>
      <c r="K1104" s="10"/>
    </row>
    <row r="1105" spans="1:11" x14ac:dyDescent="0.3">
      <c r="A1105" s="7"/>
      <c r="B1105" s="6"/>
      <c r="C1105" s="6"/>
      <c r="D1105" s="6"/>
      <c r="E1105" s="8"/>
      <c r="F1105" s="8"/>
      <c r="G1105" s="6"/>
      <c r="H1105" s="9"/>
      <c r="I1105" s="6"/>
      <c r="J1105" s="10"/>
      <c r="K1105" s="10"/>
    </row>
    <row r="1106" spans="1:11" x14ac:dyDescent="0.3">
      <c r="A1106" s="7"/>
      <c r="B1106" s="6"/>
      <c r="C1106" s="6"/>
      <c r="D1106" s="6"/>
      <c r="E1106" s="8"/>
      <c r="F1106" s="8"/>
      <c r="G1106" s="6"/>
      <c r="H1106" s="9"/>
      <c r="I1106" s="6"/>
      <c r="J1106" s="10"/>
      <c r="K1106" s="10"/>
    </row>
    <row r="1107" spans="1:11" x14ac:dyDescent="0.3">
      <c r="A1107" s="7"/>
      <c r="B1107" s="6"/>
      <c r="C1107" s="6"/>
      <c r="D1107" s="6"/>
      <c r="E1107" s="8"/>
      <c r="F1107" s="8"/>
      <c r="G1107" s="6"/>
      <c r="H1107" s="9"/>
      <c r="I1107" s="6"/>
      <c r="J1107" s="10"/>
      <c r="K1107" s="10"/>
    </row>
    <row r="1108" spans="1:11" x14ac:dyDescent="0.3">
      <c r="A1108" s="7"/>
      <c r="B1108" s="6"/>
      <c r="C1108" s="6"/>
      <c r="D1108" s="6"/>
      <c r="E1108" s="8"/>
      <c r="F1108" s="8"/>
      <c r="G1108" s="6"/>
      <c r="H1108" s="9"/>
      <c r="I1108" s="6"/>
      <c r="J1108" s="10"/>
      <c r="K1108" s="10"/>
    </row>
    <row r="1109" spans="1:11" x14ac:dyDescent="0.3">
      <c r="A1109" s="7"/>
      <c r="B1109" s="6"/>
      <c r="C1109" s="6"/>
      <c r="D1109" s="6"/>
      <c r="E1109" s="8"/>
      <c r="F1109" s="8"/>
      <c r="G1109" s="6"/>
      <c r="H1109" s="9"/>
      <c r="I1109" s="6"/>
      <c r="J1109" s="10"/>
      <c r="K1109" s="10"/>
    </row>
    <row r="1110" spans="1:11" x14ac:dyDescent="0.3">
      <c r="A1110" s="7"/>
      <c r="B1110" s="6"/>
      <c r="C1110" s="6"/>
      <c r="D1110" s="6"/>
      <c r="E1110" s="8"/>
      <c r="F1110" s="8"/>
      <c r="G1110" s="6"/>
      <c r="H1110" s="9"/>
      <c r="I1110" s="6"/>
      <c r="J1110" s="10"/>
      <c r="K1110" s="10"/>
    </row>
    <row r="1111" spans="1:11" x14ac:dyDescent="0.3">
      <c r="A1111" s="7"/>
      <c r="B1111" s="6"/>
      <c r="C1111" s="6"/>
      <c r="D1111" s="6"/>
      <c r="E1111" s="8"/>
      <c r="F1111" s="8"/>
      <c r="G1111" s="6"/>
      <c r="H1111" s="9"/>
      <c r="I1111" s="6"/>
      <c r="J1111" s="10"/>
      <c r="K1111" s="10"/>
    </row>
    <row r="1112" spans="1:11" x14ac:dyDescent="0.3">
      <c r="A1112" s="7"/>
      <c r="B1112" s="6"/>
      <c r="C1112" s="6"/>
      <c r="D1112" s="6"/>
      <c r="E1112" s="8"/>
      <c r="F1112" s="8"/>
      <c r="G1112" s="6"/>
      <c r="H1112" s="9"/>
      <c r="I1112" s="6"/>
      <c r="J1112" s="10"/>
      <c r="K1112" s="10"/>
    </row>
    <row r="1113" spans="1:11" x14ac:dyDescent="0.3">
      <c r="A1113" s="7"/>
      <c r="B1113" s="6"/>
      <c r="C1113" s="6"/>
      <c r="D1113" s="6"/>
      <c r="E1113" s="8"/>
      <c r="F1113" s="8"/>
      <c r="G1113" s="6"/>
      <c r="H1113" s="9"/>
      <c r="I1113" s="6"/>
      <c r="J1113" s="10"/>
      <c r="K1113" s="10"/>
    </row>
    <row r="1114" spans="1:11" x14ac:dyDescent="0.3">
      <c r="A1114" s="7"/>
      <c r="B1114" s="6"/>
      <c r="C1114" s="6"/>
      <c r="D1114" s="6"/>
      <c r="E1114" s="8"/>
      <c r="F1114" s="8"/>
      <c r="G1114" s="6"/>
      <c r="H1114" s="9"/>
      <c r="I1114" s="6"/>
      <c r="J1114" s="10"/>
      <c r="K1114" s="10"/>
    </row>
    <row r="1115" spans="1:11" x14ac:dyDescent="0.3">
      <c r="A1115" s="7"/>
      <c r="B1115" s="6"/>
      <c r="C1115" s="6"/>
      <c r="D1115" s="6"/>
      <c r="E1115" s="8"/>
      <c r="F1115" s="8"/>
      <c r="G1115" s="6"/>
      <c r="H1115" s="9"/>
      <c r="I1115" s="6"/>
      <c r="J1115" s="10"/>
      <c r="K1115" s="10"/>
    </row>
    <row r="1116" spans="1:11" x14ac:dyDescent="0.3">
      <c r="A1116" s="7"/>
      <c r="B1116" s="6"/>
      <c r="C1116" s="6"/>
      <c r="D1116" s="6"/>
      <c r="E1116" s="8"/>
      <c r="F1116" s="8"/>
      <c r="G1116" s="6"/>
      <c r="H1116" s="9"/>
      <c r="I1116" s="6"/>
      <c r="J1116" s="10"/>
      <c r="K1116" s="10"/>
    </row>
    <row r="1117" spans="1:11" x14ac:dyDescent="0.3">
      <c r="A1117" s="7"/>
      <c r="B1117" s="6"/>
      <c r="C1117" s="6"/>
      <c r="D1117" s="6"/>
      <c r="E1117" s="8"/>
      <c r="F1117" s="8"/>
      <c r="G1117" s="6"/>
      <c r="H1117" s="9"/>
      <c r="I1117" s="6"/>
      <c r="J1117" s="10"/>
      <c r="K1117" s="10"/>
    </row>
    <row r="1118" spans="1:11" x14ac:dyDescent="0.3">
      <c r="A1118" s="7"/>
      <c r="B1118" s="6"/>
      <c r="C1118" s="6"/>
      <c r="D1118" s="6"/>
      <c r="E1118" s="8"/>
      <c r="F1118" s="8"/>
      <c r="G1118" s="6"/>
      <c r="H1118" s="9"/>
      <c r="I1118" s="6"/>
      <c r="J1118" s="10"/>
      <c r="K1118" s="10"/>
    </row>
    <row r="1119" spans="1:11" x14ac:dyDescent="0.3">
      <c r="A1119" s="7"/>
      <c r="B1119" s="6"/>
      <c r="C1119" s="6"/>
      <c r="D1119" s="6"/>
      <c r="E1119" s="8"/>
      <c r="F1119" s="8"/>
      <c r="G1119" s="6"/>
      <c r="H1119" s="9"/>
      <c r="I1119" s="6"/>
      <c r="J1119" s="10"/>
      <c r="K1119" s="10"/>
    </row>
    <row r="1120" spans="1:11" x14ac:dyDescent="0.3">
      <c r="A1120" s="7"/>
      <c r="B1120" s="6"/>
      <c r="C1120" s="6"/>
      <c r="D1120" s="6"/>
      <c r="E1120" s="8"/>
      <c r="F1120" s="8"/>
      <c r="G1120" s="6"/>
      <c r="H1120" s="9"/>
      <c r="I1120" s="6"/>
      <c r="J1120" s="10"/>
      <c r="K1120" s="10"/>
    </row>
    <row r="1121" spans="1:11" x14ac:dyDescent="0.3">
      <c r="A1121" s="7"/>
      <c r="B1121" s="6"/>
      <c r="C1121" s="6"/>
      <c r="D1121" s="6"/>
      <c r="E1121" s="8"/>
      <c r="F1121" s="8"/>
      <c r="G1121" s="6"/>
      <c r="H1121" s="9"/>
      <c r="I1121" s="6"/>
      <c r="J1121" s="10"/>
      <c r="K1121" s="10"/>
    </row>
    <row r="1122" spans="1:11" x14ac:dyDescent="0.3">
      <c r="A1122" s="7"/>
      <c r="B1122" s="6"/>
      <c r="C1122" s="6"/>
      <c r="D1122" s="6"/>
      <c r="E1122" s="8"/>
      <c r="F1122" s="8"/>
      <c r="G1122" s="6"/>
      <c r="H1122" s="9"/>
      <c r="I1122" s="6"/>
      <c r="J1122" s="10"/>
      <c r="K1122" s="10"/>
    </row>
    <row r="1123" spans="1:11" x14ac:dyDescent="0.3">
      <c r="A1123" s="7"/>
      <c r="B1123" s="6"/>
      <c r="C1123" s="6"/>
      <c r="D1123" s="6"/>
      <c r="E1123" s="8"/>
      <c r="F1123" s="8"/>
      <c r="G1123" s="6"/>
      <c r="H1123" s="9"/>
      <c r="I1123" s="6"/>
      <c r="J1123" s="10"/>
      <c r="K1123" s="10"/>
    </row>
    <row r="1124" spans="1:11" x14ac:dyDescent="0.3">
      <c r="A1124" s="7"/>
      <c r="B1124" s="6"/>
      <c r="C1124" s="6"/>
      <c r="D1124" s="6"/>
      <c r="E1124" s="8"/>
      <c r="F1124" s="8"/>
      <c r="G1124" s="6"/>
      <c r="H1124" s="9"/>
      <c r="I1124" s="6"/>
      <c r="J1124" s="10"/>
      <c r="K1124" s="10"/>
    </row>
    <row r="1125" spans="1:11" x14ac:dyDescent="0.3">
      <c r="A1125" s="7"/>
      <c r="B1125" s="6"/>
      <c r="C1125" s="6"/>
      <c r="D1125" s="6"/>
      <c r="E1125" s="8"/>
      <c r="F1125" s="8"/>
      <c r="G1125" s="6"/>
      <c r="H1125" s="9"/>
      <c r="I1125" s="6"/>
      <c r="J1125" s="10"/>
      <c r="K1125" s="10"/>
    </row>
    <row r="1126" spans="1:11" x14ac:dyDescent="0.3">
      <c r="A1126" s="7"/>
      <c r="B1126" s="6"/>
      <c r="C1126" s="6"/>
      <c r="D1126" s="6"/>
      <c r="E1126" s="8"/>
      <c r="F1126" s="8"/>
      <c r="G1126" s="6"/>
      <c r="H1126" s="9"/>
      <c r="I1126" s="6"/>
      <c r="J1126" s="10"/>
      <c r="K1126" s="10"/>
    </row>
    <row r="1127" spans="1:11" x14ac:dyDescent="0.3">
      <c r="A1127" s="7"/>
      <c r="B1127" s="6"/>
      <c r="C1127" s="6"/>
      <c r="D1127" s="6"/>
      <c r="E1127" s="8"/>
      <c r="F1127" s="8"/>
      <c r="G1127" s="6"/>
      <c r="H1127" s="9"/>
      <c r="I1127" s="6"/>
      <c r="J1127" s="10"/>
      <c r="K1127" s="10"/>
    </row>
    <row r="1128" spans="1:11" x14ac:dyDescent="0.3">
      <c r="A1128" s="7"/>
      <c r="B1128" s="6"/>
      <c r="C1128" s="6"/>
      <c r="D1128" s="6"/>
      <c r="E1128" s="8"/>
      <c r="F1128" s="8"/>
      <c r="G1128" s="6"/>
      <c r="H1128" s="9"/>
      <c r="I1128" s="6"/>
      <c r="J1128" s="10"/>
      <c r="K1128" s="10"/>
    </row>
    <row r="1129" spans="1:11" x14ac:dyDescent="0.3">
      <c r="A1129" s="7"/>
      <c r="B1129" s="6"/>
      <c r="C1129" s="6"/>
      <c r="D1129" s="6"/>
      <c r="E1129" s="8"/>
      <c r="F1129" s="8"/>
      <c r="G1129" s="6"/>
      <c r="H1129" s="9"/>
      <c r="I1129" s="6"/>
      <c r="J1129" s="10"/>
      <c r="K1129" s="10"/>
    </row>
    <row r="1130" spans="1:11" x14ac:dyDescent="0.3">
      <c r="A1130" s="7"/>
      <c r="B1130" s="6"/>
      <c r="C1130" s="6"/>
      <c r="D1130" s="6"/>
      <c r="E1130" s="8"/>
      <c r="F1130" s="8"/>
      <c r="G1130" s="6"/>
      <c r="H1130" s="9"/>
      <c r="I1130" s="6"/>
      <c r="J1130" s="10"/>
      <c r="K1130" s="10"/>
    </row>
    <row r="1131" spans="1:11" x14ac:dyDescent="0.3">
      <c r="A1131" s="7"/>
      <c r="B1131" s="6"/>
      <c r="C1131" s="6"/>
      <c r="D1131" s="6"/>
      <c r="E1131" s="8"/>
      <c r="F1131" s="8"/>
      <c r="G1131" s="6"/>
      <c r="H1131" s="9"/>
      <c r="I1131" s="6"/>
      <c r="J1131" s="10"/>
      <c r="K1131" s="10"/>
    </row>
    <row r="1132" spans="1:11" x14ac:dyDescent="0.3">
      <c r="A1132" s="7"/>
      <c r="B1132" s="6"/>
      <c r="C1132" s="6"/>
      <c r="D1132" s="6"/>
      <c r="E1132" s="8"/>
      <c r="F1132" s="8"/>
      <c r="G1132" s="6"/>
      <c r="H1132" s="9"/>
      <c r="I1132" s="6"/>
      <c r="J1132" s="10"/>
      <c r="K1132" s="10"/>
    </row>
    <row r="1133" spans="1:11" x14ac:dyDescent="0.3">
      <c r="A1133" s="7"/>
      <c r="B1133" s="6"/>
      <c r="C1133" s="6"/>
      <c r="D1133" s="6"/>
      <c r="E1133" s="8"/>
      <c r="F1133" s="8"/>
      <c r="G1133" s="6"/>
      <c r="H1133" s="9"/>
      <c r="I1133" s="6"/>
      <c r="J1133" s="10"/>
      <c r="K1133" s="10"/>
    </row>
    <row r="1134" spans="1:11" x14ac:dyDescent="0.3">
      <c r="A1134" s="7"/>
      <c r="B1134" s="6"/>
      <c r="C1134" s="6"/>
      <c r="D1134" s="6"/>
      <c r="E1134" s="8"/>
      <c r="F1134" s="8"/>
      <c r="G1134" s="6"/>
      <c r="H1134" s="9"/>
      <c r="I1134" s="6"/>
      <c r="J1134" s="10"/>
      <c r="K1134" s="10"/>
    </row>
    <row r="1135" spans="1:11" x14ac:dyDescent="0.3">
      <c r="A1135" s="7"/>
      <c r="B1135" s="6"/>
      <c r="C1135" s="6"/>
      <c r="D1135" s="6"/>
      <c r="E1135" s="8"/>
      <c r="F1135" s="8"/>
      <c r="G1135" s="6"/>
      <c r="H1135" s="9"/>
      <c r="I1135" s="6"/>
      <c r="J1135" s="10"/>
      <c r="K1135" s="10"/>
    </row>
    <row r="1136" spans="1:11" x14ac:dyDescent="0.3">
      <c r="A1136" s="7"/>
      <c r="B1136" s="6"/>
      <c r="C1136" s="6"/>
      <c r="D1136" s="6"/>
      <c r="E1136" s="8"/>
      <c r="F1136" s="8"/>
      <c r="G1136" s="6"/>
      <c r="H1136" s="9"/>
      <c r="I1136" s="6"/>
      <c r="J1136" s="10"/>
      <c r="K1136" s="10"/>
    </row>
    <row r="1137" spans="1:11" x14ac:dyDescent="0.3">
      <c r="A1137" s="7"/>
      <c r="B1137" s="6"/>
      <c r="C1137" s="6"/>
      <c r="D1137" s="6"/>
      <c r="E1137" s="8"/>
      <c r="F1137" s="8"/>
      <c r="G1137" s="6"/>
      <c r="H1137" s="9"/>
      <c r="I1137" s="6"/>
      <c r="J1137" s="10"/>
      <c r="K1137" s="10"/>
    </row>
    <row r="1138" spans="1:11" x14ac:dyDescent="0.3">
      <c r="A1138" s="7"/>
      <c r="B1138" s="6"/>
      <c r="C1138" s="6"/>
      <c r="D1138" s="6"/>
      <c r="E1138" s="8"/>
      <c r="F1138" s="8"/>
      <c r="G1138" s="6"/>
      <c r="H1138" s="9"/>
      <c r="I1138" s="6"/>
      <c r="J1138" s="10"/>
      <c r="K1138" s="10"/>
    </row>
    <row r="1139" spans="1:11" x14ac:dyDescent="0.3">
      <c r="A1139" s="7"/>
      <c r="B1139" s="6"/>
      <c r="C1139" s="6"/>
      <c r="D1139" s="6"/>
      <c r="E1139" s="8"/>
      <c r="F1139" s="8"/>
      <c r="G1139" s="6"/>
      <c r="H1139" s="9"/>
      <c r="I1139" s="6"/>
      <c r="J1139" s="10"/>
      <c r="K1139" s="10"/>
    </row>
    <row r="1140" spans="1:11" x14ac:dyDescent="0.3">
      <c r="A1140" s="7"/>
      <c r="B1140" s="6"/>
      <c r="C1140" s="6"/>
      <c r="D1140" s="6"/>
      <c r="E1140" s="8"/>
      <c r="F1140" s="8"/>
      <c r="G1140" s="6"/>
      <c r="H1140" s="9"/>
      <c r="I1140" s="6"/>
      <c r="J1140" s="10"/>
      <c r="K1140" s="10"/>
    </row>
    <row r="1141" spans="1:11" x14ac:dyDescent="0.3">
      <c r="A1141" s="7"/>
      <c r="B1141" s="6"/>
      <c r="C1141" s="6"/>
      <c r="D1141" s="6"/>
      <c r="E1141" s="8"/>
      <c r="F1141" s="8"/>
      <c r="G1141" s="6"/>
      <c r="H1141" s="9"/>
      <c r="I1141" s="6"/>
      <c r="J1141" s="10"/>
      <c r="K1141" s="10"/>
    </row>
    <row r="1142" spans="1:11" x14ac:dyDescent="0.3">
      <c r="A1142" s="7"/>
      <c r="B1142" s="6"/>
      <c r="C1142" s="6"/>
      <c r="D1142" s="6"/>
      <c r="E1142" s="8"/>
      <c r="F1142" s="8"/>
      <c r="G1142" s="6"/>
      <c r="H1142" s="9"/>
      <c r="I1142" s="6"/>
      <c r="J1142" s="10"/>
      <c r="K1142" s="10"/>
    </row>
    <row r="1143" spans="1:11" x14ac:dyDescent="0.3">
      <c r="A1143" s="7"/>
      <c r="B1143" s="6"/>
      <c r="C1143" s="6"/>
      <c r="D1143" s="6"/>
      <c r="E1143" s="8"/>
      <c r="F1143" s="8"/>
      <c r="G1143" s="6"/>
      <c r="H1143" s="9"/>
      <c r="I1143" s="6"/>
      <c r="J1143" s="10"/>
      <c r="K1143" s="10"/>
    </row>
    <row r="1144" spans="1:11" x14ac:dyDescent="0.3">
      <c r="A1144" s="7"/>
      <c r="B1144" s="6"/>
      <c r="C1144" s="6"/>
      <c r="D1144" s="6"/>
      <c r="E1144" s="8"/>
      <c r="F1144" s="8"/>
      <c r="G1144" s="6"/>
      <c r="H1144" s="9"/>
      <c r="I1144" s="6"/>
      <c r="J1144" s="10"/>
      <c r="K1144" s="10"/>
    </row>
    <row r="1145" spans="1:11" x14ac:dyDescent="0.3">
      <c r="A1145" s="7"/>
      <c r="B1145" s="6"/>
      <c r="C1145" s="6"/>
      <c r="D1145" s="6"/>
      <c r="E1145" s="8"/>
      <c r="F1145" s="8"/>
      <c r="G1145" s="6"/>
      <c r="H1145" s="9"/>
      <c r="I1145" s="6"/>
      <c r="J1145" s="10"/>
      <c r="K1145" s="10"/>
    </row>
    <row r="1146" spans="1:11" x14ac:dyDescent="0.3">
      <c r="A1146" s="7"/>
      <c r="B1146" s="6"/>
      <c r="C1146" s="6"/>
      <c r="D1146" s="6"/>
      <c r="E1146" s="8"/>
      <c r="F1146" s="8"/>
      <c r="G1146" s="6"/>
      <c r="H1146" s="9"/>
      <c r="I1146" s="6"/>
      <c r="J1146" s="10"/>
      <c r="K1146" s="10"/>
    </row>
    <row r="1147" spans="1:11" x14ac:dyDescent="0.3">
      <c r="A1147" s="7"/>
      <c r="B1147" s="6"/>
      <c r="C1147" s="6"/>
      <c r="D1147" s="6"/>
      <c r="E1147" s="8"/>
      <c r="F1147" s="8"/>
      <c r="G1147" s="6"/>
      <c r="H1147" s="9"/>
      <c r="I1147" s="6"/>
      <c r="J1147" s="10"/>
      <c r="K1147" s="10"/>
    </row>
    <row r="1148" spans="1:11" x14ac:dyDescent="0.3">
      <c r="A1148" s="7"/>
      <c r="B1148" s="6"/>
      <c r="C1148" s="6"/>
      <c r="D1148" s="6"/>
      <c r="E1148" s="8"/>
      <c r="F1148" s="8"/>
      <c r="G1148" s="6"/>
      <c r="H1148" s="9"/>
      <c r="I1148" s="6"/>
      <c r="J1148" s="10"/>
      <c r="K1148" s="10"/>
    </row>
    <row r="1149" spans="1:11" x14ac:dyDescent="0.3">
      <c r="A1149" s="7"/>
      <c r="B1149" s="6"/>
      <c r="C1149" s="6"/>
      <c r="D1149" s="6"/>
      <c r="E1149" s="8"/>
      <c r="F1149" s="8"/>
      <c r="G1149" s="6"/>
      <c r="H1149" s="9"/>
      <c r="I1149" s="6"/>
      <c r="J1149" s="10"/>
      <c r="K1149" s="10"/>
    </row>
    <row r="1150" spans="1:11" x14ac:dyDescent="0.3">
      <c r="A1150" s="7"/>
      <c r="B1150" s="6"/>
      <c r="C1150" s="6"/>
      <c r="D1150" s="6"/>
      <c r="E1150" s="8"/>
      <c r="F1150" s="8"/>
      <c r="G1150" s="6"/>
      <c r="H1150" s="9"/>
      <c r="I1150" s="6"/>
      <c r="J1150" s="10"/>
      <c r="K1150" s="10"/>
    </row>
    <row r="1151" spans="1:11" x14ac:dyDescent="0.3">
      <c r="A1151" s="7"/>
      <c r="B1151" s="6"/>
      <c r="C1151" s="6"/>
      <c r="D1151" s="6"/>
      <c r="E1151" s="8"/>
      <c r="F1151" s="8"/>
      <c r="G1151" s="6"/>
      <c r="H1151" s="9"/>
      <c r="I1151" s="6"/>
      <c r="J1151" s="10"/>
      <c r="K1151" s="10"/>
    </row>
    <row r="1152" spans="1:11" x14ac:dyDescent="0.3">
      <c r="A1152" s="7"/>
      <c r="B1152" s="6"/>
      <c r="C1152" s="6"/>
      <c r="D1152" s="6"/>
      <c r="E1152" s="8"/>
      <c r="F1152" s="8"/>
      <c r="G1152" s="6"/>
      <c r="H1152" s="9"/>
      <c r="I1152" s="6"/>
      <c r="J1152" s="10"/>
      <c r="K1152" s="10"/>
    </row>
    <row r="1153" spans="1:11" x14ac:dyDescent="0.3">
      <c r="A1153" s="7"/>
      <c r="B1153" s="6"/>
      <c r="C1153" s="6"/>
      <c r="D1153" s="6"/>
      <c r="E1153" s="8"/>
      <c r="F1153" s="8"/>
      <c r="G1153" s="6"/>
      <c r="H1153" s="9"/>
      <c r="I1153" s="6"/>
      <c r="J1153" s="10"/>
      <c r="K1153" s="10"/>
    </row>
    <row r="1154" spans="1:11" x14ac:dyDescent="0.3">
      <c r="A1154" s="7"/>
      <c r="B1154" s="6"/>
      <c r="C1154" s="6"/>
      <c r="D1154" s="6"/>
      <c r="E1154" s="8"/>
      <c r="F1154" s="8"/>
      <c r="G1154" s="6"/>
      <c r="H1154" s="9"/>
      <c r="I1154" s="6"/>
      <c r="J1154" s="10"/>
      <c r="K1154" s="10"/>
    </row>
    <row r="1155" spans="1:11" x14ac:dyDescent="0.3">
      <c r="A1155" s="7"/>
      <c r="B1155" s="6"/>
      <c r="C1155" s="6"/>
      <c r="D1155" s="6"/>
      <c r="E1155" s="8"/>
      <c r="F1155" s="8"/>
      <c r="G1155" s="6"/>
      <c r="H1155" s="9"/>
      <c r="I1155" s="6"/>
      <c r="J1155" s="10"/>
      <c r="K1155" s="10"/>
    </row>
    <row r="1156" spans="1:11" x14ac:dyDescent="0.3">
      <c r="A1156" s="7"/>
      <c r="B1156" s="6"/>
      <c r="C1156" s="6"/>
      <c r="D1156" s="6"/>
      <c r="E1156" s="8"/>
      <c r="F1156" s="8"/>
      <c r="G1156" s="6"/>
      <c r="H1156" s="9"/>
      <c r="I1156" s="6"/>
      <c r="J1156" s="10"/>
      <c r="K1156" s="10"/>
    </row>
    <row r="1157" spans="1:11" x14ac:dyDescent="0.3">
      <c r="A1157" s="7"/>
      <c r="B1157" s="6"/>
      <c r="C1157" s="6"/>
      <c r="D1157" s="6"/>
      <c r="E1157" s="8"/>
      <c r="F1157" s="8"/>
      <c r="G1157" s="6"/>
      <c r="H1157" s="9"/>
      <c r="I1157" s="6"/>
      <c r="J1157" s="10"/>
      <c r="K1157" s="10"/>
    </row>
    <row r="1158" spans="1:11" x14ac:dyDescent="0.3">
      <c r="A1158" s="7"/>
      <c r="B1158" s="6"/>
      <c r="C1158" s="6"/>
      <c r="D1158" s="6"/>
      <c r="E1158" s="8"/>
      <c r="F1158" s="8"/>
      <c r="G1158" s="6"/>
      <c r="H1158" s="9"/>
      <c r="I1158" s="6"/>
      <c r="J1158" s="10"/>
      <c r="K1158" s="10"/>
    </row>
    <row r="1159" spans="1:11" x14ac:dyDescent="0.3">
      <c r="A1159" s="7"/>
      <c r="B1159" s="6"/>
      <c r="C1159" s="6"/>
      <c r="D1159" s="6"/>
      <c r="E1159" s="8"/>
      <c r="F1159" s="8"/>
      <c r="G1159" s="6"/>
      <c r="H1159" s="9"/>
      <c r="I1159" s="6"/>
      <c r="J1159" s="10"/>
      <c r="K1159" s="10"/>
    </row>
    <row r="1160" spans="1:11" x14ac:dyDescent="0.3">
      <c r="A1160" s="7"/>
      <c r="B1160" s="6"/>
      <c r="C1160" s="6"/>
      <c r="D1160" s="6"/>
      <c r="E1160" s="8"/>
      <c r="F1160" s="8"/>
      <c r="G1160" s="6"/>
      <c r="H1160" s="9"/>
      <c r="I1160" s="6"/>
      <c r="J1160" s="10"/>
      <c r="K1160" s="10"/>
    </row>
    <row r="1161" spans="1:11" x14ac:dyDescent="0.3">
      <c r="A1161" s="7"/>
      <c r="B1161" s="6"/>
      <c r="C1161" s="6"/>
      <c r="D1161" s="6"/>
      <c r="E1161" s="8"/>
      <c r="F1161" s="8"/>
      <c r="G1161" s="6"/>
      <c r="H1161" s="9"/>
      <c r="I1161" s="6"/>
      <c r="J1161" s="10"/>
      <c r="K1161" s="10"/>
    </row>
    <row r="1162" spans="1:11" x14ac:dyDescent="0.3">
      <c r="A1162" s="7"/>
      <c r="B1162" s="6"/>
      <c r="C1162" s="6"/>
      <c r="D1162" s="6"/>
      <c r="E1162" s="8"/>
      <c r="F1162" s="8"/>
      <c r="G1162" s="6"/>
      <c r="H1162" s="9"/>
      <c r="I1162" s="6"/>
      <c r="J1162" s="10"/>
      <c r="K1162" s="10"/>
    </row>
    <row r="1163" spans="1:11" x14ac:dyDescent="0.3">
      <c r="A1163" s="7"/>
      <c r="B1163" s="6"/>
      <c r="C1163" s="6"/>
      <c r="D1163" s="6"/>
      <c r="E1163" s="8"/>
      <c r="F1163" s="8"/>
      <c r="G1163" s="6"/>
      <c r="H1163" s="9"/>
      <c r="I1163" s="6"/>
      <c r="J1163" s="10"/>
      <c r="K1163" s="10"/>
    </row>
    <row r="1164" spans="1:11" x14ac:dyDescent="0.3">
      <c r="A1164" s="7"/>
      <c r="B1164" s="6"/>
      <c r="C1164" s="6"/>
      <c r="D1164" s="6"/>
      <c r="E1164" s="8"/>
      <c r="F1164" s="8"/>
      <c r="G1164" s="6"/>
      <c r="H1164" s="9"/>
      <c r="I1164" s="6"/>
      <c r="J1164" s="10"/>
      <c r="K1164" s="10"/>
    </row>
    <row r="1165" spans="1:11" x14ac:dyDescent="0.3">
      <c r="A1165" s="7"/>
      <c r="B1165" s="6"/>
      <c r="C1165" s="6"/>
      <c r="D1165" s="6"/>
      <c r="E1165" s="8"/>
      <c r="F1165" s="8"/>
      <c r="G1165" s="6"/>
      <c r="H1165" s="9"/>
      <c r="I1165" s="6"/>
      <c r="J1165" s="10"/>
      <c r="K1165" s="10"/>
    </row>
    <row r="1166" spans="1:11" x14ac:dyDescent="0.3">
      <c r="A1166" s="7"/>
      <c r="B1166" s="6"/>
      <c r="C1166" s="6"/>
      <c r="D1166" s="6"/>
      <c r="E1166" s="8"/>
      <c r="F1166" s="8"/>
      <c r="G1166" s="6"/>
      <c r="H1166" s="9"/>
      <c r="I1166" s="6"/>
      <c r="J1166" s="10"/>
      <c r="K1166" s="10"/>
    </row>
    <row r="1167" spans="1:11" x14ac:dyDescent="0.3">
      <c r="A1167" s="7"/>
      <c r="B1167" s="6"/>
      <c r="C1167" s="6"/>
      <c r="D1167" s="6"/>
      <c r="E1167" s="8"/>
      <c r="F1167" s="8"/>
      <c r="G1167" s="6"/>
      <c r="H1167" s="9"/>
      <c r="I1167" s="6"/>
      <c r="J1167" s="10"/>
      <c r="K1167" s="10"/>
    </row>
    <row r="1168" spans="1:11" x14ac:dyDescent="0.3">
      <c r="A1168" s="7"/>
      <c r="B1168" s="6"/>
      <c r="C1168" s="6"/>
      <c r="D1168" s="6"/>
      <c r="E1168" s="8"/>
      <c r="F1168" s="8"/>
      <c r="G1168" s="6"/>
      <c r="H1168" s="9"/>
      <c r="I1168" s="6"/>
      <c r="J1168" s="10"/>
      <c r="K1168" s="10"/>
    </row>
    <row r="1169" spans="1:11" x14ac:dyDescent="0.3">
      <c r="A1169" s="7"/>
      <c r="B1169" s="6"/>
      <c r="C1169" s="6"/>
      <c r="D1169" s="6"/>
      <c r="E1169" s="8"/>
      <c r="F1169" s="8"/>
      <c r="G1169" s="6"/>
      <c r="H1169" s="9"/>
      <c r="I1169" s="6"/>
      <c r="J1169" s="10"/>
      <c r="K1169" s="10"/>
    </row>
    <row r="1170" spans="1:11" x14ac:dyDescent="0.3">
      <c r="A1170" s="7"/>
      <c r="B1170" s="6"/>
      <c r="C1170" s="6"/>
      <c r="D1170" s="6"/>
      <c r="E1170" s="8"/>
      <c r="F1170" s="8"/>
      <c r="G1170" s="6"/>
      <c r="H1170" s="9"/>
      <c r="I1170" s="6"/>
      <c r="J1170" s="10"/>
      <c r="K1170" s="10"/>
    </row>
    <row r="1171" spans="1:11" x14ac:dyDescent="0.3">
      <c r="A1171" s="7"/>
      <c r="B1171" s="6"/>
      <c r="C1171" s="6"/>
      <c r="D1171" s="6"/>
      <c r="E1171" s="8"/>
      <c r="F1171" s="8"/>
      <c r="G1171" s="6"/>
      <c r="H1171" s="9"/>
      <c r="I1171" s="6"/>
      <c r="J1171" s="10"/>
      <c r="K1171" s="10"/>
    </row>
    <row r="1172" spans="1:11" x14ac:dyDescent="0.3">
      <c r="A1172" s="7"/>
      <c r="B1172" s="6"/>
      <c r="C1172" s="6"/>
      <c r="D1172" s="6"/>
      <c r="E1172" s="8"/>
      <c r="F1172" s="8"/>
      <c r="G1172" s="6"/>
      <c r="H1172" s="9"/>
      <c r="I1172" s="6"/>
      <c r="J1172" s="10"/>
      <c r="K1172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K28"/>
  <sheetViews>
    <sheetView topLeftCell="A13" workbookViewId="0">
      <selection activeCell="Q12" sqref="Q12"/>
    </sheetView>
  </sheetViews>
  <sheetFormatPr defaultRowHeight="14.4" x14ac:dyDescent="0.3"/>
  <cols>
    <col min="1" max="1" width="21.5546875" bestFit="1" customWidth="1"/>
    <col min="7" max="7" width="11.5546875" bestFit="1" customWidth="1"/>
  </cols>
  <sheetData>
    <row r="1" spans="1:11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25</v>
      </c>
      <c r="I1" s="22" t="s">
        <v>26</v>
      </c>
      <c r="J1" s="22" t="s">
        <v>27</v>
      </c>
      <c r="K1" s="22" t="s">
        <v>28</v>
      </c>
    </row>
    <row r="2" spans="1:11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4">
        <f t="shared" ref="H2:H28" si="0">AVERAGE(B2:D2)</f>
        <v>576.66666666666663</v>
      </c>
      <c r="I2" s="24">
        <f t="shared" ref="I2:I28" si="1">MAX(B2:D2)</f>
        <v>660</v>
      </c>
      <c r="J2" s="26">
        <v>0</v>
      </c>
      <c r="K2" s="25">
        <v>0</v>
      </c>
    </row>
    <row r="3" spans="1:11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4">
        <f t="shared" si="0"/>
        <v>125</v>
      </c>
      <c r="I3" s="24">
        <f t="shared" si="1"/>
        <v>125</v>
      </c>
      <c r="J3" s="26">
        <v>53.166666666666664</v>
      </c>
      <c r="K3" s="25">
        <v>209</v>
      </c>
    </row>
    <row r="4" spans="1:11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4">
        <f t="shared" si="0"/>
        <v>8676.6666666666661</v>
      </c>
      <c r="I4" s="24">
        <f t="shared" si="1"/>
        <v>9510</v>
      </c>
      <c r="J4" s="26">
        <v>7759.083333333333</v>
      </c>
      <c r="K4" s="25">
        <v>11340</v>
      </c>
    </row>
    <row r="5" spans="1:11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4">
        <f t="shared" si="0"/>
        <v>1343.3333333333333</v>
      </c>
      <c r="I5" s="24">
        <f t="shared" si="1"/>
        <v>1660</v>
      </c>
      <c r="J5" s="26">
        <v>1251.9166666666667</v>
      </c>
      <c r="K5" s="25">
        <v>2513</v>
      </c>
    </row>
    <row r="6" spans="1:11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4">
        <f t="shared" si="0"/>
        <v>593.33333333333337</v>
      </c>
      <c r="I6" s="24">
        <f t="shared" si="1"/>
        <v>660</v>
      </c>
      <c r="J6" s="26">
        <v>612.91666666666663</v>
      </c>
      <c r="K6" s="25">
        <v>994</v>
      </c>
    </row>
    <row r="7" spans="1:11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4">
        <f t="shared" si="0"/>
        <v>183.33333333333334</v>
      </c>
      <c r="I7" s="24">
        <f t="shared" si="1"/>
        <v>250</v>
      </c>
      <c r="J7" s="26">
        <v>236.33333333333334</v>
      </c>
      <c r="K7" s="25">
        <v>1048</v>
      </c>
    </row>
    <row r="8" spans="1:11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4">
        <f t="shared" si="0"/>
        <v>376.66666666666669</v>
      </c>
      <c r="I8" s="24">
        <f t="shared" si="1"/>
        <v>510</v>
      </c>
      <c r="J8" s="26">
        <v>677.41666666666663</v>
      </c>
      <c r="K8" s="25">
        <v>3582</v>
      </c>
    </row>
    <row r="9" spans="1:11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4">
        <f t="shared" si="0"/>
        <v>68.333333333333329</v>
      </c>
      <c r="I9" s="24">
        <f t="shared" si="1"/>
        <v>75</v>
      </c>
      <c r="J9" s="26">
        <v>39.916666666666664</v>
      </c>
      <c r="K9" s="25">
        <v>54</v>
      </c>
    </row>
    <row r="10" spans="1:11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4">
        <f t="shared" si="0"/>
        <v>2480</v>
      </c>
      <c r="I10" s="24">
        <f t="shared" si="1"/>
        <v>2720</v>
      </c>
      <c r="J10" s="26">
        <v>2112.25</v>
      </c>
      <c r="K10" s="25">
        <v>3278</v>
      </c>
    </row>
    <row r="11" spans="1:11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4">
        <f t="shared" si="0"/>
        <v>938.33333333333337</v>
      </c>
      <c r="I11" s="24">
        <f t="shared" si="1"/>
        <v>1045</v>
      </c>
      <c r="J11" s="26">
        <v>817.58333333333337</v>
      </c>
      <c r="K11" s="25">
        <v>2636</v>
      </c>
    </row>
    <row r="12" spans="1:11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4">
        <f t="shared" si="0"/>
        <v>113</v>
      </c>
      <c r="I12" s="24">
        <f t="shared" si="1"/>
        <v>123</v>
      </c>
      <c r="J12" s="26">
        <v>108.25</v>
      </c>
      <c r="K12" s="25">
        <v>185</v>
      </c>
    </row>
    <row r="13" spans="1:11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4">
        <f t="shared" si="0"/>
        <v>175</v>
      </c>
      <c r="I13" s="24">
        <f t="shared" si="1"/>
        <v>210</v>
      </c>
      <c r="J13" s="26">
        <v>174.33333333333334</v>
      </c>
      <c r="K13" s="25">
        <v>396</v>
      </c>
    </row>
    <row r="14" spans="1:11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4">
        <f t="shared" si="0"/>
        <v>86.666666666666671</v>
      </c>
      <c r="I14" s="24">
        <f t="shared" si="1"/>
        <v>100</v>
      </c>
      <c r="J14" s="26">
        <v>93.916666666666671</v>
      </c>
      <c r="K14" s="25">
        <v>206</v>
      </c>
    </row>
    <row r="15" spans="1:11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4">
        <f t="shared" si="0"/>
        <v>111.66666666666667</v>
      </c>
      <c r="I15" s="24">
        <f t="shared" si="1"/>
        <v>145</v>
      </c>
      <c r="J15" s="26">
        <v>128.58333333333334</v>
      </c>
      <c r="K15" s="25">
        <v>252</v>
      </c>
    </row>
    <row r="16" spans="1:11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4">
        <f t="shared" si="0"/>
        <v>171.66666666666666</v>
      </c>
      <c r="I16" s="24">
        <f t="shared" si="1"/>
        <v>175</v>
      </c>
      <c r="J16" s="26">
        <v>200.25</v>
      </c>
      <c r="K16" s="25">
        <v>337</v>
      </c>
    </row>
    <row r="17" spans="1:11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4">
        <f t="shared" si="0"/>
        <v>80</v>
      </c>
      <c r="I17" s="24">
        <f t="shared" si="1"/>
        <v>140</v>
      </c>
      <c r="J17" s="26">
        <v>95</v>
      </c>
      <c r="K17" s="25">
        <v>157</v>
      </c>
    </row>
    <row r="18" spans="1:11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4">
        <f t="shared" si="0"/>
        <v>283.33333333333331</v>
      </c>
      <c r="I18" s="24">
        <f t="shared" si="1"/>
        <v>400</v>
      </c>
      <c r="J18" s="26">
        <v>0</v>
      </c>
      <c r="K18" s="25">
        <v>0</v>
      </c>
    </row>
    <row r="19" spans="1:11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4">
        <f t="shared" si="0"/>
        <v>846.66666666666663</v>
      </c>
      <c r="I19" s="24">
        <f t="shared" si="1"/>
        <v>1050</v>
      </c>
      <c r="J19" s="26">
        <v>984.83333333333337</v>
      </c>
      <c r="K19" s="25">
        <v>1854</v>
      </c>
    </row>
    <row r="20" spans="1:11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4">
        <f t="shared" si="0"/>
        <v>181.66666666666666</v>
      </c>
      <c r="I20" s="24">
        <f t="shared" si="1"/>
        <v>235</v>
      </c>
      <c r="J20" s="26">
        <v>0</v>
      </c>
      <c r="K20" s="25">
        <v>0</v>
      </c>
    </row>
    <row r="21" spans="1:11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4">
        <f t="shared" si="0"/>
        <v>285</v>
      </c>
      <c r="I21" s="24">
        <f t="shared" si="1"/>
        <v>365</v>
      </c>
      <c r="J21" s="26">
        <v>0</v>
      </c>
      <c r="K21" s="25">
        <v>0</v>
      </c>
    </row>
    <row r="22" spans="1:11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4">
        <f t="shared" si="0"/>
        <v>131.66666666666666</v>
      </c>
      <c r="I22" s="24">
        <f t="shared" si="1"/>
        <v>140</v>
      </c>
      <c r="J22" s="26">
        <v>114.08333333333333</v>
      </c>
      <c r="K22" s="25">
        <v>163</v>
      </c>
    </row>
    <row r="23" spans="1:11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4">
        <f t="shared" si="0"/>
        <v>238.33333333333334</v>
      </c>
      <c r="I23" s="24">
        <f t="shared" si="1"/>
        <v>280</v>
      </c>
      <c r="J23" s="26">
        <v>229.58333333333334</v>
      </c>
      <c r="K23" s="25">
        <v>427</v>
      </c>
    </row>
    <row r="24" spans="1:11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4">
        <f t="shared" si="0"/>
        <v>530</v>
      </c>
      <c r="I24" s="24">
        <f t="shared" si="1"/>
        <v>530</v>
      </c>
      <c r="J24" s="26">
        <v>148.16666666666666</v>
      </c>
      <c r="K24" s="25">
        <v>773</v>
      </c>
    </row>
    <row r="25" spans="1:11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4">
        <f t="shared" si="0"/>
        <v>86.666666666666671</v>
      </c>
      <c r="I25" s="24">
        <f t="shared" si="1"/>
        <v>120</v>
      </c>
      <c r="J25" s="26">
        <v>28.916666666666668</v>
      </c>
      <c r="K25" s="25">
        <v>265</v>
      </c>
    </row>
    <row r="26" spans="1:11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4">
        <f t="shared" si="0"/>
        <v>0</v>
      </c>
      <c r="I26" s="24">
        <f t="shared" si="1"/>
        <v>0</v>
      </c>
      <c r="J26" s="26">
        <v>0</v>
      </c>
      <c r="K26" s="25">
        <v>0</v>
      </c>
    </row>
    <row r="27" spans="1:11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4">
        <f t="shared" si="0"/>
        <v>45</v>
      </c>
      <c r="I27" s="24">
        <f t="shared" si="1"/>
        <v>45</v>
      </c>
      <c r="J27" s="26">
        <v>0</v>
      </c>
      <c r="K27" s="25">
        <v>0</v>
      </c>
    </row>
    <row r="28" spans="1:11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4">
        <f t="shared" si="0"/>
        <v>423.33333333333331</v>
      </c>
      <c r="I28" s="24">
        <f t="shared" si="1"/>
        <v>490</v>
      </c>
      <c r="J28" s="26">
        <v>0</v>
      </c>
      <c r="K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H2:I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H8"/>
  <sheetViews>
    <sheetView workbookViewId="0">
      <selection activeCell="J8" sqref="J8"/>
    </sheetView>
  </sheetViews>
  <sheetFormatPr defaultRowHeight="14.4" x14ac:dyDescent="0.3"/>
  <cols>
    <col min="1" max="1" width="21.5546875" bestFit="1" customWidth="1"/>
  </cols>
  <sheetData>
    <row r="1" spans="1:8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35</v>
      </c>
      <c r="H1" s="22" t="s">
        <v>31</v>
      </c>
    </row>
    <row r="2" spans="1:8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/>
      <c r="H2" s="24">
        <f>SUM(B2:G2)</f>
        <v>6882</v>
      </c>
    </row>
    <row r="3" spans="1:8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/>
      <c r="H3" s="24">
        <f t="shared" ref="H3:H8" si="0">SUM(B3:G3)</f>
        <v>45316</v>
      </c>
    </row>
    <row r="4" spans="1:8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/>
      <c r="H4" s="24">
        <f t="shared" si="0"/>
        <v>1795</v>
      </c>
    </row>
    <row r="5" spans="1:8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/>
      <c r="H5" s="24">
        <f t="shared" si="0"/>
        <v>15146</v>
      </c>
    </row>
    <row r="6" spans="1:8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/>
      <c r="H6" s="24">
        <f t="shared" si="0"/>
        <v>4221</v>
      </c>
    </row>
    <row r="7" spans="1:8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/>
      <c r="H7" s="24">
        <f t="shared" si="0"/>
        <v>5875</v>
      </c>
    </row>
    <row r="8" spans="1:8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/>
      <c r="H8" s="24">
        <f t="shared" si="0"/>
        <v>1670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2026-06-15T16:25:56Z</dcterms:modified>
</cp:coreProperties>
</file>