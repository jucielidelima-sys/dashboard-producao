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3AC19236-4E39-47A6-9099-5935FD000B3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LANC.!$A$1:$K$1144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37" i="1" l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<sst xmlns="http://schemas.openxmlformats.org/spreadsheetml/2006/main" count="2350" uniqueCount="40">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</sst>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144" totalsRowShown="0" headerRowDxfId="13" dataDxfId="12" tableBorderDxfId="11">
  <autoFilter ref="A1:K114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324"/>
  <sheetViews>
    <sheetView showGridLines="0" tabSelected="1" zoomScale="70" zoomScaleNormal="70" zoomScaleSheetLayoutView="70" workbookViewId="0">
      <pane ySplit="1" topLeftCell="A1120" activePane="bottomLeft" state="frozen"/>
      <selection pane="bottomLeft" activeCell="J1149" sqref="J114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28">
        <v>46211</v>
      </c>
      <c r="B1127" s="29" t="str">
        <f>UPPER(TEXT(A1127,"MMMM"))</f>
        <v>JULHO</v>
      </c>
      <c r="C1127" s="12" t="s">
        <v>15</v>
      </c>
      <c r="D1127" s="12" t="s">
        <v>12</v>
      </c>
      <c r="E1127" s="30"/>
      <c r="F1127" s="30"/>
      <c r="G1127" s="29"/>
      <c r="H1127" s="31"/>
      <c r="I1127" s="29">
        <f>IFERROR(IF(T_PROD[[#This Row],[PREVISTO]]-T_PROD[[#This Row],[EFETIVO]]&lt; 0,0,T_PROD[[#This Row],[PREVISTO]]-T_PROD[[#This Row],[EFETIVO]] ),"")</f>
        <v>0</v>
      </c>
      <c r="J1127" s="15" t="str">
        <f>IFERROR(IF(T_PROD[[#This Row],[META]]&gt;0,(T_PROD[[#This Row],[META]]/T_PROD[[#This Row],[PREVISTO]]),""),"")</f>
        <v/>
      </c>
      <c r="K1127" s="15" t="str">
        <f>IFERROR(IF(T_PROD[[#This Row],[PRODUÇÃO]]&gt;0,(T_PROD[[#This Row],[PRODUÇÃO]]/T_PROD[[#This Row],[EFETIVO]]),""),"")</f>
        <v/>
      </c>
    </row>
    <row r="1128" spans="1:11" x14ac:dyDescent="0.3">
      <c r="A1128" s="28">
        <v>46211</v>
      </c>
      <c r="B1128" s="29" t="str">
        <f t="shared" ref="B1128:B1135" si="124">UPPER(TEXT(A1128,"MMMM"))</f>
        <v>JULHO</v>
      </c>
      <c r="C1128" s="12" t="s">
        <v>16</v>
      </c>
      <c r="D1128" s="12" t="s">
        <v>12</v>
      </c>
      <c r="E1128" s="30"/>
      <c r="F1128" s="30"/>
      <c r="G1128" s="29"/>
      <c r="H1128" s="31"/>
      <c r="I1128" s="29">
        <f>IFERROR(IF(T_PROD[[#This Row],[PREVISTO]]-T_PROD[[#This Row],[EFETIVO]]&lt; 0,0,T_PROD[[#This Row],[PREVISTO]]-T_PROD[[#This Row],[EFETIVO]] ),"")</f>
        <v>0</v>
      </c>
      <c r="J1128" s="15" t="str">
        <f>IFERROR(IF(T_PROD[[#This Row],[META]]&gt;0,(T_PROD[[#This Row],[META]]/T_PROD[[#This Row],[PREVISTO]]),""),"")</f>
        <v/>
      </c>
      <c r="K1128" s="15" t="str">
        <f>IFERROR(IF(T_PROD[[#This Row],[PRODUÇÃO]]&gt;0,(T_PROD[[#This Row],[PRODUÇÃO]]/T_PROD[[#This Row],[EFETIVO]]),""),"")</f>
        <v/>
      </c>
    </row>
    <row r="1129" spans="1:11" x14ac:dyDescent="0.3">
      <c r="A1129" s="28">
        <v>46211</v>
      </c>
      <c r="B1129" s="29" t="str">
        <f t="shared" si="124"/>
        <v>JULHO</v>
      </c>
      <c r="C1129" s="12" t="s">
        <v>17</v>
      </c>
      <c r="D1129" s="12" t="s">
        <v>12</v>
      </c>
      <c r="E1129" s="30"/>
      <c r="F1129" s="30"/>
      <c r="G1129" s="29"/>
      <c r="H1129" s="31"/>
      <c r="I1129" s="29">
        <f>IFERROR(IF(T_PROD[[#This Row],[PREVISTO]]-T_PROD[[#This Row],[EFETIVO]]&lt; 0,0,T_PROD[[#This Row],[PREVISTO]]-T_PROD[[#This Row],[EFETIVO]] ),"")</f>
        <v>0</v>
      </c>
      <c r="J1129" s="15" t="str">
        <f>IFERROR(IF(T_PROD[[#This Row],[META]]&gt;0,(T_PROD[[#This Row],[META]]/T_PROD[[#This Row],[PREVISTO]]),""),"")</f>
        <v/>
      </c>
      <c r="K1129" s="15" t="str">
        <f>IFERROR(IF(T_PROD[[#This Row],[PRODUÇÃO]]&gt;0,(T_PROD[[#This Row],[PRODUÇÃO]]/T_PROD[[#This Row],[EFETIVO]]),""),"")</f>
        <v/>
      </c>
    </row>
    <row r="1130" spans="1:11" x14ac:dyDescent="0.3">
      <c r="A1130" s="28">
        <v>46211</v>
      </c>
      <c r="B1130" s="29" t="str">
        <f t="shared" si="124"/>
        <v>JULHO</v>
      </c>
      <c r="C1130" s="12" t="s">
        <v>18</v>
      </c>
      <c r="D1130" s="12" t="s">
        <v>12</v>
      </c>
      <c r="E1130" s="30"/>
      <c r="F1130" s="30"/>
      <c r="G1130" s="29"/>
      <c r="H1130" s="31"/>
      <c r="I1130" s="29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28">
        <v>46211</v>
      </c>
      <c r="B1131" s="29" t="str">
        <f t="shared" si="124"/>
        <v>JULHO</v>
      </c>
      <c r="C1131" s="12" t="s">
        <v>19</v>
      </c>
      <c r="D1131" s="12" t="s">
        <v>12</v>
      </c>
      <c r="E1131" s="30"/>
      <c r="F1131" s="30"/>
      <c r="G1131" s="29"/>
      <c r="H1131" s="31"/>
      <c r="I1131" s="29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28">
        <v>46211</v>
      </c>
      <c r="B1132" s="29" t="str">
        <f t="shared" si="124"/>
        <v>JULHO</v>
      </c>
      <c r="C1132" s="12" t="s">
        <v>20</v>
      </c>
      <c r="D1132" s="12" t="s">
        <v>12</v>
      </c>
      <c r="E1132" s="30"/>
      <c r="F1132" s="30"/>
      <c r="G1132" s="29"/>
      <c r="H1132" s="31"/>
      <c r="I1132" s="29">
        <f>IFERROR(IF(T_PROD[[#This Row],[PREVISTO]]-T_PROD[[#This Row],[EFETIVO]]&lt; 0,0,T_PROD[[#This Row],[PREVISTO]]-T_PROD[[#This Row],[EFETIVO]] ),"")</f>
        <v>0</v>
      </c>
      <c r="J1132" s="15" t="str">
        <f>IFERROR(IF(T_PROD[[#This Row],[META]]&gt;0,(T_PROD[[#This Row],[META]]/T_PROD[[#This Row],[PREVISTO]]),""),"")</f>
        <v/>
      </c>
      <c r="K1132" s="15" t="str">
        <f>IFERROR(IF(T_PROD[[#This Row],[PRODUÇÃO]]&gt;0,(T_PROD[[#This Row],[PRODUÇÃO]]/T_PROD[[#This Row],[EFETIVO]]),""),"")</f>
        <v/>
      </c>
    </row>
    <row r="1133" spans="1:11" x14ac:dyDescent="0.3">
      <c r="A1133" s="28">
        <v>46211</v>
      </c>
      <c r="B1133" s="29" t="str">
        <f t="shared" si="124"/>
        <v>JULHO</v>
      </c>
      <c r="C1133" s="12" t="s">
        <v>11</v>
      </c>
      <c r="D1133" s="12" t="s">
        <v>12</v>
      </c>
      <c r="E1133" s="30">
        <v>740</v>
      </c>
      <c r="F1133" s="30">
        <v>715</v>
      </c>
      <c r="G1133" s="29">
        <v>37</v>
      </c>
      <c r="H1133" s="31">
        <v>37</v>
      </c>
      <c r="I1133" s="29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28">
        <v>46211</v>
      </c>
      <c r="B1134" s="29" t="str">
        <f t="shared" si="124"/>
        <v>JULHO</v>
      </c>
      <c r="C1134" s="12" t="s">
        <v>32</v>
      </c>
      <c r="D1134" s="12" t="s">
        <v>12</v>
      </c>
      <c r="E1134" s="30">
        <v>44</v>
      </c>
      <c r="F1134" s="30">
        <v>52</v>
      </c>
      <c r="G1134" s="29">
        <v>4</v>
      </c>
      <c r="H1134" s="31">
        <v>4</v>
      </c>
      <c r="I1134" s="29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28">
        <v>46211</v>
      </c>
      <c r="B1135" s="29" t="str">
        <f t="shared" si="124"/>
        <v>JULHO</v>
      </c>
      <c r="C1135" s="12" t="s">
        <v>14</v>
      </c>
      <c r="D1135" s="12" t="s">
        <v>12</v>
      </c>
      <c r="E1135" s="30">
        <v>795</v>
      </c>
      <c r="F1135" s="30">
        <v>767</v>
      </c>
      <c r="G1135" s="29">
        <v>95</v>
      </c>
      <c r="H1135" s="31">
        <v>95</v>
      </c>
      <c r="I1135" s="29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28">
        <v>46212</v>
      </c>
      <c r="B1136" s="29" t="str">
        <f>UPPER(TEXT(A1136,"MMMM"))</f>
        <v>JULHO</v>
      </c>
      <c r="C1136" s="12" t="s">
        <v>15</v>
      </c>
      <c r="D1136" s="12" t="s">
        <v>12</v>
      </c>
      <c r="E1136" s="30"/>
      <c r="F1136" s="30"/>
      <c r="G1136" s="29"/>
      <c r="H1136" s="31"/>
      <c r="I1136" s="29">
        <f>IFERROR(IF(T_PROD[[#This Row],[PREVISTO]]-T_PROD[[#This Row],[EFETIVO]]&lt; 0,0,T_PROD[[#This Row],[PREVISTO]]-T_PROD[[#This Row],[EFETIVO]] ),"")</f>
        <v>0</v>
      </c>
      <c r="J1136" s="15" t="str">
        <f>IFERROR(IF(T_PROD[[#This Row],[META]]&gt;0,(T_PROD[[#This Row],[META]]/T_PROD[[#This Row],[PREVISTO]]),""),"")</f>
        <v/>
      </c>
      <c r="K1136" s="15" t="str">
        <f>IFERROR(IF(T_PROD[[#This Row],[PRODUÇÃO]]&gt;0,(T_PROD[[#This Row],[PRODUÇÃO]]/T_PROD[[#This Row],[EFETIVO]]),""),"")</f>
        <v/>
      </c>
    </row>
    <row r="1137" spans="1:11" x14ac:dyDescent="0.3">
      <c r="A1137" s="28">
        <v>46212</v>
      </c>
      <c r="B1137" s="29" t="str">
        <f t="shared" ref="B1137:B1144" si="125">UPPER(TEXT(A1137,"MMMM"))</f>
        <v>JULHO</v>
      </c>
      <c r="C1137" s="12" t="s">
        <v>16</v>
      </c>
      <c r="D1137" s="12" t="s">
        <v>12</v>
      </c>
      <c r="E1137" s="30"/>
      <c r="F1137" s="30"/>
      <c r="G1137" s="29"/>
      <c r="H1137" s="31"/>
      <c r="I1137" s="29">
        <f>IFERROR(IF(T_PROD[[#This Row],[PREVISTO]]-T_PROD[[#This Row],[EFETIVO]]&lt; 0,0,T_PROD[[#This Row],[PREVISTO]]-T_PROD[[#This Row],[EFETIVO]] ),"")</f>
        <v>0</v>
      </c>
      <c r="J1137" s="15" t="str">
        <f>IFERROR(IF(T_PROD[[#This Row],[META]]&gt;0,(T_PROD[[#This Row],[META]]/T_PROD[[#This Row],[PREVISTO]]),""),"")</f>
        <v/>
      </c>
      <c r="K1137" s="15" t="str">
        <f>IFERROR(IF(T_PROD[[#This Row],[PRODUÇÃO]]&gt;0,(T_PROD[[#This Row],[PRODUÇÃO]]/T_PROD[[#This Row],[EFETIVO]]),""),"")</f>
        <v/>
      </c>
    </row>
    <row r="1138" spans="1:11" x14ac:dyDescent="0.3">
      <c r="A1138" s="28">
        <v>46212</v>
      </c>
      <c r="B1138" s="29" t="str">
        <f t="shared" si="125"/>
        <v>JULHO</v>
      </c>
      <c r="C1138" s="12" t="s">
        <v>17</v>
      </c>
      <c r="D1138" s="12" t="s">
        <v>12</v>
      </c>
      <c r="E1138" s="30"/>
      <c r="F1138" s="30"/>
      <c r="G1138" s="29"/>
      <c r="H1138" s="31"/>
      <c r="I1138" s="29">
        <f>IFERROR(IF(T_PROD[[#This Row],[PREVISTO]]-T_PROD[[#This Row],[EFETIVO]]&lt; 0,0,T_PROD[[#This Row],[PREVISTO]]-T_PROD[[#This Row],[EFETIVO]] ),"")</f>
        <v>0</v>
      </c>
      <c r="J1138" s="15" t="str">
        <f>IFERROR(IF(T_PROD[[#This Row],[META]]&gt;0,(T_PROD[[#This Row],[META]]/T_PROD[[#This Row],[PREVISTO]]),""),"")</f>
        <v/>
      </c>
      <c r="K1138" s="15" t="str">
        <f>IFERROR(IF(T_PROD[[#This Row],[PRODUÇÃO]]&gt;0,(T_PROD[[#This Row],[PRODUÇÃO]]/T_PROD[[#This Row],[EFETIVO]]),""),"")</f>
        <v/>
      </c>
    </row>
    <row r="1139" spans="1:11" x14ac:dyDescent="0.3">
      <c r="A1139" s="28">
        <v>46212</v>
      </c>
      <c r="B1139" s="29" t="str">
        <f t="shared" si="125"/>
        <v>JULHO</v>
      </c>
      <c r="C1139" s="12" t="s">
        <v>18</v>
      </c>
      <c r="D1139" s="12" t="s">
        <v>12</v>
      </c>
      <c r="E1139" s="30"/>
      <c r="F1139" s="30"/>
      <c r="G1139" s="29"/>
      <c r="H1139" s="31"/>
      <c r="I1139" s="29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28">
        <v>46212</v>
      </c>
      <c r="B1140" s="29" t="str">
        <f t="shared" si="125"/>
        <v>JULHO</v>
      </c>
      <c r="C1140" s="12" t="s">
        <v>19</v>
      </c>
      <c r="D1140" s="12" t="s">
        <v>12</v>
      </c>
      <c r="E1140" s="30"/>
      <c r="F1140" s="30"/>
      <c r="G1140" s="29"/>
      <c r="H1140" s="31"/>
      <c r="I1140" s="29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28">
        <v>46212</v>
      </c>
      <c r="B1141" s="29" t="str">
        <f t="shared" si="125"/>
        <v>JULHO</v>
      </c>
      <c r="C1141" s="12" t="s">
        <v>20</v>
      </c>
      <c r="D1141" s="12" t="s">
        <v>12</v>
      </c>
      <c r="E1141" s="30"/>
      <c r="F1141" s="30"/>
      <c r="G1141" s="29"/>
      <c r="H1141" s="31"/>
      <c r="I1141" s="29">
        <f>IFERROR(IF(T_PROD[[#This Row],[PREVISTO]]-T_PROD[[#This Row],[EFETIVO]]&lt; 0,0,T_PROD[[#This Row],[PREVISTO]]-T_PROD[[#This Row],[EFETIVO]] ),"")</f>
        <v>0</v>
      </c>
      <c r="J1141" s="15" t="str">
        <f>IFERROR(IF(T_PROD[[#This Row],[META]]&gt;0,(T_PROD[[#This Row],[META]]/T_PROD[[#This Row],[PREVISTO]]),""),"")</f>
        <v/>
      </c>
      <c r="K1141" s="15" t="str">
        <f>IFERROR(IF(T_PROD[[#This Row],[PRODUÇÃO]]&gt;0,(T_PROD[[#This Row],[PRODUÇÃO]]/T_PROD[[#This Row],[EFETIVO]]),""),"")</f>
        <v/>
      </c>
    </row>
    <row r="1142" spans="1:11" x14ac:dyDescent="0.3">
      <c r="A1142" s="28">
        <v>46212</v>
      </c>
      <c r="B1142" s="29" t="str">
        <f t="shared" si="125"/>
        <v>JULHO</v>
      </c>
      <c r="C1142" s="12" t="s">
        <v>11</v>
      </c>
      <c r="D1142" s="12" t="s">
        <v>12</v>
      </c>
      <c r="E1142" s="30">
        <v>600</v>
      </c>
      <c r="F1142" s="30">
        <v>600</v>
      </c>
      <c r="G1142" s="29">
        <v>30</v>
      </c>
      <c r="H1142" s="31">
        <v>30</v>
      </c>
      <c r="I1142" s="29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28">
        <v>46212</v>
      </c>
      <c r="B1143" s="29" t="str">
        <f t="shared" si="125"/>
        <v>JULHO</v>
      </c>
      <c r="C1143" s="12" t="s">
        <v>32</v>
      </c>
      <c r="D1143" s="12" t="s">
        <v>12</v>
      </c>
      <c r="E1143" s="30">
        <v>110</v>
      </c>
      <c r="F1143" s="30">
        <v>114</v>
      </c>
      <c r="G1143" s="29">
        <v>10</v>
      </c>
      <c r="H1143" s="31">
        <v>10</v>
      </c>
      <c r="I1143" s="29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28">
        <v>46212</v>
      </c>
      <c r="B1144" s="29" t="str">
        <f t="shared" si="125"/>
        <v>JULHO</v>
      </c>
      <c r="C1144" s="12" t="s">
        <v>14</v>
      </c>
      <c r="D1144" s="12" t="s">
        <v>12</v>
      </c>
      <c r="E1144" s="30">
        <v>710</v>
      </c>
      <c r="F1144" s="30">
        <v>714</v>
      </c>
      <c r="G1144" s="29">
        <v>95</v>
      </c>
      <c r="H1144" s="31">
        <v>89</v>
      </c>
      <c r="I1144" s="29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H16" sqref="H16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f>SUM(B2:G2)</f>
        <v>8122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 t="shared" ref="H3:H8" si="0">SUM(B3:G3)</f>
        <v>58034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f t="shared" si="0"/>
        <v>1847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 t="shared" si="0"/>
        <v>18904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 t="shared" si="0"/>
        <v>5052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f t="shared" si="0"/>
        <v>10005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f t="shared" si="0"/>
        <v>2202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2026-07-10T10:10:45Z</dcterms:modified>
</cp:coreProperties>
</file>