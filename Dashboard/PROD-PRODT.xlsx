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9B89AED6-B5C7-4EEB-BDE4-96F29C53C9CF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LANC.!$A$1:$K$802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95" i="1" l="1"/>
  <c r="B796" i="1"/>
  <c r="B797" i="1"/>
  <c r="B798" i="1"/>
  <c r="B799" i="1"/>
  <c r="B800" i="1"/>
  <c r="B801" i="1"/>
  <c r="B802" i="1"/>
  <c r="I795" i="1"/>
  <c r="I796" i="1"/>
  <c r="I797" i="1"/>
  <c r="I798" i="1"/>
  <c r="I799" i="1"/>
  <c r="I800" i="1"/>
  <c r="I801" i="1"/>
  <c r="I802" i="1"/>
  <c r="J795" i="1"/>
  <c r="J796" i="1"/>
  <c r="J797" i="1"/>
  <c r="J798" i="1"/>
  <c r="J799" i="1"/>
  <c r="J800" i="1"/>
  <c r="J801" i="1"/>
  <c r="J802" i="1"/>
  <c r="K795" i="1"/>
  <c r="K796" i="1"/>
  <c r="K797" i="1"/>
  <c r="K798" i="1"/>
  <c r="K799" i="1"/>
  <c r="K800" i="1"/>
  <c r="K801" i="1"/>
  <c r="K802" i="1"/>
  <c r="B794" i="1"/>
  <c r="I794" i="1"/>
  <c r="J794" i="1"/>
  <c r="K794" i="1"/>
  <c r="B786" i="1"/>
  <c r="B787" i="1"/>
  <c r="B788" i="1"/>
  <c r="B789" i="1"/>
  <c r="B790" i="1"/>
  <c r="B791" i="1"/>
  <c r="B792" i="1"/>
  <c r="B793" i="1"/>
  <c r="I786" i="1"/>
  <c r="I787" i="1"/>
  <c r="I788" i="1"/>
  <c r="I789" i="1"/>
  <c r="I790" i="1"/>
  <c r="I791" i="1"/>
  <c r="I792" i="1"/>
  <c r="I793" i="1"/>
  <c r="J786" i="1"/>
  <c r="J787" i="1"/>
  <c r="J788" i="1"/>
  <c r="J789" i="1"/>
  <c r="J790" i="1"/>
  <c r="J791" i="1"/>
  <c r="J792" i="1"/>
  <c r="J793" i="1"/>
  <c r="K786" i="1"/>
  <c r="K787" i="1"/>
  <c r="K788" i="1"/>
  <c r="K789" i="1"/>
  <c r="K790" i="1"/>
  <c r="K791" i="1"/>
  <c r="K792" i="1"/>
  <c r="K793" i="1"/>
  <c r="B785" i="1"/>
  <c r="I785" i="1"/>
  <c r="J785" i="1"/>
  <c r="K785" i="1"/>
  <c r="B777" i="1"/>
  <c r="B778" i="1"/>
  <c r="B779" i="1"/>
  <c r="B780" i="1"/>
  <c r="B781" i="1"/>
  <c r="B782" i="1"/>
  <c r="B783" i="1"/>
  <c r="B784" i="1"/>
  <c r="I777" i="1"/>
  <c r="I778" i="1"/>
  <c r="I779" i="1"/>
  <c r="I780" i="1"/>
  <c r="I781" i="1"/>
  <c r="I782" i="1"/>
  <c r="I783" i="1"/>
  <c r="I784" i="1"/>
  <c r="J777" i="1"/>
  <c r="J778" i="1"/>
  <c r="J779" i="1"/>
  <c r="J780" i="1"/>
  <c r="J781" i="1"/>
  <c r="J782" i="1"/>
  <c r="J783" i="1"/>
  <c r="J784" i="1"/>
  <c r="K777" i="1"/>
  <c r="K778" i="1"/>
  <c r="K779" i="1"/>
  <c r="K780" i="1"/>
  <c r="K781" i="1"/>
  <c r="K782" i="1"/>
  <c r="K783" i="1"/>
  <c r="K784" i="1"/>
  <c r="B776" i="1"/>
  <c r="I776" i="1"/>
  <c r="J776" i="1"/>
  <c r="K776" i="1"/>
  <c r="B768" i="1"/>
  <c r="B769" i="1"/>
  <c r="B770" i="1"/>
  <c r="B771" i="1"/>
  <c r="B772" i="1"/>
  <c r="B773" i="1"/>
  <c r="B774" i="1"/>
  <c r="B775" i="1"/>
  <c r="I768" i="1"/>
  <c r="I769" i="1"/>
  <c r="I770" i="1"/>
  <c r="I771" i="1"/>
  <c r="I772" i="1"/>
  <c r="I773" i="1"/>
  <c r="I774" i="1"/>
  <c r="I775" i="1"/>
  <c r="J768" i="1"/>
  <c r="J769" i="1"/>
  <c r="J770" i="1"/>
  <c r="J771" i="1"/>
  <c r="J772" i="1"/>
  <c r="J773" i="1"/>
  <c r="J774" i="1"/>
  <c r="J775" i="1"/>
  <c r="K768" i="1"/>
  <c r="K769" i="1"/>
  <c r="K770" i="1"/>
  <c r="K771" i="1"/>
  <c r="K772" i="1"/>
  <c r="K773" i="1"/>
  <c r="K774" i="1"/>
  <c r="K775" i="1"/>
  <c r="B767" i="1"/>
  <c r="I767" i="1"/>
  <c r="J767" i="1"/>
  <c r="K767" i="1"/>
  <c r="F5" i="3"/>
  <c r="F6" i="3"/>
  <c r="F4" i="3"/>
  <c r="F3" i="3"/>
  <c r="B759" i="1"/>
  <c r="B760" i="1"/>
  <c r="B761" i="1"/>
  <c r="B762" i="1"/>
  <c r="B763" i="1"/>
  <c r="B764" i="1"/>
  <c r="B765" i="1"/>
  <c r="B766" i="1"/>
  <c r="I759" i="1"/>
  <c r="I760" i="1"/>
  <c r="I761" i="1"/>
  <c r="I762" i="1"/>
  <c r="I763" i="1"/>
  <c r="I764" i="1"/>
  <c r="I765" i="1"/>
  <c r="I766" i="1"/>
  <c r="J759" i="1"/>
  <c r="J760" i="1"/>
  <c r="J761" i="1"/>
  <c r="J762" i="1"/>
  <c r="J763" i="1"/>
  <c r="J764" i="1"/>
  <c r="J765" i="1"/>
  <c r="J766" i="1"/>
  <c r="K759" i="1"/>
  <c r="K760" i="1"/>
  <c r="K761" i="1"/>
  <c r="K762" i="1"/>
  <c r="K763" i="1"/>
  <c r="K764" i="1"/>
  <c r="K765" i="1"/>
  <c r="K766" i="1"/>
  <c r="B758" i="1"/>
  <c r="I758" i="1"/>
  <c r="J758" i="1"/>
  <c r="K758" i="1"/>
  <c r="B750" i="1"/>
  <c r="B751" i="1"/>
  <c r="B752" i="1"/>
  <c r="B753" i="1"/>
  <c r="B754" i="1"/>
  <c r="B755" i="1"/>
  <c r="B756" i="1"/>
  <c r="B757" i="1"/>
  <c r="I750" i="1"/>
  <c r="I751" i="1"/>
  <c r="I752" i="1"/>
  <c r="I753" i="1"/>
  <c r="I754" i="1"/>
  <c r="I755" i="1"/>
  <c r="I756" i="1"/>
  <c r="I757" i="1"/>
  <c r="J750" i="1"/>
  <c r="J751" i="1"/>
  <c r="J752" i="1"/>
  <c r="J753" i="1"/>
  <c r="J754" i="1"/>
  <c r="J755" i="1"/>
  <c r="J756" i="1"/>
  <c r="J757" i="1"/>
  <c r="K750" i="1"/>
  <c r="K751" i="1"/>
  <c r="K752" i="1"/>
  <c r="K753" i="1"/>
  <c r="K754" i="1"/>
  <c r="K755" i="1"/>
  <c r="K756" i="1"/>
  <c r="K757" i="1"/>
  <c r="B749" i="1"/>
  <c r="I749" i="1"/>
  <c r="J749" i="1"/>
  <c r="K749" i="1"/>
  <c r="B741" i="1"/>
  <c r="B742" i="1"/>
  <c r="B743" i="1"/>
  <c r="B744" i="1"/>
  <c r="B745" i="1"/>
  <c r="B746" i="1"/>
  <c r="B747" i="1"/>
  <c r="B748" i="1"/>
  <c r="I741" i="1"/>
  <c r="I742" i="1"/>
  <c r="I743" i="1"/>
  <c r="I744" i="1"/>
  <c r="I745" i="1"/>
  <c r="I746" i="1"/>
  <c r="I747" i="1"/>
  <c r="I748" i="1"/>
  <c r="J741" i="1"/>
  <c r="J742" i="1"/>
  <c r="J743" i="1"/>
  <c r="J744" i="1"/>
  <c r="J745" i="1"/>
  <c r="J746" i="1"/>
  <c r="J747" i="1"/>
  <c r="J748" i="1"/>
  <c r="K741" i="1"/>
  <c r="K742" i="1"/>
  <c r="K743" i="1"/>
  <c r="K744" i="1"/>
  <c r="K745" i="1"/>
  <c r="K746" i="1"/>
  <c r="K747" i="1"/>
  <c r="K748" i="1"/>
  <c r="B740" i="1"/>
  <c r="I740" i="1"/>
  <c r="J740" i="1"/>
  <c r="K740" i="1"/>
  <c r="B732" i="1"/>
  <c r="B733" i="1"/>
  <c r="B734" i="1"/>
  <c r="B735" i="1"/>
  <c r="B736" i="1"/>
  <c r="B737" i="1"/>
  <c r="B738" i="1"/>
  <c r="B739" i="1"/>
  <c r="I732" i="1"/>
  <c r="I733" i="1"/>
  <c r="I734" i="1"/>
  <c r="I735" i="1"/>
  <c r="I736" i="1"/>
  <c r="I737" i="1"/>
  <c r="I738" i="1"/>
  <c r="I739" i="1"/>
  <c r="J732" i="1"/>
  <c r="J733" i="1"/>
  <c r="J734" i="1"/>
  <c r="J735" i="1"/>
  <c r="J736" i="1"/>
  <c r="J737" i="1"/>
  <c r="J738" i="1"/>
  <c r="J739" i="1"/>
  <c r="K732" i="1"/>
  <c r="K733" i="1"/>
  <c r="K734" i="1"/>
  <c r="K735" i="1"/>
  <c r="K736" i="1"/>
  <c r="K737" i="1"/>
  <c r="K738" i="1"/>
  <c r="K739" i="1"/>
  <c r="B731" i="1"/>
  <c r="I731" i="1"/>
  <c r="J731" i="1"/>
  <c r="K731" i="1"/>
  <c r="K730" i="1"/>
  <c r="J730" i="1"/>
  <c r="I730" i="1"/>
  <c r="G3" i="3"/>
  <c r="G4" i="3"/>
  <c r="G5" i="3"/>
  <c r="G6" i="3"/>
  <c r="G7" i="3"/>
  <c r="G8" i="3"/>
  <c r="G2" i="3"/>
  <c r="B722" i="1"/>
  <c r="B723" i="1"/>
  <c r="B724" i="1"/>
  <c r="B725" i="1"/>
  <c r="B726" i="1"/>
  <c r="B727" i="1"/>
  <c r="B728" i="1"/>
  <c r="B729" i="1"/>
  <c r="B730" i="1"/>
  <c r="I722" i="1"/>
  <c r="I723" i="1"/>
  <c r="I724" i="1"/>
  <c r="I725" i="1"/>
  <c r="I726" i="1"/>
  <c r="I727" i="1"/>
  <c r="I728" i="1"/>
  <c r="J722" i="1"/>
  <c r="J723" i="1"/>
  <c r="J724" i="1"/>
  <c r="J725" i="1"/>
  <c r="J726" i="1"/>
  <c r="J727" i="1"/>
  <c r="J728" i="1"/>
  <c r="K722" i="1"/>
  <c r="K723" i="1"/>
  <c r="K724" i="1"/>
  <c r="K725" i="1"/>
  <c r="K726" i="1"/>
  <c r="K727" i="1"/>
  <c r="K728" i="1"/>
  <c r="B714" i="1"/>
  <c r="B715" i="1"/>
  <c r="B716" i="1"/>
  <c r="B717" i="1"/>
  <c r="B718" i="1"/>
  <c r="B719" i="1"/>
  <c r="B720" i="1"/>
  <c r="B721" i="1"/>
  <c r="I714" i="1"/>
  <c r="I715" i="1"/>
  <c r="I716" i="1"/>
  <c r="I717" i="1"/>
  <c r="I718" i="1"/>
  <c r="I719" i="1"/>
  <c r="I720" i="1"/>
  <c r="I721" i="1"/>
  <c r="J714" i="1"/>
  <c r="J715" i="1"/>
  <c r="J716" i="1"/>
  <c r="J717" i="1"/>
  <c r="J718" i="1"/>
  <c r="J719" i="1"/>
  <c r="J720" i="1"/>
  <c r="J721" i="1"/>
  <c r="K714" i="1"/>
  <c r="K715" i="1"/>
  <c r="K716" i="1"/>
  <c r="K717" i="1"/>
  <c r="K718" i="1"/>
  <c r="K719" i="1"/>
  <c r="K720" i="1"/>
  <c r="K721" i="1"/>
  <c r="B713" i="1"/>
  <c r="I713" i="1"/>
  <c r="J713" i="1"/>
  <c r="K713" i="1"/>
  <c r="E6" i="3"/>
  <c r="E5" i="3"/>
  <c r="B704" i="1"/>
  <c r="B705" i="1"/>
  <c r="B706" i="1"/>
  <c r="B707" i="1"/>
  <c r="B708" i="1"/>
  <c r="B709" i="1"/>
  <c r="B710" i="1"/>
  <c r="B711" i="1"/>
  <c r="B712" i="1"/>
  <c r="I704" i="1"/>
  <c r="I705" i="1"/>
  <c r="I706" i="1"/>
  <c r="I707" i="1"/>
  <c r="I708" i="1"/>
  <c r="I709" i="1"/>
  <c r="I710" i="1"/>
  <c r="I711" i="1"/>
  <c r="I712" i="1"/>
  <c r="J704" i="1"/>
  <c r="J705" i="1"/>
  <c r="J706" i="1"/>
  <c r="J707" i="1"/>
  <c r="J708" i="1"/>
  <c r="J709" i="1"/>
  <c r="J710" i="1"/>
  <c r="J711" i="1"/>
  <c r="J712" i="1"/>
  <c r="K704" i="1"/>
  <c r="K705" i="1"/>
  <c r="K706" i="1"/>
  <c r="K707" i="1"/>
  <c r="K708" i="1"/>
  <c r="K709" i="1"/>
  <c r="K710" i="1"/>
  <c r="K711" i="1"/>
  <c r="K712" i="1"/>
  <c r="B696" i="1"/>
  <c r="B697" i="1"/>
  <c r="B698" i="1"/>
  <c r="B699" i="1"/>
  <c r="B700" i="1"/>
  <c r="B701" i="1"/>
  <c r="B702" i="1"/>
  <c r="B703" i="1"/>
  <c r="I696" i="1"/>
  <c r="I697" i="1"/>
  <c r="I698" i="1"/>
  <c r="I699" i="1"/>
  <c r="I700" i="1"/>
  <c r="I701" i="1"/>
  <c r="I702" i="1"/>
  <c r="I703" i="1"/>
  <c r="J696" i="1"/>
  <c r="J697" i="1"/>
  <c r="J698" i="1"/>
  <c r="J699" i="1"/>
  <c r="J700" i="1"/>
  <c r="J701" i="1"/>
  <c r="J702" i="1"/>
  <c r="J703" i="1"/>
  <c r="K696" i="1"/>
  <c r="K697" i="1"/>
  <c r="K698" i="1"/>
  <c r="K699" i="1"/>
  <c r="K700" i="1"/>
  <c r="K701" i="1"/>
  <c r="K702" i="1"/>
  <c r="K703" i="1"/>
  <c r="B695" i="1"/>
  <c r="I695" i="1"/>
  <c r="J695" i="1"/>
  <c r="K695" i="1"/>
  <c r="B687" i="1"/>
  <c r="B688" i="1"/>
  <c r="B689" i="1"/>
  <c r="B690" i="1"/>
  <c r="B691" i="1"/>
  <c r="B692" i="1"/>
  <c r="B693" i="1"/>
  <c r="B694" i="1"/>
  <c r="I687" i="1"/>
  <c r="I688" i="1"/>
  <c r="I689" i="1"/>
  <c r="I690" i="1"/>
  <c r="I691" i="1"/>
  <c r="I692" i="1"/>
  <c r="I693" i="1"/>
  <c r="I694" i="1"/>
  <c r="J687" i="1"/>
  <c r="J688" i="1"/>
  <c r="J689" i="1"/>
  <c r="J690" i="1"/>
  <c r="J691" i="1"/>
  <c r="J692" i="1"/>
  <c r="J693" i="1"/>
  <c r="J694" i="1"/>
  <c r="K687" i="1"/>
  <c r="K688" i="1"/>
  <c r="K689" i="1"/>
  <c r="K690" i="1"/>
  <c r="K691" i="1"/>
  <c r="K692" i="1"/>
  <c r="K693" i="1"/>
  <c r="K694" i="1"/>
  <c r="B686" i="1"/>
  <c r="I686" i="1"/>
  <c r="J686" i="1"/>
  <c r="K686" i="1"/>
  <c r="B678" i="1"/>
  <c r="B679" i="1"/>
  <c r="B680" i="1"/>
  <c r="B681" i="1"/>
  <c r="B682" i="1"/>
  <c r="B683" i="1"/>
  <c r="B684" i="1"/>
  <c r="B685" i="1"/>
  <c r="I678" i="1"/>
  <c r="I679" i="1"/>
  <c r="I680" i="1"/>
  <c r="I681" i="1"/>
  <c r="I682" i="1"/>
  <c r="I683" i="1"/>
  <c r="I684" i="1"/>
  <c r="I685" i="1"/>
  <c r="J678" i="1"/>
  <c r="J679" i="1"/>
  <c r="J680" i="1"/>
  <c r="J681" i="1"/>
  <c r="J682" i="1"/>
  <c r="J685" i="1"/>
  <c r="K678" i="1"/>
  <c r="K679" i="1"/>
  <c r="K680" i="1"/>
  <c r="K681" i="1"/>
  <c r="K682" i="1"/>
  <c r="K683" i="1"/>
  <c r="K684" i="1"/>
  <c r="K685" i="1"/>
  <c r="B677" i="1"/>
  <c r="I677" i="1"/>
  <c r="J677" i="1"/>
  <c r="K677" i="1"/>
  <c r="B669" i="1"/>
  <c r="B670" i="1"/>
  <c r="B671" i="1"/>
  <c r="B672" i="1"/>
  <c r="B673" i="1"/>
  <c r="B674" i="1"/>
  <c r="B675" i="1"/>
  <c r="B676" i="1"/>
  <c r="I669" i="1"/>
  <c r="I670" i="1"/>
  <c r="I671" i="1"/>
  <c r="I672" i="1"/>
  <c r="I673" i="1"/>
  <c r="I674" i="1"/>
  <c r="I675" i="1"/>
  <c r="I676" i="1"/>
  <c r="J669" i="1"/>
  <c r="J670" i="1"/>
  <c r="J671" i="1"/>
  <c r="J672" i="1"/>
  <c r="J673" i="1"/>
  <c r="J674" i="1"/>
  <c r="J675" i="1"/>
  <c r="J676" i="1"/>
  <c r="K669" i="1"/>
  <c r="K670" i="1"/>
  <c r="K671" i="1"/>
  <c r="K672" i="1"/>
  <c r="K673" i="1"/>
  <c r="K674" i="1"/>
  <c r="K675" i="1"/>
  <c r="K676" i="1"/>
  <c r="B668" i="1"/>
  <c r="I668" i="1"/>
  <c r="J668" i="1"/>
  <c r="K668" i="1"/>
  <c r="B660" i="1"/>
  <c r="B661" i="1"/>
  <c r="B662" i="1"/>
  <c r="B663" i="1"/>
  <c r="B664" i="1"/>
  <c r="B665" i="1"/>
  <c r="B666" i="1"/>
  <c r="B667" i="1"/>
  <c r="I660" i="1"/>
  <c r="I661" i="1"/>
  <c r="I662" i="1"/>
  <c r="I663" i="1"/>
  <c r="I664" i="1"/>
  <c r="I665" i="1"/>
  <c r="I666" i="1"/>
  <c r="I667" i="1"/>
  <c r="J660" i="1"/>
  <c r="J661" i="1"/>
  <c r="J662" i="1"/>
  <c r="J663" i="1"/>
  <c r="J664" i="1"/>
  <c r="J665" i="1"/>
  <c r="J666" i="1"/>
  <c r="J667" i="1"/>
  <c r="K660" i="1"/>
  <c r="K661" i="1"/>
  <c r="K662" i="1"/>
  <c r="K663" i="1"/>
  <c r="K664" i="1"/>
  <c r="K665" i="1"/>
  <c r="K666" i="1"/>
  <c r="K667" i="1"/>
  <c r="B659" i="1"/>
  <c r="I659" i="1"/>
  <c r="J659" i="1"/>
  <c r="K659" i="1"/>
  <c r="B651" i="1"/>
  <c r="B652" i="1"/>
  <c r="B653" i="1"/>
  <c r="B654" i="1"/>
  <c r="B655" i="1"/>
  <c r="B656" i="1"/>
  <c r="B657" i="1"/>
  <c r="B658" i="1"/>
  <c r="I651" i="1"/>
  <c r="I652" i="1"/>
  <c r="I653" i="1"/>
  <c r="I654" i="1"/>
  <c r="I655" i="1"/>
  <c r="I656" i="1"/>
  <c r="I657" i="1"/>
  <c r="I658" i="1"/>
  <c r="J651" i="1"/>
  <c r="J652" i="1"/>
  <c r="J653" i="1"/>
  <c r="J654" i="1"/>
  <c r="J655" i="1"/>
  <c r="J656" i="1"/>
  <c r="J657" i="1"/>
  <c r="J658" i="1"/>
  <c r="K651" i="1"/>
  <c r="K652" i="1"/>
  <c r="K653" i="1"/>
  <c r="K654" i="1"/>
  <c r="K655" i="1"/>
  <c r="K656" i="1"/>
  <c r="K657" i="1"/>
  <c r="K658" i="1"/>
  <c r="B650" i="1"/>
  <c r="I650" i="1"/>
  <c r="J650" i="1"/>
  <c r="K650" i="1"/>
  <c r="E4" i="3"/>
  <c r="B642" i="1"/>
  <c r="B643" i="1"/>
  <c r="B644" i="1"/>
  <c r="B645" i="1"/>
  <c r="B646" i="1"/>
  <c r="B647" i="1"/>
  <c r="B648" i="1"/>
  <c r="B649" i="1"/>
  <c r="I642" i="1"/>
  <c r="I643" i="1"/>
  <c r="I644" i="1"/>
  <c r="I645" i="1"/>
  <c r="I646" i="1"/>
  <c r="I647" i="1"/>
  <c r="I648" i="1"/>
  <c r="I649" i="1"/>
  <c r="J642" i="1"/>
  <c r="J643" i="1"/>
  <c r="J644" i="1"/>
  <c r="J645" i="1"/>
  <c r="J646" i="1"/>
  <c r="J649" i="1"/>
  <c r="K642" i="1"/>
  <c r="K643" i="1"/>
  <c r="K644" i="1"/>
  <c r="K645" i="1"/>
  <c r="K646" i="1"/>
  <c r="K647" i="1"/>
  <c r="K648" i="1"/>
  <c r="K649" i="1"/>
  <c r="B641" i="1"/>
  <c r="I641" i="1"/>
  <c r="J641" i="1"/>
  <c r="K641" i="1"/>
  <c r="B633" i="1"/>
  <c r="B634" i="1"/>
  <c r="B635" i="1"/>
  <c r="B636" i="1"/>
  <c r="B637" i="1"/>
  <c r="B638" i="1"/>
  <c r="B639" i="1"/>
  <c r="B640" i="1"/>
  <c r="I633" i="1"/>
  <c r="I634" i="1"/>
  <c r="I635" i="1"/>
  <c r="I636" i="1"/>
  <c r="I637" i="1"/>
  <c r="I638" i="1"/>
  <c r="I639" i="1"/>
  <c r="I640" i="1"/>
  <c r="J633" i="1"/>
  <c r="J634" i="1"/>
  <c r="J635" i="1"/>
  <c r="J636" i="1"/>
  <c r="J637" i="1"/>
  <c r="J638" i="1"/>
  <c r="J639" i="1"/>
  <c r="J640" i="1"/>
  <c r="K633" i="1"/>
  <c r="K634" i="1"/>
  <c r="K635" i="1"/>
  <c r="K636" i="1"/>
  <c r="K637" i="1"/>
  <c r="K638" i="1"/>
  <c r="K639" i="1"/>
  <c r="K640" i="1"/>
  <c r="B632" i="1"/>
  <c r="I632" i="1"/>
  <c r="J632" i="1"/>
  <c r="K632" i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F28" i="2"/>
  <c r="E28" i="2"/>
  <c r="F27" i="2"/>
  <c r="E27" i="2"/>
  <c r="F26" i="2"/>
  <c r="E26" i="2"/>
  <c r="F25" i="2"/>
  <c r="E25" i="2"/>
  <c r="F24" i="2"/>
  <c r="E24" i="2"/>
  <c r="F23" i="2"/>
  <c r="E23" i="2"/>
  <c r="F22" i="2"/>
  <c r="E22" i="2"/>
  <c r="F21" i="2"/>
  <c r="E21" i="2"/>
  <c r="F20" i="2"/>
  <c r="E20" i="2"/>
  <c r="F19" i="2"/>
  <c r="E19" i="2"/>
  <c r="F18" i="2"/>
  <c r="E18" i="2"/>
  <c r="F17" i="2"/>
  <c r="E17" i="2"/>
  <c r="F16" i="2"/>
  <c r="E16" i="2"/>
  <c r="F15" i="2"/>
  <c r="E15" i="2"/>
  <c r="F14" i="2"/>
  <c r="E14" i="2"/>
  <c r="F13" i="2"/>
  <c r="E13" i="2"/>
  <c r="F12" i="2"/>
  <c r="E12" i="2"/>
  <c r="F11" i="2"/>
  <c r="E11" i="2"/>
  <c r="F10" i="2"/>
  <c r="E10" i="2"/>
  <c r="F9" i="2"/>
  <c r="E9" i="2"/>
  <c r="F8" i="2"/>
  <c r="E8" i="2"/>
  <c r="F7" i="2"/>
  <c r="E7" i="2"/>
  <c r="F6" i="2"/>
  <c r="E6" i="2"/>
  <c r="F5" i="2"/>
  <c r="E5" i="2"/>
  <c r="F4" i="2"/>
  <c r="E4" i="2"/>
  <c r="F3" i="2"/>
  <c r="E3" i="2"/>
  <c r="F2" i="2"/>
  <c r="E2" i="2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<sst xmlns="http://schemas.openxmlformats.org/spreadsheetml/2006/main" count="1662" uniqueCount="36">
  <si>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</si>
  <si>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</si>
  <si>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</si>
  <si>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</si>
  <si>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</si>
  <si>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</si>
  <si>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</si>
  <si>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</si>
  <si>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</si>
  <si>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</si>
  <si>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</si>
  <si>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</si>
  <si>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</si>
  <si>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</si>
  <si>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</si>
  <si>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</si>
  <si>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</si>
  <si>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</si>
  <si>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</si>
  <si>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</si>
  <si>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</si>
  <si>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</si>
  <si>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</si>
  <si>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</si>
  <si>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</si>
  <si>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</si>
  <si>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</si>
  <si>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</si>
  <si>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</si>
  <si>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</si>
  <si>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</si>
  <si>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</si>
  <si>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</si>
  <si>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</si>
  <si>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</si>
  <si>
    <t>FAT.MAIO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</si>
</sst>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2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4" fillId="0" borderId="0" xfId="0" applyNumberFormat="1" applyFont="1" applyFill="1" applyAlignment="1">
      <alignment horizontal="center"/>
    </xf>
    <xf numFmtId="0" fontId="4" fillId="0" borderId="0" xfId="0" applyNumberFormat="1" applyFont="1" applyFill="1" applyAlignment="1">
      <alignment horizontal="center"/>
    </xf>
    <xf numFmtId="3" fontId="4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802" totalsRowShown="0" headerRowDxfId="13" dataDxfId="12" tableBorderDxfId="11">
  <autoFilter ref="A1:K802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020"/>
  <sheetViews>
    <sheetView showGridLines="0" tabSelected="1" zoomScale="70" zoomScaleNormal="70" zoomScaleSheetLayoutView="70" workbookViewId="0">
      <pane ySplit="1" topLeftCell="A771" activePane="bottomLeft" state="frozen"/>
      <selection pane="bottomLeft" activeCell="H800" sqref="H800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 x14ac:dyDescent="0.3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 x14ac:dyDescent="0.3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 x14ac:dyDescent="0.3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 x14ac:dyDescent="0.3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 x14ac:dyDescent="0.3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 x14ac:dyDescent="0.3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 x14ac:dyDescent="0.3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 x14ac:dyDescent="0.3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 x14ac:dyDescent="0.3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 x14ac:dyDescent="0.3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 x14ac:dyDescent="0.3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 x14ac:dyDescent="0.3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 x14ac:dyDescent="0.3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 x14ac:dyDescent="0.3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 x14ac:dyDescent="0.3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 x14ac:dyDescent="0.3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 x14ac:dyDescent="0.3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 x14ac:dyDescent="0.3">
      <c r="A623" s="11">
        <v>46127</v>
      </c>
      <c r="B623" s="12" t="str">
        <f>UPPER(TEXT(A623,"MMMM"))</f>
        <v>ABRIL</v>
      </c>
      <c r="C623" s="12" t="s">
        <v>15</v>
      </c>
      <c r="D623" s="12" t="s">
        <v>12</v>
      </c>
      <c r="E623" s="13">
        <v>75</v>
      </c>
      <c r="F623" s="13">
        <v>54</v>
      </c>
      <c r="G623" s="12">
        <v>5</v>
      </c>
      <c r="H623" s="14">
        <v>5</v>
      </c>
      <c r="I623" s="12">
        <f>IFERROR(IF(T_PROD[[#This Row],[PREVISTO]]-T_PROD[[#This Row],[EFETIVO]]&lt; 0,0,T_PROD[[#This Row],[PREVISTO]]-T_PROD[[#This Row],[EFETIVO]] ),"")</f>
        <v>0</v>
      </c>
      <c r="J623" s="15">
        <f>IFERROR(IF(T_PROD[[#This Row],[META]]&gt;0,(T_PROD[[#This Row],[META]]/T_PROD[[#This Row],[PREVISTO]]),""),"")</f>
        <v>15</v>
      </c>
      <c r="K623" s="15">
        <f>IFERROR(IF(T_PROD[[#This Row],[PRODUÇÃO]]&gt;0,(T_PROD[[#This Row],[PRODUÇÃO]]/T_PROD[[#This Row],[EFETIVO]]),""),"")</f>
        <v>10.8</v>
      </c>
    </row>
    <row r="624" spans="1:11" s="6" customFormat="1" x14ac:dyDescent="0.3">
      <c r="A624" s="11">
        <v>46127</v>
      </c>
      <c r="B624" s="12" t="str">
        <f t="shared" ref="B624:B631" si="68">UPPER(TEXT(A624,"MMMM"))</f>
        <v>ABRIL</v>
      </c>
      <c r="C624" s="12" t="s">
        <v>16</v>
      </c>
      <c r="D624" s="12" t="s">
        <v>12</v>
      </c>
      <c r="E624" s="13">
        <v>160</v>
      </c>
      <c r="F624" s="13">
        <v>204</v>
      </c>
      <c r="G624" s="12">
        <v>6</v>
      </c>
      <c r="H624" s="14">
        <v>6</v>
      </c>
      <c r="I624" s="12">
        <f>IFERROR(IF(T_PROD[[#This Row],[PREVISTO]]-T_PROD[[#This Row],[EFETIVO]]&lt; 0,0,T_PROD[[#This Row],[PREVISTO]]-T_PROD[[#This Row],[EFETIVO]] ),"")</f>
        <v>0</v>
      </c>
      <c r="J624" s="15">
        <f>IFERROR(IF(T_PROD[[#This Row],[META]]&gt;0,(T_PROD[[#This Row],[META]]/T_PROD[[#This Row],[PREVISTO]]),""),"")</f>
        <v>26.666666666666668</v>
      </c>
      <c r="K624" s="15">
        <f>IFERROR(IF(T_PROD[[#This Row],[PRODUÇÃO]]&gt;0,(T_PROD[[#This Row],[PRODUÇÃO]]/T_PROD[[#This Row],[EFETIVO]]),""),"")</f>
        <v>34</v>
      </c>
    </row>
    <row r="625" spans="1:11" s="6" customFormat="1" x14ac:dyDescent="0.3">
      <c r="A625" s="11">
        <v>46127</v>
      </c>
      <c r="B625" s="12" t="str">
        <f t="shared" si="68"/>
        <v>ABRIL</v>
      </c>
      <c r="C625" s="12" t="s">
        <v>17</v>
      </c>
      <c r="D625" s="12" t="s">
        <v>12</v>
      </c>
      <c r="E625" s="13">
        <v>128</v>
      </c>
      <c r="F625" s="13">
        <v>93</v>
      </c>
      <c r="G625" s="12">
        <v>8</v>
      </c>
      <c r="H625" s="14">
        <v>8</v>
      </c>
      <c r="I625" s="12">
        <f>IFERROR(IF(T_PROD[[#This Row],[PREVISTO]]-T_PROD[[#This Row],[EFETIVO]]&lt; 0,0,T_PROD[[#This Row],[PREVISTO]]-T_PROD[[#This Row],[EFETIVO]] ),"")</f>
        <v>0</v>
      </c>
      <c r="J625" s="15">
        <f>IFERROR(IF(T_PROD[[#This Row],[META]]&gt;0,(T_PROD[[#This Row],[META]]/T_PROD[[#This Row],[PREVISTO]]),""),"")</f>
        <v>16</v>
      </c>
      <c r="K625" s="15">
        <f>IFERROR(IF(T_PROD[[#This Row],[PRODUÇÃO]]&gt;0,(T_PROD[[#This Row],[PRODUÇÃO]]/T_PROD[[#This Row],[EFETIVO]]),""),"")</f>
        <v>11.625</v>
      </c>
    </row>
    <row r="626" spans="1:11" s="6" customFormat="1" x14ac:dyDescent="0.3">
      <c r="A626" s="11">
        <v>46127</v>
      </c>
      <c r="B626" s="12" t="str">
        <f t="shared" si="68"/>
        <v>ABRIL</v>
      </c>
      <c r="C626" s="12" t="s">
        <v>18</v>
      </c>
      <c r="D626" s="12" t="s">
        <v>12</v>
      </c>
      <c r="E626" s="13"/>
      <c r="F626" s="13"/>
      <c r="G626" s="12"/>
      <c r="H626" s="14"/>
      <c r="I626" s="12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 x14ac:dyDescent="0.3">
      <c r="A627" s="11">
        <v>46127</v>
      </c>
      <c r="B627" s="12" t="str">
        <f t="shared" si="68"/>
        <v>ABRIL</v>
      </c>
      <c r="C627" s="12" t="s">
        <v>19</v>
      </c>
      <c r="D627" s="12" t="s">
        <v>12</v>
      </c>
      <c r="E627" s="13"/>
      <c r="F627" s="13"/>
      <c r="G627" s="12"/>
      <c r="H627" s="14"/>
      <c r="I627" s="12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 x14ac:dyDescent="0.3">
      <c r="A628" s="11">
        <v>46127</v>
      </c>
      <c r="B628" s="12" t="str">
        <f t="shared" si="68"/>
        <v>ABRIL</v>
      </c>
      <c r="C628" s="12" t="s">
        <v>20</v>
      </c>
      <c r="D628" s="12" t="s">
        <v>12</v>
      </c>
      <c r="E628" s="13">
        <v>363</v>
      </c>
      <c r="F628" s="13">
        <v>351</v>
      </c>
      <c r="G628" s="12">
        <v>92</v>
      </c>
      <c r="H628" s="14">
        <v>92</v>
      </c>
      <c r="I628" s="12">
        <f>IFERROR(IF(T_PROD[[#This Row],[PREVISTO]]-T_PROD[[#This Row],[EFETIVO]]&lt; 0,0,T_PROD[[#This Row],[PREVISTO]]-T_PROD[[#This Row],[EFETIVO]] ),"")</f>
        <v>0</v>
      </c>
      <c r="J628" s="15">
        <f>IFERROR(IF(T_PROD[[#This Row],[META]]&gt;0,(T_PROD[[#This Row],[META]]/T_PROD[[#This Row],[PREVISTO]]),""),"")</f>
        <v>3.9456521739130435</v>
      </c>
      <c r="K628" s="15">
        <f>IFERROR(IF(T_PROD[[#This Row],[PRODUÇÃO]]&gt;0,(T_PROD[[#This Row],[PRODUÇÃO]]/T_PROD[[#This Row],[EFETIVO]]),""),"")</f>
        <v>3.8152173913043477</v>
      </c>
    </row>
    <row r="629" spans="1:11" s="6" customFormat="1" x14ac:dyDescent="0.3">
      <c r="A629" s="11">
        <v>46127</v>
      </c>
      <c r="B629" s="12" t="str">
        <f t="shared" si="68"/>
        <v>ABRIL</v>
      </c>
      <c r="C629" s="12" t="s">
        <v>11</v>
      </c>
      <c r="D629" s="12" t="s">
        <v>12</v>
      </c>
      <c r="E629" s="13">
        <v>252</v>
      </c>
      <c r="F629" s="13">
        <v>265</v>
      </c>
      <c r="G629" s="12">
        <v>14</v>
      </c>
      <c r="H629" s="14">
        <v>14</v>
      </c>
      <c r="I629" s="12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 x14ac:dyDescent="0.3">
      <c r="A630" s="11">
        <v>46127</v>
      </c>
      <c r="B630" s="12" t="str">
        <f t="shared" si="68"/>
        <v>ABRIL</v>
      </c>
      <c r="C630" s="12" t="s">
        <v>32</v>
      </c>
      <c r="D630" s="12" t="s">
        <v>12</v>
      </c>
      <c r="E630" s="13">
        <v>150</v>
      </c>
      <c r="F630" s="13">
        <v>158</v>
      </c>
      <c r="G630" s="12">
        <v>15</v>
      </c>
      <c r="H630" s="14">
        <v>14</v>
      </c>
      <c r="I630" s="12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 x14ac:dyDescent="0.3">
      <c r="A631" s="11">
        <v>46127</v>
      </c>
      <c r="B631" s="12" t="str">
        <f t="shared" si="68"/>
        <v>ABRIL</v>
      </c>
      <c r="C631" s="12" t="s">
        <v>14</v>
      </c>
      <c r="D631" s="12" t="s">
        <v>12</v>
      </c>
      <c r="E631" s="13">
        <v>402</v>
      </c>
      <c r="F631" s="13">
        <v>423</v>
      </c>
      <c r="G631" s="12">
        <v>67</v>
      </c>
      <c r="H631" s="14">
        <v>62</v>
      </c>
      <c r="I631" s="12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 x14ac:dyDescent="0.3">
      <c r="A632" s="11">
        <v>46128</v>
      </c>
      <c r="B632" s="12" t="str">
        <f>UPPER(TEXT(A632,"MMMM"))</f>
        <v>ABRIL</v>
      </c>
      <c r="C632" s="12" t="s">
        <v>15</v>
      </c>
      <c r="D632" s="12" t="s">
        <v>12</v>
      </c>
      <c r="E632" s="13">
        <v>75</v>
      </c>
      <c r="F632" s="13">
        <v>35</v>
      </c>
      <c r="G632" s="12">
        <v>5</v>
      </c>
      <c r="H632" s="14">
        <v>5</v>
      </c>
      <c r="I632" s="12">
        <f>IFERROR(IF(T_PROD[[#This Row],[PREVISTO]]-T_PROD[[#This Row],[EFETIVO]]&lt; 0,0,T_PROD[[#This Row],[PREVISTO]]-T_PROD[[#This Row],[EFETIVO]] ),"")</f>
        <v>0</v>
      </c>
      <c r="J632" s="15">
        <f>IFERROR(IF(T_PROD[[#This Row],[META]]&gt;0,(T_PROD[[#This Row],[META]]/T_PROD[[#This Row],[PREVISTO]]),""),"")</f>
        <v>15</v>
      </c>
      <c r="K632" s="15">
        <f>IFERROR(IF(T_PROD[[#This Row],[PRODUÇÃO]]&gt;0,(T_PROD[[#This Row],[PRODUÇÃO]]/T_PROD[[#This Row],[EFETIVO]]),""),"")</f>
        <v>7</v>
      </c>
    </row>
    <row r="633" spans="1:11" s="6" customFormat="1" x14ac:dyDescent="0.3">
      <c r="A633" s="11">
        <v>46128</v>
      </c>
      <c r="B633" s="12" t="str">
        <f t="shared" ref="B633:B640" si="69">UPPER(TEXT(A633,"MMMM"))</f>
        <v>ABRIL</v>
      </c>
      <c r="C633" s="12" t="s">
        <v>16</v>
      </c>
      <c r="D633" s="12" t="s">
        <v>12</v>
      </c>
      <c r="E633" s="13">
        <v>204</v>
      </c>
      <c r="F633" s="13">
        <v>115</v>
      </c>
      <c r="G633" s="12">
        <v>6</v>
      </c>
      <c r="H633" s="14">
        <v>6</v>
      </c>
      <c r="I633" s="12">
        <f>IFERROR(IF(T_PROD[[#This Row],[PREVISTO]]-T_PROD[[#This Row],[EFETIVO]]&lt; 0,0,T_PROD[[#This Row],[PREVISTO]]-T_PROD[[#This Row],[EFETIVO]] ),"")</f>
        <v>0</v>
      </c>
      <c r="J633" s="15">
        <f>IFERROR(IF(T_PROD[[#This Row],[META]]&gt;0,(T_PROD[[#This Row],[META]]/T_PROD[[#This Row],[PREVISTO]]),""),"")</f>
        <v>34</v>
      </c>
      <c r="K633" s="15">
        <f>IFERROR(IF(T_PROD[[#This Row],[PRODUÇÃO]]&gt;0,(T_PROD[[#This Row],[PRODUÇÃO]]/T_PROD[[#This Row],[EFETIVO]]),""),"")</f>
        <v>19.166666666666668</v>
      </c>
    </row>
    <row r="634" spans="1:11" s="6" customFormat="1" x14ac:dyDescent="0.3">
      <c r="A634" s="11">
        <v>46128</v>
      </c>
      <c r="B634" s="12" t="str">
        <f t="shared" si="69"/>
        <v>ABRIL</v>
      </c>
      <c r="C634" s="12" t="s">
        <v>17</v>
      </c>
      <c r="D634" s="12" t="s">
        <v>12</v>
      </c>
      <c r="E634" s="13">
        <v>136</v>
      </c>
      <c r="F634" s="13">
        <v>110</v>
      </c>
      <c r="G634" s="12">
        <v>8.5</v>
      </c>
      <c r="H634" s="14">
        <v>8.5</v>
      </c>
      <c r="I634" s="12">
        <f>IFERROR(IF(T_PROD[[#This Row],[PREVISTO]]-T_PROD[[#This Row],[EFETIVO]]&lt; 0,0,T_PROD[[#This Row],[PREVISTO]]-T_PROD[[#This Row],[EFETIVO]] ),"")</f>
        <v>0</v>
      </c>
      <c r="J634" s="15">
        <f>IFERROR(IF(T_PROD[[#This Row],[META]]&gt;0,(T_PROD[[#This Row],[META]]/T_PROD[[#This Row],[PREVISTO]]),""),"")</f>
        <v>16</v>
      </c>
      <c r="K634" s="15">
        <f>IFERROR(IF(T_PROD[[#This Row],[PRODUÇÃO]]&gt;0,(T_PROD[[#This Row],[PRODUÇÃO]]/T_PROD[[#This Row],[EFETIVO]]),""),"")</f>
        <v>12.941176470588236</v>
      </c>
    </row>
    <row r="635" spans="1:11" s="6" customFormat="1" x14ac:dyDescent="0.3">
      <c r="A635" s="11">
        <v>46128</v>
      </c>
      <c r="B635" s="12" t="str">
        <f t="shared" si="69"/>
        <v>ABRIL</v>
      </c>
      <c r="C635" s="12" t="s">
        <v>18</v>
      </c>
      <c r="D635" s="12" t="s">
        <v>12</v>
      </c>
      <c r="E635" s="13"/>
      <c r="F635" s="13"/>
      <c r="G635" s="12"/>
      <c r="H635" s="14"/>
      <c r="I635" s="12">
        <f>IFERROR(IF(T_PROD[[#This Row],[PREVISTO]]-T_PROD[[#This Row],[EFETIVO]]&lt; 0,0,T_PROD[[#This Row],[PREVISTO]]-T_PROD[[#This Row],[EFETIVO]] ),"")</f>
        <v>0</v>
      </c>
      <c r="J635" s="15" t="str">
        <f>IFERROR(IF(T_PROD[[#This Row],[META]]&gt;0,(T_PROD[[#This Row],[META]]/T_PROD[[#This Row],[PREVISTO]]),""),"")</f>
        <v/>
      </c>
      <c r="K635" s="15" t="str">
        <f>IFERROR(IF(T_PROD[[#This Row],[PRODUÇÃO]]&gt;0,(T_PROD[[#This Row],[PRODUÇÃO]]/T_PROD[[#This Row],[EFETIVO]]),""),"")</f>
        <v/>
      </c>
    </row>
    <row r="636" spans="1:11" s="6" customFormat="1" x14ac:dyDescent="0.3">
      <c r="A636" s="11">
        <v>46128</v>
      </c>
      <c r="B636" s="12" t="str">
        <f t="shared" si="69"/>
        <v>ABRIL</v>
      </c>
      <c r="C636" s="12" t="s">
        <v>19</v>
      </c>
      <c r="D636" s="12" t="s">
        <v>12</v>
      </c>
      <c r="E636" s="13"/>
      <c r="F636" s="13"/>
      <c r="G636" s="12"/>
      <c r="H636" s="14"/>
      <c r="I636" s="12">
        <f>IFERROR(IF(T_PROD[[#This Row],[PREVISTO]]-T_PROD[[#This Row],[EFETIVO]]&lt; 0,0,T_PROD[[#This Row],[PREVISTO]]-T_PROD[[#This Row],[EFETIVO]] ),"")</f>
        <v>0</v>
      </c>
      <c r="J636" s="15" t="str">
        <f>IFERROR(IF(T_PROD[[#This Row],[META]]&gt;0,(T_PROD[[#This Row],[META]]/T_PROD[[#This Row],[PREVISTO]]),""),"")</f>
        <v/>
      </c>
      <c r="K636" s="15" t="str">
        <f>IFERROR(IF(T_PROD[[#This Row],[PRODUÇÃO]]&gt;0,(T_PROD[[#This Row],[PRODUÇÃO]]/T_PROD[[#This Row],[EFETIVO]]),""),"")</f>
        <v/>
      </c>
    </row>
    <row r="637" spans="1:11" s="6" customFormat="1" x14ac:dyDescent="0.3">
      <c r="A637" s="11">
        <v>46128</v>
      </c>
      <c r="B637" s="12" t="str">
        <f t="shared" si="69"/>
        <v>ABRIL</v>
      </c>
      <c r="C637" s="12" t="s">
        <v>20</v>
      </c>
      <c r="D637" s="12" t="s">
        <v>12</v>
      </c>
      <c r="E637" s="13">
        <v>415</v>
      </c>
      <c r="F637" s="13">
        <v>260</v>
      </c>
      <c r="G637" s="12">
        <v>92</v>
      </c>
      <c r="H637" s="14">
        <v>92</v>
      </c>
      <c r="I637" s="12">
        <f>IFERROR(IF(T_PROD[[#This Row],[PREVISTO]]-T_PROD[[#This Row],[EFETIVO]]&lt; 0,0,T_PROD[[#This Row],[PREVISTO]]-T_PROD[[#This Row],[EFETIVO]] ),"")</f>
        <v>0</v>
      </c>
      <c r="J637" s="15">
        <f>IFERROR(IF(T_PROD[[#This Row],[META]]&gt;0,(T_PROD[[#This Row],[META]]/T_PROD[[#This Row],[PREVISTO]]),""),"")</f>
        <v>4.5108695652173916</v>
      </c>
      <c r="K637" s="15">
        <f>IFERROR(IF(T_PROD[[#This Row],[PRODUÇÃO]]&gt;0,(T_PROD[[#This Row],[PRODUÇÃO]]/T_PROD[[#This Row],[EFETIVO]]),""),"")</f>
        <v>2.8260869565217392</v>
      </c>
    </row>
    <row r="638" spans="1:11" s="6" customFormat="1" x14ac:dyDescent="0.3">
      <c r="A638" s="11">
        <v>46128</v>
      </c>
      <c r="B638" s="12" t="str">
        <f t="shared" si="69"/>
        <v>ABRIL</v>
      </c>
      <c r="C638" s="12" t="s">
        <v>11</v>
      </c>
      <c r="D638" s="12" t="s">
        <v>12</v>
      </c>
      <c r="E638" s="13">
        <v>252</v>
      </c>
      <c r="F638" s="13">
        <v>280</v>
      </c>
      <c r="G638" s="12">
        <v>14</v>
      </c>
      <c r="H638" s="14">
        <v>14</v>
      </c>
      <c r="I638" s="12">
        <f>IFERROR(IF(T_PROD[[#This Row],[PREVISTO]]-T_PROD[[#This Row],[EFETIVO]]&lt; 0,0,T_PROD[[#This Row],[PREVISTO]]-T_PROD[[#This Row],[EFETIVO]] ),"")</f>
        <v>0</v>
      </c>
      <c r="J638" s="15">
        <f>IFERROR(IF(T_PROD[[#This Row],[META]]&gt;0,(T_PROD[[#This Row],[META]]/T_PROD[[#This Row],[PREVISTO]]),""),"")</f>
        <v>18</v>
      </c>
      <c r="K638" s="15">
        <f>IFERROR(IF(T_PROD[[#This Row],[PRODUÇÃO]]&gt;0,(T_PROD[[#This Row],[PRODUÇÃO]]/T_PROD[[#This Row],[EFETIVO]]),""),"")</f>
        <v>20</v>
      </c>
    </row>
    <row r="639" spans="1:11" s="6" customFormat="1" x14ac:dyDescent="0.3">
      <c r="A639" s="11">
        <v>46128</v>
      </c>
      <c r="B639" s="12" t="str">
        <f t="shared" si="69"/>
        <v>ABRIL</v>
      </c>
      <c r="C639" s="12" t="s">
        <v>32</v>
      </c>
      <c r="D639" s="12" t="s">
        <v>12</v>
      </c>
      <c r="E639" s="13">
        <v>150</v>
      </c>
      <c r="F639" s="13">
        <v>152</v>
      </c>
      <c r="G639" s="12">
        <v>15</v>
      </c>
      <c r="H639" s="14">
        <v>14</v>
      </c>
      <c r="I639" s="12">
        <f>IFERROR(IF(T_PROD[[#This Row],[PREVISTO]]-T_PROD[[#This Row],[EFETIVO]]&lt; 0,0,T_PROD[[#This Row],[PREVISTO]]-T_PROD[[#This Row],[EFETIVO]] ),"")</f>
        <v>1</v>
      </c>
      <c r="J639" s="15">
        <f>IFERROR(IF(T_PROD[[#This Row],[META]]&gt;0,(T_PROD[[#This Row],[META]]/T_PROD[[#This Row],[PREVISTO]]),""),"")</f>
        <v>10</v>
      </c>
      <c r="K639" s="15">
        <f>IFERROR(IF(T_PROD[[#This Row],[PRODUÇÃO]]&gt;0,(T_PROD[[#This Row],[PRODUÇÃO]]/T_PROD[[#This Row],[EFETIVO]]),""),"")</f>
        <v>10.857142857142858</v>
      </c>
    </row>
    <row r="640" spans="1:11" s="6" customFormat="1" x14ac:dyDescent="0.3">
      <c r="A640" s="11">
        <v>46128</v>
      </c>
      <c r="B640" s="12" t="str">
        <f t="shared" si="69"/>
        <v>ABRIL</v>
      </c>
      <c r="C640" s="12" t="s">
        <v>14</v>
      </c>
      <c r="D640" s="12" t="s">
        <v>12</v>
      </c>
      <c r="E640" s="13">
        <v>402</v>
      </c>
      <c r="F640" s="13">
        <v>432</v>
      </c>
      <c r="G640" s="12">
        <v>67</v>
      </c>
      <c r="H640" s="14">
        <v>63</v>
      </c>
      <c r="I640" s="12">
        <f>IFERROR(IF(T_PROD[[#This Row],[PREVISTO]]-T_PROD[[#This Row],[EFETIVO]]&lt; 0,0,T_PROD[[#This Row],[PREVISTO]]-T_PROD[[#This Row],[EFETIVO]] ),"")</f>
        <v>4</v>
      </c>
      <c r="J640" s="15">
        <f>IFERROR(IF(T_PROD[[#This Row],[META]]&gt;0,(T_PROD[[#This Row],[META]]/T_PROD[[#This Row],[PREVISTO]]),""),"")</f>
        <v>6</v>
      </c>
      <c r="K640" s="15">
        <f>IFERROR(IF(T_PROD[[#This Row],[PRODUÇÃO]]&gt;0,(T_PROD[[#This Row],[PRODUÇÃO]]/T_PROD[[#This Row],[EFETIVO]]),""),"")</f>
        <v>6.8571428571428568</v>
      </c>
    </row>
    <row r="641" spans="1:11" s="6" customFormat="1" x14ac:dyDescent="0.3">
      <c r="A641" s="11">
        <v>46129</v>
      </c>
      <c r="B641" s="12" t="str">
        <f>UPPER(TEXT(A641,"MMMM"))</f>
        <v>ABRIL</v>
      </c>
      <c r="C641" s="12" t="s">
        <v>15</v>
      </c>
      <c r="D641" s="12" t="s">
        <v>12</v>
      </c>
      <c r="E641" s="13">
        <v>60</v>
      </c>
      <c r="F641" s="13">
        <v>29</v>
      </c>
      <c r="G641" s="12">
        <v>4</v>
      </c>
      <c r="H641" s="14">
        <v>4</v>
      </c>
      <c r="I641" s="12">
        <f>IFERROR(IF(T_PROD[[#This Row],[PREVISTO]]-T_PROD[[#This Row],[EFETIVO]]&lt; 0,0,T_PROD[[#This Row],[PREVISTO]]-T_PROD[[#This Row],[EFETIVO]] ),"")</f>
        <v>0</v>
      </c>
      <c r="J641" s="15">
        <f>IFERROR(IF(T_PROD[[#This Row],[META]]&gt;0,(T_PROD[[#This Row],[META]]/T_PROD[[#This Row],[PREVISTO]]),""),"")</f>
        <v>15</v>
      </c>
      <c r="K641" s="15">
        <f>IFERROR(IF(T_PROD[[#This Row],[PRODUÇÃO]]&gt;0,(T_PROD[[#This Row],[PRODUÇÃO]]/T_PROD[[#This Row],[EFETIVO]]),""),"")</f>
        <v>7.25</v>
      </c>
    </row>
    <row r="642" spans="1:11" s="6" customFormat="1" x14ac:dyDescent="0.3">
      <c r="A642" s="11">
        <v>46129</v>
      </c>
      <c r="B642" s="12" t="str">
        <f t="shared" ref="B642:B649" si="70">UPPER(TEXT(A642,"MMMM"))</f>
        <v>ABRIL</v>
      </c>
      <c r="C642" s="12" t="s">
        <v>16</v>
      </c>
      <c r="D642" s="12" t="s">
        <v>12</v>
      </c>
      <c r="E642" s="13">
        <v>204</v>
      </c>
      <c r="F642" s="13">
        <v>145</v>
      </c>
      <c r="G642" s="12">
        <v>6</v>
      </c>
      <c r="H642" s="14">
        <v>6</v>
      </c>
      <c r="I642" s="12">
        <f>IFERROR(IF(T_PROD[[#This Row],[PREVISTO]]-T_PROD[[#This Row],[EFETIVO]]&lt; 0,0,T_PROD[[#This Row],[PREVISTO]]-T_PROD[[#This Row],[EFETIVO]] ),"")</f>
        <v>0</v>
      </c>
      <c r="J642" s="15">
        <f>IFERROR(IF(T_PROD[[#This Row],[META]]&gt;0,(T_PROD[[#This Row],[META]]/T_PROD[[#This Row],[PREVISTO]]),""),"")</f>
        <v>34</v>
      </c>
      <c r="K642" s="15">
        <f>IFERROR(IF(T_PROD[[#This Row],[PRODUÇÃO]]&gt;0,(T_PROD[[#This Row],[PRODUÇÃO]]/T_PROD[[#This Row],[EFETIVO]]),""),"")</f>
        <v>24.166666666666668</v>
      </c>
    </row>
    <row r="643" spans="1:11" s="6" customFormat="1" x14ac:dyDescent="0.3">
      <c r="A643" s="11">
        <v>46129</v>
      </c>
      <c r="B643" s="12" t="str">
        <f t="shared" si="70"/>
        <v>ABRIL</v>
      </c>
      <c r="C643" s="12" t="s">
        <v>17</v>
      </c>
      <c r="D643" s="12" t="s">
        <v>12</v>
      </c>
      <c r="E643" s="13">
        <v>128</v>
      </c>
      <c r="F643" s="13">
        <v>93</v>
      </c>
      <c r="G643" s="12">
        <v>8</v>
      </c>
      <c r="H643" s="14">
        <v>8</v>
      </c>
      <c r="I643" s="12">
        <f>IFERROR(IF(T_PROD[[#This Row],[PREVISTO]]-T_PROD[[#This Row],[EFETIVO]]&lt; 0,0,T_PROD[[#This Row],[PREVISTO]]-T_PROD[[#This Row],[EFETIVO]] ),"")</f>
        <v>0</v>
      </c>
      <c r="J643" s="15">
        <f>IFERROR(IF(T_PROD[[#This Row],[META]]&gt;0,(T_PROD[[#This Row],[META]]/T_PROD[[#This Row],[PREVISTO]]),""),"")</f>
        <v>16</v>
      </c>
      <c r="K643" s="15">
        <f>IFERROR(IF(T_PROD[[#This Row],[PRODUÇÃO]]&gt;0,(T_PROD[[#This Row],[PRODUÇÃO]]/T_PROD[[#This Row],[EFETIVO]]),""),"")</f>
        <v>11.625</v>
      </c>
    </row>
    <row r="644" spans="1:11" s="6" customFormat="1" x14ac:dyDescent="0.3">
      <c r="A644" s="11">
        <v>46129</v>
      </c>
      <c r="B644" s="12" t="str">
        <f t="shared" si="70"/>
        <v>ABRIL</v>
      </c>
      <c r="C644" s="12" t="s">
        <v>18</v>
      </c>
      <c r="D644" s="12" t="s">
        <v>12</v>
      </c>
      <c r="E644" s="13"/>
      <c r="F644" s="13"/>
      <c r="G644" s="12"/>
      <c r="H644" s="14"/>
      <c r="I644" s="12">
        <f>IFERROR(IF(T_PROD[[#This Row],[PREVISTO]]-T_PROD[[#This Row],[EFETIVO]]&lt; 0,0,T_PROD[[#This Row],[PREVISTO]]-T_PROD[[#This Row],[EFETIVO]] ),"")</f>
        <v>0</v>
      </c>
      <c r="J644" s="15" t="str">
        <f>IFERROR(IF(T_PROD[[#This Row],[META]]&gt;0,(T_PROD[[#This Row],[META]]/T_PROD[[#This Row],[PREVISTO]]),""),"")</f>
        <v/>
      </c>
      <c r="K644" s="15" t="str">
        <f>IFERROR(IF(T_PROD[[#This Row],[PRODUÇÃO]]&gt;0,(T_PROD[[#This Row],[PRODUÇÃO]]/T_PROD[[#This Row],[EFETIVO]]),""),"")</f>
        <v/>
      </c>
    </row>
    <row r="645" spans="1:11" s="6" customFormat="1" x14ac:dyDescent="0.3">
      <c r="A645" s="11">
        <v>46129</v>
      </c>
      <c r="B645" s="12" t="str">
        <f t="shared" si="70"/>
        <v>ABRIL</v>
      </c>
      <c r="C645" s="12" t="s">
        <v>19</v>
      </c>
      <c r="D645" s="12" t="s">
        <v>12</v>
      </c>
      <c r="E645" s="13"/>
      <c r="F645" s="13"/>
      <c r="G645" s="12"/>
      <c r="H645" s="14"/>
      <c r="I645" s="12">
        <f>IFERROR(IF(T_PROD[[#This Row],[PREVISTO]]-T_PROD[[#This Row],[EFETIVO]]&lt; 0,0,T_PROD[[#This Row],[PREVISTO]]-T_PROD[[#This Row],[EFETIVO]] ),"")</f>
        <v>0</v>
      </c>
      <c r="J645" s="15" t="str">
        <f>IFERROR(IF(T_PROD[[#This Row],[META]]&gt;0,(T_PROD[[#This Row],[META]]/T_PROD[[#This Row],[PREVISTO]]),""),"")</f>
        <v/>
      </c>
      <c r="K645" s="15" t="str">
        <f>IFERROR(IF(T_PROD[[#This Row],[PRODUÇÃO]]&gt;0,(T_PROD[[#This Row],[PRODUÇÃO]]/T_PROD[[#This Row],[EFETIVO]]),""),"")</f>
        <v/>
      </c>
    </row>
    <row r="646" spans="1:11" s="6" customFormat="1" x14ac:dyDescent="0.3">
      <c r="A646" s="11">
        <v>46129</v>
      </c>
      <c r="B646" s="12" t="str">
        <f t="shared" si="70"/>
        <v>ABRIL</v>
      </c>
      <c r="C646" s="12" t="s">
        <v>20</v>
      </c>
      <c r="D646" s="12" t="s">
        <v>12</v>
      </c>
      <c r="E646" s="13">
        <v>392</v>
      </c>
      <c r="F646" s="13">
        <v>267</v>
      </c>
      <c r="G646" s="12">
        <v>92</v>
      </c>
      <c r="H646" s="14">
        <v>92</v>
      </c>
      <c r="I646" s="12">
        <f>IFERROR(IF(T_PROD[[#This Row],[PREVISTO]]-T_PROD[[#This Row],[EFETIVO]]&lt; 0,0,T_PROD[[#This Row],[PREVISTO]]-T_PROD[[#This Row],[EFETIVO]] ),"")</f>
        <v>0</v>
      </c>
      <c r="J646" s="15">
        <f>IFERROR(IF(T_PROD[[#This Row],[META]]&gt;0,(T_PROD[[#This Row],[META]]/T_PROD[[#This Row],[PREVISTO]]),""),"")</f>
        <v>4.2608695652173916</v>
      </c>
      <c r="K646" s="15">
        <f>IFERROR(IF(T_PROD[[#This Row],[PRODUÇÃO]]&gt;0,(T_PROD[[#This Row],[PRODUÇÃO]]/T_PROD[[#This Row],[EFETIVO]]),""),"")</f>
        <v>2.902173913043478</v>
      </c>
    </row>
    <row r="647" spans="1:11" s="6" customFormat="1" x14ac:dyDescent="0.3">
      <c r="A647" s="11">
        <v>46129</v>
      </c>
      <c r="B647" s="12" t="str">
        <f t="shared" si="70"/>
        <v>ABRIL</v>
      </c>
      <c r="C647" s="12" t="s">
        <v>11</v>
      </c>
      <c r="D647" s="12" t="s">
        <v>12</v>
      </c>
      <c r="E647" s="13">
        <v>194</v>
      </c>
      <c r="F647" s="13">
        <v>215</v>
      </c>
      <c r="G647" s="12">
        <v>11</v>
      </c>
      <c r="H647" s="14">
        <v>11</v>
      </c>
      <c r="I647" s="12">
        <f>IFERROR(IF(T_PROD[[#This Row],[PREVISTO]]-T_PROD[[#This Row],[EFETIVO]]&lt; 0,0,T_PROD[[#This Row],[PREVISTO]]-T_PROD[[#This Row],[EFETIVO]] ),"")</f>
        <v>0</v>
      </c>
      <c r="J647" s="15">
        <v>18</v>
      </c>
      <c r="K647" s="15">
        <f>IFERROR(IF(T_PROD[[#This Row],[PRODUÇÃO]]&gt;0,(T_PROD[[#This Row],[PRODUÇÃO]]/T_PROD[[#This Row],[EFETIVO]]),""),"")</f>
        <v>19.545454545454547</v>
      </c>
    </row>
    <row r="648" spans="1:11" s="6" customFormat="1" x14ac:dyDescent="0.3">
      <c r="A648" s="11">
        <v>46129</v>
      </c>
      <c r="B648" s="12" t="str">
        <f t="shared" si="70"/>
        <v>ABRIL</v>
      </c>
      <c r="C648" s="12" t="s">
        <v>32</v>
      </c>
      <c r="D648" s="12" t="s">
        <v>12</v>
      </c>
      <c r="E648" s="13">
        <v>115</v>
      </c>
      <c r="F648" s="13">
        <v>134</v>
      </c>
      <c r="G648" s="12">
        <v>12</v>
      </c>
      <c r="H648" s="14">
        <v>12</v>
      </c>
      <c r="I648" s="12">
        <f>IFERROR(IF(T_PROD[[#This Row],[PREVISTO]]-T_PROD[[#This Row],[EFETIVO]]&lt; 0,0,T_PROD[[#This Row],[PREVISTO]]-T_PROD[[#This Row],[EFETIVO]] ),"")</f>
        <v>0</v>
      </c>
      <c r="J648" s="15">
        <v>10</v>
      </c>
      <c r="K648" s="15">
        <f>IFERROR(IF(T_PROD[[#This Row],[PRODUÇÃO]]&gt;0,(T_PROD[[#This Row],[PRODUÇÃO]]/T_PROD[[#This Row],[EFETIVO]]),""),"")</f>
        <v>11.166666666666666</v>
      </c>
    </row>
    <row r="649" spans="1:11" s="6" customFormat="1" x14ac:dyDescent="0.3">
      <c r="A649" s="11">
        <v>46129</v>
      </c>
      <c r="B649" s="12" t="str">
        <f t="shared" si="70"/>
        <v>ABRIL</v>
      </c>
      <c r="C649" s="12" t="s">
        <v>14</v>
      </c>
      <c r="D649" s="12" t="s">
        <v>12</v>
      </c>
      <c r="E649" s="13">
        <v>309</v>
      </c>
      <c r="F649" s="13">
        <v>349</v>
      </c>
      <c r="G649" s="12">
        <v>67</v>
      </c>
      <c r="H649" s="14">
        <v>62</v>
      </c>
      <c r="I649" s="12">
        <f>IFERROR(IF(T_PROD[[#This Row],[PREVISTO]]-T_PROD[[#This Row],[EFETIVO]]&lt; 0,0,T_PROD[[#This Row],[PREVISTO]]-T_PROD[[#This Row],[EFETIVO]] ),"")</f>
        <v>5</v>
      </c>
      <c r="J649" s="15">
        <f>IFERROR(IF(T_PROD[[#This Row],[META]]&gt;0,(T_PROD[[#This Row],[META]]/T_PROD[[#This Row],[PREVISTO]]),""),"")</f>
        <v>4.6119402985074629</v>
      </c>
      <c r="K649" s="15">
        <f>IFERROR(IF(T_PROD[[#This Row],[PRODUÇÃO]]&gt;0,(T_PROD[[#This Row],[PRODUÇÃO]]/T_PROD[[#This Row],[EFETIVO]]),""),"")</f>
        <v>5.629032258064516</v>
      </c>
    </row>
    <row r="650" spans="1:11" s="6" customFormat="1" x14ac:dyDescent="0.3">
      <c r="A650" s="11">
        <v>46133</v>
      </c>
      <c r="B650" s="12" t="str">
        <f>UPPER(TEXT(A650,"MMMM"))</f>
        <v>ABRIL</v>
      </c>
      <c r="C650" s="12" t="s">
        <v>15</v>
      </c>
      <c r="D650" s="12" t="s">
        <v>12</v>
      </c>
      <c r="E650" s="13">
        <v>60</v>
      </c>
      <c r="F650" s="13">
        <v>58</v>
      </c>
      <c r="G650" s="12">
        <v>4</v>
      </c>
      <c r="H650" s="14">
        <v>4</v>
      </c>
      <c r="I650" s="12">
        <f>IFERROR(IF(T_PROD[[#This Row],[PREVISTO]]-T_PROD[[#This Row],[EFETIVO]]&lt; 0,0,T_PROD[[#This Row],[PREVISTO]]-T_PROD[[#This Row],[EFETIVO]] ),"")</f>
        <v>0</v>
      </c>
      <c r="J650" s="15">
        <f>IFERROR(IF(T_PROD[[#This Row],[META]]&gt;0,(T_PROD[[#This Row],[META]]/T_PROD[[#This Row],[PREVISTO]]),""),"")</f>
        <v>15</v>
      </c>
      <c r="K650" s="15">
        <f>IFERROR(IF(T_PROD[[#This Row],[PRODUÇÃO]]&gt;0,(T_PROD[[#This Row],[PRODUÇÃO]]/T_PROD[[#This Row],[EFETIVO]]),""),"")</f>
        <v>14.5</v>
      </c>
    </row>
    <row r="651" spans="1:11" s="6" customFormat="1" x14ac:dyDescent="0.3">
      <c r="A651" s="11">
        <v>46133</v>
      </c>
      <c r="B651" s="12" t="str">
        <f t="shared" ref="B651:B658" si="71">UPPER(TEXT(A651,"MMMM"))</f>
        <v>ABRIL</v>
      </c>
      <c r="C651" s="12" t="s">
        <v>16</v>
      </c>
      <c r="D651" s="12" t="s">
        <v>12</v>
      </c>
      <c r="E651" s="13">
        <v>187</v>
      </c>
      <c r="F651" s="13">
        <v>220</v>
      </c>
      <c r="G651" s="12">
        <v>5.5</v>
      </c>
      <c r="H651" s="14">
        <v>5.5</v>
      </c>
      <c r="I651" s="12">
        <f>IFERROR(IF(T_PROD[[#This Row],[PREVISTO]]-T_PROD[[#This Row],[EFETIVO]]&lt; 0,0,T_PROD[[#This Row],[PREVISTO]]-T_PROD[[#This Row],[EFETIVO]] ),"")</f>
        <v>0</v>
      </c>
      <c r="J651" s="15">
        <f>IFERROR(IF(T_PROD[[#This Row],[META]]&gt;0,(T_PROD[[#This Row],[META]]/T_PROD[[#This Row],[PREVISTO]]),""),"")</f>
        <v>34</v>
      </c>
      <c r="K651" s="15">
        <f>IFERROR(IF(T_PROD[[#This Row],[PRODUÇÃO]]&gt;0,(T_PROD[[#This Row],[PRODUÇÃO]]/T_PROD[[#This Row],[EFETIVO]]),""),"")</f>
        <v>40</v>
      </c>
    </row>
    <row r="652" spans="1:11" s="6" customFormat="1" x14ac:dyDescent="0.3">
      <c r="A652" s="11">
        <v>46133</v>
      </c>
      <c r="B652" s="12" t="str">
        <f t="shared" si="71"/>
        <v>ABRIL</v>
      </c>
      <c r="C652" s="12" t="s">
        <v>17</v>
      </c>
      <c r="D652" s="12" t="s">
        <v>12</v>
      </c>
      <c r="E652" s="13">
        <v>144</v>
      </c>
      <c r="F652" s="13">
        <v>117</v>
      </c>
      <c r="G652" s="12">
        <v>9</v>
      </c>
      <c r="H652" s="14">
        <v>9</v>
      </c>
      <c r="I652" s="12">
        <f>IFERROR(IF(T_PROD[[#This Row],[PREVISTO]]-T_PROD[[#This Row],[EFETIVO]]&lt; 0,0,T_PROD[[#This Row],[PREVISTO]]-T_PROD[[#This Row],[EFETIVO]] ),"")</f>
        <v>0</v>
      </c>
      <c r="J652" s="15">
        <f>IFERROR(IF(T_PROD[[#This Row],[META]]&gt;0,(T_PROD[[#This Row],[META]]/T_PROD[[#This Row],[PREVISTO]]),""),"")</f>
        <v>16</v>
      </c>
      <c r="K652" s="15">
        <f>IFERROR(IF(T_PROD[[#This Row],[PRODUÇÃO]]&gt;0,(T_PROD[[#This Row],[PRODUÇÃO]]/T_PROD[[#This Row],[EFETIVO]]),""),"")</f>
        <v>13</v>
      </c>
    </row>
    <row r="653" spans="1:11" s="6" customFormat="1" x14ac:dyDescent="0.3">
      <c r="A653" s="11">
        <v>46133</v>
      </c>
      <c r="B653" s="12" t="str">
        <f t="shared" si="71"/>
        <v>ABRIL</v>
      </c>
      <c r="C653" s="12" t="s">
        <v>18</v>
      </c>
      <c r="D653" s="12" t="s">
        <v>12</v>
      </c>
      <c r="E653" s="13"/>
      <c r="F653" s="13"/>
      <c r="G653" s="12"/>
      <c r="H653" s="14"/>
      <c r="I653" s="12">
        <f>IFERROR(IF(T_PROD[[#This Row],[PREVISTO]]-T_PROD[[#This Row],[EFETIVO]]&lt; 0,0,T_PROD[[#This Row],[PREVISTO]]-T_PROD[[#This Row],[EFETIVO]] ),"")</f>
        <v>0</v>
      </c>
      <c r="J653" s="15" t="str">
        <f>IFERROR(IF(T_PROD[[#This Row],[META]]&gt;0,(T_PROD[[#This Row],[META]]/T_PROD[[#This Row],[PREVISTO]]),""),"")</f>
        <v/>
      </c>
      <c r="K653" s="15" t="str">
        <f>IFERROR(IF(T_PROD[[#This Row],[PRODUÇÃO]]&gt;0,(T_PROD[[#This Row],[PRODUÇÃO]]/T_PROD[[#This Row],[EFETIVO]]),""),"")</f>
        <v/>
      </c>
    </row>
    <row r="654" spans="1:11" s="6" customFormat="1" x14ac:dyDescent="0.3">
      <c r="A654" s="11">
        <v>46133</v>
      </c>
      <c r="B654" s="12" t="str">
        <f t="shared" si="71"/>
        <v>ABRIL</v>
      </c>
      <c r="C654" s="12" t="s">
        <v>19</v>
      </c>
      <c r="D654" s="12" t="s">
        <v>12</v>
      </c>
      <c r="E654" s="13"/>
      <c r="F654" s="13"/>
      <c r="G654" s="12"/>
      <c r="H654" s="14"/>
      <c r="I654" s="12">
        <f>IFERROR(IF(T_PROD[[#This Row],[PREVISTO]]-T_PROD[[#This Row],[EFETIVO]]&lt; 0,0,T_PROD[[#This Row],[PREVISTO]]-T_PROD[[#This Row],[EFETIVO]] ),"")</f>
        <v>0</v>
      </c>
      <c r="J654" s="15" t="str">
        <f>IFERROR(IF(T_PROD[[#This Row],[META]]&gt;0,(T_PROD[[#This Row],[META]]/T_PROD[[#This Row],[PREVISTO]]),""),"")</f>
        <v/>
      </c>
      <c r="K654" s="15" t="str">
        <f>IFERROR(IF(T_PROD[[#This Row],[PRODUÇÃO]]&gt;0,(T_PROD[[#This Row],[PRODUÇÃO]]/T_PROD[[#This Row],[EFETIVO]]),""),"")</f>
        <v/>
      </c>
    </row>
    <row r="655" spans="1:11" s="6" customFormat="1" x14ac:dyDescent="0.3">
      <c r="A655" s="11">
        <v>46133</v>
      </c>
      <c r="B655" s="12" t="str">
        <f t="shared" si="71"/>
        <v>ABRIL</v>
      </c>
      <c r="C655" s="12" t="s">
        <v>20</v>
      </c>
      <c r="D655" s="12" t="s">
        <v>12</v>
      </c>
      <c r="E655" s="13">
        <v>391</v>
      </c>
      <c r="F655" s="13">
        <v>395</v>
      </c>
      <c r="G655" s="12">
        <v>92</v>
      </c>
      <c r="H655" s="14">
        <v>92</v>
      </c>
      <c r="I655" s="12">
        <f>IFERROR(IF(T_PROD[[#This Row],[PREVISTO]]-T_PROD[[#This Row],[EFETIVO]]&lt; 0,0,T_PROD[[#This Row],[PREVISTO]]-T_PROD[[#This Row],[EFETIVO]] ),"")</f>
        <v>0</v>
      </c>
      <c r="J655" s="15">
        <f>IFERROR(IF(T_PROD[[#This Row],[META]]&gt;0,(T_PROD[[#This Row],[META]]/T_PROD[[#This Row],[PREVISTO]]),""),"")</f>
        <v>4.25</v>
      </c>
      <c r="K655" s="15">
        <f>IFERROR(IF(T_PROD[[#This Row],[PRODUÇÃO]]&gt;0,(T_PROD[[#This Row],[PRODUÇÃO]]/T_PROD[[#This Row],[EFETIVO]]),""),"")</f>
        <v>4.2934782608695654</v>
      </c>
    </row>
    <row r="656" spans="1:11" s="6" customFormat="1" x14ac:dyDescent="0.3">
      <c r="A656" s="11">
        <v>46133</v>
      </c>
      <c r="B656" s="12" t="str">
        <f t="shared" si="71"/>
        <v>ABRIL</v>
      </c>
      <c r="C656" s="12" t="s">
        <v>11</v>
      </c>
      <c r="D656" s="12" t="s">
        <v>12</v>
      </c>
      <c r="E656" s="13"/>
      <c r="F656" s="13"/>
      <c r="G656" s="12"/>
      <c r="H656" s="14"/>
      <c r="I656" s="12">
        <f>IFERROR(IF(T_PROD[[#This Row],[PREVISTO]]-T_PROD[[#This Row],[EFETIVO]]&lt; 0,0,T_PROD[[#This Row],[PREVISTO]]-T_PROD[[#This Row],[EFETIVO]] ),"")</f>
        <v>0</v>
      </c>
      <c r="J656" s="15" t="str">
        <f>IFERROR(IF(T_PROD[[#This Row],[META]]&gt;0,(T_PROD[[#This Row],[META]]/T_PROD[[#This Row],[PREVISTO]]),""),"")</f>
        <v/>
      </c>
      <c r="K656" s="15" t="str">
        <f>IFERROR(IF(T_PROD[[#This Row],[PRODUÇÃO]]&gt;0,(T_PROD[[#This Row],[PRODUÇÃO]]/T_PROD[[#This Row],[EFETIVO]]),""),"")</f>
        <v/>
      </c>
    </row>
    <row r="657" spans="1:11" s="6" customFormat="1" x14ac:dyDescent="0.3">
      <c r="A657" s="11">
        <v>46133</v>
      </c>
      <c r="B657" s="12" t="str">
        <f t="shared" si="71"/>
        <v>ABRIL</v>
      </c>
      <c r="C657" s="12" t="s">
        <v>32</v>
      </c>
      <c r="D657" s="12" t="s">
        <v>12</v>
      </c>
      <c r="E657" s="13"/>
      <c r="F657" s="13"/>
      <c r="G657" s="12"/>
      <c r="H657" s="14"/>
      <c r="I657" s="12">
        <f>IFERROR(IF(T_PROD[[#This Row],[PREVISTO]]-T_PROD[[#This Row],[EFETIVO]]&lt; 0,0,T_PROD[[#This Row],[PREVISTO]]-T_PROD[[#This Row],[EFETIVO]] ),"")</f>
        <v>0</v>
      </c>
      <c r="J657" s="15" t="str">
        <f>IFERROR(IF(T_PROD[[#This Row],[META]]&gt;0,(T_PROD[[#This Row],[META]]/T_PROD[[#This Row],[PREVISTO]]),""),"")</f>
        <v/>
      </c>
      <c r="K657" s="15" t="str">
        <f>IFERROR(IF(T_PROD[[#This Row],[PRODUÇÃO]]&gt;0,(T_PROD[[#This Row],[PRODUÇÃO]]/T_PROD[[#This Row],[EFETIVO]]),""),"")</f>
        <v/>
      </c>
    </row>
    <row r="658" spans="1:11" s="6" customFormat="1" x14ac:dyDescent="0.3">
      <c r="A658" s="11">
        <v>46133</v>
      </c>
      <c r="B658" s="12" t="str">
        <f t="shared" si="71"/>
        <v>ABRIL</v>
      </c>
      <c r="C658" s="12" t="s">
        <v>14</v>
      </c>
      <c r="D658" s="12" t="s">
        <v>12</v>
      </c>
      <c r="E658" s="13"/>
      <c r="F658" s="13"/>
      <c r="G658" s="12"/>
      <c r="H658" s="14"/>
      <c r="I658" s="12">
        <f>IFERROR(IF(T_PROD[[#This Row],[PREVISTO]]-T_PROD[[#This Row],[EFETIVO]]&lt; 0,0,T_PROD[[#This Row],[PREVISTO]]-T_PROD[[#This Row],[EFETIVO]] ),"")</f>
        <v>0</v>
      </c>
      <c r="J658" s="15" t="str">
        <f>IFERROR(IF(T_PROD[[#This Row],[META]]&gt;0,(T_PROD[[#This Row],[META]]/T_PROD[[#This Row],[PREVISTO]]),""),"")</f>
        <v/>
      </c>
      <c r="K658" s="15" t="str">
        <f>IFERROR(IF(T_PROD[[#This Row],[PRODUÇÃO]]&gt;0,(T_PROD[[#This Row],[PRODUÇÃO]]/T_PROD[[#This Row],[EFETIVO]]),""),"")</f>
        <v/>
      </c>
    </row>
    <row r="659" spans="1:11" s="6" customFormat="1" x14ac:dyDescent="0.3">
      <c r="A659" s="11">
        <v>46134</v>
      </c>
      <c r="B659" s="12" t="str">
        <f>UPPER(TEXT(A659,"MMMM"))</f>
        <v>ABRIL</v>
      </c>
      <c r="C659" s="12" t="s">
        <v>15</v>
      </c>
      <c r="D659" s="12" t="s">
        <v>12</v>
      </c>
      <c r="E659" s="13">
        <v>67.5</v>
      </c>
      <c r="F659" s="13">
        <v>38</v>
      </c>
      <c r="G659" s="12">
        <v>4.5</v>
      </c>
      <c r="H659" s="14">
        <v>4.5</v>
      </c>
      <c r="I659" s="12">
        <f>IFERROR(IF(T_PROD[[#This Row],[PREVISTO]]-T_PROD[[#This Row],[EFETIVO]]&lt; 0,0,T_PROD[[#This Row],[PREVISTO]]-T_PROD[[#This Row],[EFETIVO]] ),"")</f>
        <v>0</v>
      </c>
      <c r="J659" s="15">
        <f>IFERROR(IF(T_PROD[[#This Row],[META]]&gt;0,(T_PROD[[#This Row],[META]]/T_PROD[[#This Row],[PREVISTO]]),""),"")</f>
        <v>15</v>
      </c>
      <c r="K659" s="15">
        <f>IFERROR(IF(T_PROD[[#This Row],[PRODUÇÃO]]&gt;0,(T_PROD[[#This Row],[PRODUÇÃO]]/T_PROD[[#This Row],[EFETIVO]]),""),"")</f>
        <v>8.4444444444444446</v>
      </c>
    </row>
    <row r="660" spans="1:11" s="6" customFormat="1" x14ac:dyDescent="0.3">
      <c r="A660" s="11">
        <v>46134</v>
      </c>
      <c r="B660" s="12" t="str">
        <f t="shared" ref="B660:B667" si="72">UPPER(TEXT(A660,"MMMM"))</f>
        <v>ABRIL</v>
      </c>
      <c r="C660" s="12" t="s">
        <v>16</v>
      </c>
      <c r="D660" s="12" t="s">
        <v>12</v>
      </c>
      <c r="E660" s="13">
        <v>170</v>
      </c>
      <c r="F660" s="13">
        <v>174</v>
      </c>
      <c r="G660" s="12">
        <v>5</v>
      </c>
      <c r="H660" s="14">
        <v>5</v>
      </c>
      <c r="I660" s="12">
        <f>IFERROR(IF(T_PROD[[#This Row],[PREVISTO]]-T_PROD[[#This Row],[EFETIVO]]&lt; 0,0,T_PROD[[#This Row],[PREVISTO]]-T_PROD[[#This Row],[EFETIVO]] ),"")</f>
        <v>0</v>
      </c>
      <c r="J660" s="15">
        <f>IFERROR(IF(T_PROD[[#This Row],[META]]&gt;0,(T_PROD[[#This Row],[META]]/T_PROD[[#This Row],[PREVISTO]]),""),"")</f>
        <v>34</v>
      </c>
      <c r="K660" s="15">
        <f>IFERROR(IF(T_PROD[[#This Row],[PRODUÇÃO]]&gt;0,(T_PROD[[#This Row],[PRODUÇÃO]]/T_PROD[[#This Row],[EFETIVO]]),""),"")</f>
        <v>34.799999999999997</v>
      </c>
    </row>
    <row r="661" spans="1:11" s="6" customFormat="1" x14ac:dyDescent="0.3">
      <c r="A661" s="11">
        <v>46134</v>
      </c>
      <c r="B661" s="12" t="str">
        <f t="shared" si="72"/>
        <v>ABRIL</v>
      </c>
      <c r="C661" s="12" t="s">
        <v>17</v>
      </c>
      <c r="D661" s="12" t="s">
        <v>12</v>
      </c>
      <c r="E661" s="13">
        <v>144</v>
      </c>
      <c r="F661" s="13">
        <v>126</v>
      </c>
      <c r="G661" s="12">
        <v>9</v>
      </c>
      <c r="H661" s="14">
        <v>9</v>
      </c>
      <c r="I661" s="12">
        <f>IFERROR(IF(T_PROD[[#This Row],[PREVISTO]]-T_PROD[[#This Row],[EFETIVO]]&lt; 0,0,T_PROD[[#This Row],[PREVISTO]]-T_PROD[[#This Row],[EFETIVO]] ),"")</f>
        <v>0</v>
      </c>
      <c r="J661" s="15">
        <f>IFERROR(IF(T_PROD[[#This Row],[META]]&gt;0,(T_PROD[[#This Row],[META]]/T_PROD[[#This Row],[PREVISTO]]),""),"")</f>
        <v>16</v>
      </c>
      <c r="K661" s="15">
        <f>IFERROR(IF(T_PROD[[#This Row],[PRODUÇÃO]]&gt;0,(T_PROD[[#This Row],[PRODUÇÃO]]/T_PROD[[#This Row],[EFETIVO]]),""),"")</f>
        <v>14</v>
      </c>
    </row>
    <row r="662" spans="1:11" s="6" customFormat="1" x14ac:dyDescent="0.3">
      <c r="A662" s="11">
        <v>46134</v>
      </c>
      <c r="B662" s="12" t="str">
        <f t="shared" si="72"/>
        <v>ABRIL</v>
      </c>
      <c r="C662" s="12" t="s">
        <v>18</v>
      </c>
      <c r="D662" s="12" t="s">
        <v>12</v>
      </c>
      <c r="E662" s="13"/>
      <c r="F662" s="13"/>
      <c r="G662" s="12"/>
      <c r="H662" s="14"/>
      <c r="I662" s="12">
        <f>IFERROR(IF(T_PROD[[#This Row],[PREVISTO]]-T_PROD[[#This Row],[EFETIVO]]&lt; 0,0,T_PROD[[#This Row],[PREVISTO]]-T_PROD[[#This Row],[EFETIVO]] ),"")</f>
        <v>0</v>
      </c>
      <c r="J662" s="15" t="str">
        <f>IFERROR(IF(T_PROD[[#This Row],[META]]&gt;0,(T_PROD[[#This Row],[META]]/T_PROD[[#This Row],[PREVISTO]]),""),"")</f>
        <v/>
      </c>
      <c r="K662" s="15" t="str">
        <f>IFERROR(IF(T_PROD[[#This Row],[PRODUÇÃO]]&gt;0,(T_PROD[[#This Row],[PRODUÇÃO]]/T_PROD[[#This Row],[EFETIVO]]),""),"")</f>
        <v/>
      </c>
    </row>
    <row r="663" spans="1:11" s="6" customFormat="1" x14ac:dyDescent="0.3">
      <c r="A663" s="11">
        <v>46134</v>
      </c>
      <c r="B663" s="12" t="str">
        <f t="shared" si="72"/>
        <v>ABRIL</v>
      </c>
      <c r="C663" s="12" t="s">
        <v>19</v>
      </c>
      <c r="D663" s="12" t="s">
        <v>12</v>
      </c>
      <c r="E663" s="13"/>
      <c r="F663" s="13"/>
      <c r="G663" s="12"/>
      <c r="H663" s="14"/>
      <c r="I663" s="12">
        <f>IFERROR(IF(T_PROD[[#This Row],[PREVISTO]]-T_PROD[[#This Row],[EFETIVO]]&lt; 0,0,T_PROD[[#This Row],[PREVISTO]]-T_PROD[[#This Row],[EFETIVO]] ),"")</f>
        <v>0</v>
      </c>
      <c r="J663" s="15" t="str">
        <f>IFERROR(IF(T_PROD[[#This Row],[META]]&gt;0,(T_PROD[[#This Row],[META]]/T_PROD[[#This Row],[PREVISTO]]),""),"")</f>
        <v/>
      </c>
      <c r="K663" s="15" t="str">
        <f>IFERROR(IF(T_PROD[[#This Row],[PRODUÇÃO]]&gt;0,(T_PROD[[#This Row],[PRODUÇÃO]]/T_PROD[[#This Row],[EFETIVO]]),""),"")</f>
        <v/>
      </c>
    </row>
    <row r="664" spans="1:11" s="6" customFormat="1" x14ac:dyDescent="0.3">
      <c r="A664" s="11">
        <v>46134</v>
      </c>
      <c r="B664" s="12" t="str">
        <f t="shared" si="72"/>
        <v>ABRIL</v>
      </c>
      <c r="C664" s="12" t="s">
        <v>20</v>
      </c>
      <c r="D664" s="12" t="s">
        <v>12</v>
      </c>
      <c r="E664" s="13">
        <v>382</v>
      </c>
      <c r="F664" s="13">
        <v>338</v>
      </c>
      <c r="G664" s="12">
        <v>92</v>
      </c>
      <c r="H664" s="14">
        <v>92</v>
      </c>
      <c r="I664" s="12">
        <f>IFERROR(IF(T_PROD[[#This Row],[PREVISTO]]-T_PROD[[#This Row],[EFETIVO]]&lt; 0,0,T_PROD[[#This Row],[PREVISTO]]-T_PROD[[#This Row],[EFETIVO]] ),"")</f>
        <v>0</v>
      </c>
      <c r="J664" s="15">
        <f>IFERROR(IF(T_PROD[[#This Row],[META]]&gt;0,(T_PROD[[#This Row],[META]]/T_PROD[[#This Row],[PREVISTO]]),""),"")</f>
        <v>4.1521739130434785</v>
      </c>
      <c r="K664" s="15">
        <f>IFERROR(IF(T_PROD[[#This Row],[PRODUÇÃO]]&gt;0,(T_PROD[[#This Row],[PRODUÇÃO]]/T_PROD[[#This Row],[EFETIVO]]),""),"")</f>
        <v>3.6739130434782608</v>
      </c>
    </row>
    <row r="665" spans="1:11" s="6" customFormat="1" x14ac:dyDescent="0.3">
      <c r="A665" s="11">
        <v>46134</v>
      </c>
      <c r="B665" s="12" t="str">
        <f t="shared" si="72"/>
        <v>ABRIL</v>
      </c>
      <c r="C665" s="12" t="s">
        <v>11</v>
      </c>
      <c r="D665" s="12" t="s">
        <v>12</v>
      </c>
      <c r="E665" s="13">
        <v>288</v>
      </c>
      <c r="F665" s="13">
        <v>310</v>
      </c>
      <c r="G665" s="12">
        <v>16</v>
      </c>
      <c r="H665" s="14">
        <v>15</v>
      </c>
      <c r="I665" s="12">
        <f>IFERROR(IF(T_PROD[[#This Row],[PREVISTO]]-T_PROD[[#This Row],[EFETIVO]]&lt; 0,0,T_PROD[[#This Row],[PREVISTO]]-T_PROD[[#This Row],[EFETIVO]] ),"")</f>
        <v>1</v>
      </c>
      <c r="J665" s="15">
        <f>IFERROR(IF(T_PROD[[#This Row],[META]]&gt;0,(T_PROD[[#This Row],[META]]/T_PROD[[#This Row],[PREVISTO]]),""),"")</f>
        <v>18</v>
      </c>
      <c r="K665" s="15">
        <f>IFERROR(IF(T_PROD[[#This Row],[PRODUÇÃO]]&gt;0,(T_PROD[[#This Row],[PRODUÇÃO]]/T_PROD[[#This Row],[EFETIVO]]),""),"")</f>
        <v>20.666666666666668</v>
      </c>
    </row>
    <row r="666" spans="1:11" s="6" customFormat="1" x14ac:dyDescent="0.3">
      <c r="A666" s="11">
        <v>46134</v>
      </c>
      <c r="B666" s="12" t="str">
        <f t="shared" si="72"/>
        <v>ABRIL</v>
      </c>
      <c r="C666" s="12" t="s">
        <v>32</v>
      </c>
      <c r="D666" s="12" t="s">
        <v>12</v>
      </c>
      <c r="E666" s="13">
        <v>150</v>
      </c>
      <c r="F666" s="13">
        <v>154</v>
      </c>
      <c r="G666" s="12">
        <v>15</v>
      </c>
      <c r="H666" s="14">
        <v>14</v>
      </c>
      <c r="I666" s="12">
        <f>IFERROR(IF(T_PROD[[#This Row],[PREVISTO]]-T_PROD[[#This Row],[EFETIVO]]&lt; 0,0,T_PROD[[#This Row],[PREVISTO]]-T_PROD[[#This Row],[EFETIVO]] ),"")</f>
        <v>1</v>
      </c>
      <c r="J666" s="15">
        <f>IFERROR(IF(T_PROD[[#This Row],[META]]&gt;0,(T_PROD[[#This Row],[META]]/T_PROD[[#This Row],[PREVISTO]]),""),"")</f>
        <v>10</v>
      </c>
      <c r="K666" s="15">
        <f>IFERROR(IF(T_PROD[[#This Row],[PRODUÇÃO]]&gt;0,(T_PROD[[#This Row],[PRODUÇÃO]]/T_PROD[[#This Row],[EFETIVO]]),""),"")</f>
        <v>11</v>
      </c>
    </row>
    <row r="667" spans="1:11" s="6" customFormat="1" x14ac:dyDescent="0.3">
      <c r="A667" s="11">
        <v>46134</v>
      </c>
      <c r="B667" s="12" t="str">
        <f t="shared" si="72"/>
        <v>ABRIL</v>
      </c>
      <c r="C667" s="12" t="s">
        <v>14</v>
      </c>
      <c r="D667" s="12" t="s">
        <v>12</v>
      </c>
      <c r="E667" s="13">
        <v>438</v>
      </c>
      <c r="F667" s="13">
        <v>464</v>
      </c>
      <c r="G667" s="12">
        <v>67</v>
      </c>
      <c r="H667" s="14">
        <v>62</v>
      </c>
      <c r="I667" s="12">
        <f>IFERROR(IF(T_PROD[[#This Row],[PREVISTO]]-T_PROD[[#This Row],[EFETIVO]]&lt; 0,0,T_PROD[[#This Row],[PREVISTO]]-T_PROD[[#This Row],[EFETIVO]] ),"")</f>
        <v>5</v>
      </c>
      <c r="J667" s="15">
        <f>IFERROR(IF(T_PROD[[#This Row],[META]]&gt;0,(T_PROD[[#This Row],[META]]/T_PROD[[#This Row],[PREVISTO]]),""),"")</f>
        <v>6.5373134328358207</v>
      </c>
      <c r="K667" s="15">
        <f>IFERROR(IF(T_PROD[[#This Row],[PRODUÇÃO]]&gt;0,(T_PROD[[#This Row],[PRODUÇÃO]]/T_PROD[[#This Row],[EFETIVO]]),""),"")</f>
        <v>7.4838709677419351</v>
      </c>
    </row>
    <row r="668" spans="1:11" s="6" customFormat="1" x14ac:dyDescent="0.3">
      <c r="A668" s="11">
        <v>46135</v>
      </c>
      <c r="B668" s="12" t="str">
        <f>UPPER(TEXT(A668,"MMMM"))</f>
        <v>ABRIL</v>
      </c>
      <c r="C668" s="12" t="s">
        <v>15</v>
      </c>
      <c r="D668" s="12" t="s">
        <v>12</v>
      </c>
      <c r="E668" s="13">
        <v>60</v>
      </c>
      <c r="F668" s="13">
        <v>53</v>
      </c>
      <c r="G668" s="12">
        <v>4</v>
      </c>
      <c r="H668" s="14">
        <v>4</v>
      </c>
      <c r="I668" s="12">
        <f>IFERROR(IF(T_PROD[[#This Row],[PREVISTO]]-T_PROD[[#This Row],[EFETIVO]]&lt; 0,0,T_PROD[[#This Row],[PREVISTO]]-T_PROD[[#This Row],[EFETIVO]] ),"")</f>
        <v>0</v>
      </c>
      <c r="J668" s="15">
        <f>IFERROR(IF(T_PROD[[#This Row],[META]]&gt;0,(T_PROD[[#This Row],[META]]/T_PROD[[#This Row],[PREVISTO]]),""),"")</f>
        <v>15</v>
      </c>
      <c r="K668" s="15">
        <f>IFERROR(IF(T_PROD[[#This Row],[PRODUÇÃO]]&gt;0,(T_PROD[[#This Row],[PRODUÇÃO]]/T_PROD[[#This Row],[EFETIVO]]),""),"")</f>
        <v>13.25</v>
      </c>
    </row>
    <row r="669" spans="1:11" s="6" customFormat="1" x14ac:dyDescent="0.3">
      <c r="A669" s="11">
        <v>46135</v>
      </c>
      <c r="B669" s="12" t="str">
        <f t="shared" ref="B669:B676" si="73">UPPER(TEXT(A669,"MMMM"))</f>
        <v>ABRIL</v>
      </c>
      <c r="C669" s="12" t="s">
        <v>16</v>
      </c>
      <c r="D669" s="12" t="s">
        <v>12</v>
      </c>
      <c r="E669" s="13">
        <v>187</v>
      </c>
      <c r="F669" s="13">
        <v>184</v>
      </c>
      <c r="G669" s="12">
        <v>5.5</v>
      </c>
      <c r="H669" s="14">
        <v>5.5</v>
      </c>
      <c r="I669" s="12">
        <f>IFERROR(IF(T_PROD[[#This Row],[PREVISTO]]-T_PROD[[#This Row],[EFETIVO]]&lt; 0,0,T_PROD[[#This Row],[PREVISTO]]-T_PROD[[#This Row],[EFETIVO]] ),"")</f>
        <v>0</v>
      </c>
      <c r="J669" s="15">
        <f>IFERROR(IF(T_PROD[[#This Row],[META]]&gt;0,(T_PROD[[#This Row],[META]]/T_PROD[[#This Row],[PREVISTO]]),""),"")</f>
        <v>34</v>
      </c>
      <c r="K669" s="15">
        <f>IFERROR(IF(T_PROD[[#This Row],[PRODUÇÃO]]&gt;0,(T_PROD[[#This Row],[PRODUÇÃO]]/T_PROD[[#This Row],[EFETIVO]]),""),"")</f>
        <v>33.454545454545453</v>
      </c>
    </row>
    <row r="670" spans="1:11" s="6" customFormat="1" x14ac:dyDescent="0.3">
      <c r="A670" s="11">
        <v>46135</v>
      </c>
      <c r="B670" s="12" t="str">
        <f t="shared" si="73"/>
        <v>ABRIL</v>
      </c>
      <c r="C670" s="12" t="s">
        <v>17</v>
      </c>
      <c r="D670" s="12" t="s">
        <v>12</v>
      </c>
      <c r="E670" s="13">
        <v>136</v>
      </c>
      <c r="F670" s="13">
        <v>147</v>
      </c>
      <c r="G670" s="12">
        <v>8.5</v>
      </c>
      <c r="H670" s="14">
        <v>8.5</v>
      </c>
      <c r="I670" s="12">
        <f>IFERROR(IF(T_PROD[[#This Row],[PREVISTO]]-T_PROD[[#This Row],[EFETIVO]]&lt; 0,0,T_PROD[[#This Row],[PREVISTO]]-T_PROD[[#This Row],[EFETIVO]] ),"")</f>
        <v>0</v>
      </c>
      <c r="J670" s="15">
        <f>IFERROR(IF(T_PROD[[#This Row],[META]]&gt;0,(T_PROD[[#This Row],[META]]/T_PROD[[#This Row],[PREVISTO]]),""),"")</f>
        <v>16</v>
      </c>
      <c r="K670" s="15">
        <f>IFERROR(IF(T_PROD[[#This Row],[PRODUÇÃO]]&gt;0,(T_PROD[[#This Row],[PRODUÇÃO]]/T_PROD[[#This Row],[EFETIVO]]),""),"")</f>
        <v>17.294117647058822</v>
      </c>
    </row>
    <row r="671" spans="1:11" s="6" customFormat="1" x14ac:dyDescent="0.3">
      <c r="A671" s="11">
        <v>46135</v>
      </c>
      <c r="B671" s="12" t="str">
        <f t="shared" si="73"/>
        <v>ABRIL</v>
      </c>
      <c r="C671" s="12" t="s">
        <v>18</v>
      </c>
      <c r="D671" s="12" t="s">
        <v>12</v>
      </c>
      <c r="E671" s="13"/>
      <c r="F671" s="13"/>
      <c r="G671" s="12"/>
      <c r="H671" s="14"/>
      <c r="I671" s="12">
        <f>IFERROR(IF(T_PROD[[#This Row],[PREVISTO]]-T_PROD[[#This Row],[EFETIVO]]&lt; 0,0,T_PROD[[#This Row],[PREVISTO]]-T_PROD[[#This Row],[EFETIVO]] ),"")</f>
        <v>0</v>
      </c>
      <c r="J671" s="15" t="str">
        <f>IFERROR(IF(T_PROD[[#This Row],[META]]&gt;0,(T_PROD[[#This Row],[META]]/T_PROD[[#This Row],[PREVISTO]]),""),"")</f>
        <v/>
      </c>
      <c r="K671" s="15" t="str">
        <f>IFERROR(IF(T_PROD[[#This Row],[PRODUÇÃO]]&gt;0,(T_PROD[[#This Row],[PRODUÇÃO]]/T_PROD[[#This Row],[EFETIVO]]),""),"")</f>
        <v/>
      </c>
    </row>
    <row r="672" spans="1:11" s="6" customFormat="1" x14ac:dyDescent="0.3">
      <c r="A672" s="11">
        <v>46135</v>
      </c>
      <c r="B672" s="12" t="str">
        <f t="shared" si="73"/>
        <v>ABRIL</v>
      </c>
      <c r="C672" s="12" t="s">
        <v>19</v>
      </c>
      <c r="D672" s="12" t="s">
        <v>12</v>
      </c>
      <c r="E672" s="13"/>
      <c r="F672" s="13"/>
      <c r="G672" s="12"/>
      <c r="H672" s="14"/>
      <c r="I672" s="12">
        <f>IFERROR(IF(T_PROD[[#This Row],[PREVISTO]]-T_PROD[[#This Row],[EFETIVO]]&lt; 0,0,T_PROD[[#This Row],[PREVISTO]]-T_PROD[[#This Row],[EFETIVO]] ),"")</f>
        <v>0</v>
      </c>
      <c r="J672" s="15" t="str">
        <f>IFERROR(IF(T_PROD[[#This Row],[META]]&gt;0,(T_PROD[[#This Row],[META]]/T_PROD[[#This Row],[PREVISTO]]),""),"")</f>
        <v/>
      </c>
      <c r="K672" s="15" t="str">
        <f>IFERROR(IF(T_PROD[[#This Row],[PRODUÇÃO]]&gt;0,(T_PROD[[#This Row],[PRODUÇÃO]]/T_PROD[[#This Row],[EFETIVO]]),""),"")</f>
        <v/>
      </c>
    </row>
    <row r="673" spans="1:11" s="6" customFormat="1" x14ac:dyDescent="0.3">
      <c r="A673" s="11">
        <v>46135</v>
      </c>
      <c r="B673" s="12" t="str">
        <f t="shared" si="73"/>
        <v>ABRIL</v>
      </c>
      <c r="C673" s="12" t="s">
        <v>20</v>
      </c>
      <c r="D673" s="12" t="s">
        <v>12</v>
      </c>
      <c r="E673" s="13">
        <v>383</v>
      </c>
      <c r="F673" s="13">
        <v>384</v>
      </c>
      <c r="G673" s="12">
        <v>92</v>
      </c>
      <c r="H673" s="14">
        <v>92</v>
      </c>
      <c r="I673" s="12">
        <f>IFERROR(IF(T_PROD[[#This Row],[PREVISTO]]-T_PROD[[#This Row],[EFETIVO]]&lt; 0,0,T_PROD[[#This Row],[PREVISTO]]-T_PROD[[#This Row],[EFETIVO]] ),"")</f>
        <v>0</v>
      </c>
      <c r="J673" s="15">
        <f>IFERROR(IF(T_PROD[[#This Row],[META]]&gt;0,(T_PROD[[#This Row],[META]]/T_PROD[[#This Row],[PREVISTO]]),""),"")</f>
        <v>4.1630434782608692</v>
      </c>
      <c r="K673" s="15">
        <f>IFERROR(IF(T_PROD[[#This Row],[PRODUÇÃO]]&gt;0,(T_PROD[[#This Row],[PRODUÇÃO]]/T_PROD[[#This Row],[EFETIVO]]),""),"")</f>
        <v>4.1739130434782608</v>
      </c>
    </row>
    <row r="674" spans="1:11" s="6" customFormat="1" x14ac:dyDescent="0.3">
      <c r="A674" s="11">
        <v>46135</v>
      </c>
      <c r="B674" s="12" t="str">
        <f t="shared" si="73"/>
        <v>ABRIL</v>
      </c>
      <c r="C674" s="12" t="s">
        <v>11</v>
      </c>
      <c r="D674" s="12" t="s">
        <v>12</v>
      </c>
      <c r="E674" s="13">
        <v>288</v>
      </c>
      <c r="F674" s="13">
        <v>320</v>
      </c>
      <c r="G674" s="12">
        <v>16</v>
      </c>
      <c r="H674" s="14">
        <v>15</v>
      </c>
      <c r="I674" s="12">
        <f>IFERROR(IF(T_PROD[[#This Row],[PREVISTO]]-T_PROD[[#This Row],[EFETIVO]]&lt; 0,0,T_PROD[[#This Row],[PREVISTO]]-T_PROD[[#This Row],[EFETIVO]] ),"")</f>
        <v>1</v>
      </c>
      <c r="J674" s="15">
        <f>IFERROR(IF(T_PROD[[#This Row],[META]]&gt;0,(T_PROD[[#This Row],[META]]/T_PROD[[#This Row],[PREVISTO]]),""),"")</f>
        <v>18</v>
      </c>
      <c r="K674" s="15">
        <f>IFERROR(IF(T_PROD[[#This Row],[PRODUÇÃO]]&gt;0,(T_PROD[[#This Row],[PRODUÇÃO]]/T_PROD[[#This Row],[EFETIVO]]),""),"")</f>
        <v>21.333333333333332</v>
      </c>
    </row>
    <row r="675" spans="1:11" s="6" customFormat="1" x14ac:dyDescent="0.3">
      <c r="A675" s="11">
        <v>46135</v>
      </c>
      <c r="B675" s="12" t="str">
        <f t="shared" si="73"/>
        <v>ABRIL</v>
      </c>
      <c r="C675" s="12" t="s">
        <v>32</v>
      </c>
      <c r="D675" s="12" t="s">
        <v>12</v>
      </c>
      <c r="E675" s="13">
        <v>150</v>
      </c>
      <c r="F675" s="13">
        <v>155</v>
      </c>
      <c r="G675" s="12">
        <v>15</v>
      </c>
      <c r="H675" s="14">
        <v>14</v>
      </c>
      <c r="I675" s="12">
        <f>IFERROR(IF(T_PROD[[#This Row],[PREVISTO]]-T_PROD[[#This Row],[EFETIVO]]&lt; 0,0,T_PROD[[#This Row],[PREVISTO]]-T_PROD[[#This Row],[EFETIVO]] ),"")</f>
        <v>1</v>
      </c>
      <c r="J675" s="15">
        <f>IFERROR(IF(T_PROD[[#This Row],[META]]&gt;0,(T_PROD[[#This Row],[META]]/T_PROD[[#This Row],[PREVISTO]]),""),"")</f>
        <v>10</v>
      </c>
      <c r="K675" s="15">
        <f>IFERROR(IF(T_PROD[[#This Row],[PRODUÇÃO]]&gt;0,(T_PROD[[#This Row],[PRODUÇÃO]]/T_PROD[[#This Row],[EFETIVO]]),""),"")</f>
        <v>11.071428571428571</v>
      </c>
    </row>
    <row r="676" spans="1:11" s="6" customFormat="1" x14ac:dyDescent="0.3">
      <c r="A676" s="11">
        <v>46135</v>
      </c>
      <c r="B676" s="12" t="str">
        <f t="shared" si="73"/>
        <v>ABRIL</v>
      </c>
      <c r="C676" s="12" t="s">
        <v>14</v>
      </c>
      <c r="D676" s="12" t="s">
        <v>12</v>
      </c>
      <c r="E676" s="13">
        <v>438</v>
      </c>
      <c r="F676" s="13">
        <v>475</v>
      </c>
      <c r="G676" s="12">
        <v>67</v>
      </c>
      <c r="H676" s="14">
        <v>62</v>
      </c>
      <c r="I676" s="12">
        <f>IFERROR(IF(T_PROD[[#This Row],[PREVISTO]]-T_PROD[[#This Row],[EFETIVO]]&lt; 0,0,T_PROD[[#This Row],[PREVISTO]]-T_PROD[[#This Row],[EFETIVO]] ),"")</f>
        <v>5</v>
      </c>
      <c r="J676" s="15">
        <f>IFERROR(IF(T_PROD[[#This Row],[META]]&gt;0,(T_PROD[[#This Row],[META]]/T_PROD[[#This Row],[PREVISTO]]),""),"")</f>
        <v>6.5373134328358207</v>
      </c>
      <c r="K676" s="15">
        <f>IFERROR(IF(T_PROD[[#This Row],[PRODUÇÃO]]&gt;0,(T_PROD[[#This Row],[PRODUÇÃO]]/T_PROD[[#This Row],[EFETIVO]]),""),"")</f>
        <v>7.661290322580645</v>
      </c>
    </row>
    <row r="677" spans="1:11" s="6" customFormat="1" x14ac:dyDescent="0.3">
      <c r="A677" s="11">
        <v>46136</v>
      </c>
      <c r="B677" s="12" t="str">
        <f>UPPER(TEXT(A677,"MMMM"))</f>
        <v>ABRIL</v>
      </c>
      <c r="C677" s="12" t="s">
        <v>15</v>
      </c>
      <c r="D677" s="12" t="s">
        <v>12</v>
      </c>
      <c r="E677" s="13">
        <v>75</v>
      </c>
      <c r="F677" s="13">
        <v>63</v>
      </c>
      <c r="G677" s="12">
        <v>5</v>
      </c>
      <c r="H677" s="14">
        <v>5</v>
      </c>
      <c r="I677" s="12">
        <f>IFERROR(IF(T_PROD[[#This Row],[PREVISTO]]-T_PROD[[#This Row],[EFETIVO]]&lt; 0,0,T_PROD[[#This Row],[PREVISTO]]-T_PROD[[#This Row],[EFETIVO]] ),"")</f>
        <v>0</v>
      </c>
      <c r="J677" s="15">
        <f>IFERROR(IF(T_PROD[[#This Row],[META]]&gt;0,(T_PROD[[#This Row],[META]]/T_PROD[[#This Row],[PREVISTO]]),""),"")</f>
        <v>15</v>
      </c>
      <c r="K677" s="15">
        <f>IFERROR(IF(T_PROD[[#This Row],[PRODUÇÃO]]&gt;0,(T_PROD[[#This Row],[PRODUÇÃO]]/T_PROD[[#This Row],[EFETIVO]]),""),"")</f>
        <v>12.6</v>
      </c>
    </row>
    <row r="678" spans="1:11" s="6" customFormat="1" x14ac:dyDescent="0.3">
      <c r="A678" s="11">
        <v>46136</v>
      </c>
      <c r="B678" s="12" t="str">
        <f t="shared" ref="B678:B685" si="74">UPPER(TEXT(A678,"MMMM"))</f>
        <v>ABRIL</v>
      </c>
      <c r="C678" s="12" t="s">
        <v>16</v>
      </c>
      <c r="D678" s="12" t="s">
        <v>12</v>
      </c>
      <c r="E678" s="13">
        <v>204</v>
      </c>
      <c r="F678" s="13">
        <v>128</v>
      </c>
      <c r="G678" s="12">
        <v>6</v>
      </c>
      <c r="H678" s="14">
        <v>6</v>
      </c>
      <c r="I678" s="12">
        <f>IFERROR(IF(T_PROD[[#This Row],[PREVISTO]]-T_PROD[[#This Row],[EFETIVO]]&lt; 0,0,T_PROD[[#This Row],[PREVISTO]]-T_PROD[[#This Row],[EFETIVO]] ),"")</f>
        <v>0</v>
      </c>
      <c r="J678" s="15">
        <f>IFERROR(IF(T_PROD[[#This Row],[META]]&gt;0,(T_PROD[[#This Row],[META]]/T_PROD[[#This Row],[PREVISTO]]),""),"")</f>
        <v>34</v>
      </c>
      <c r="K678" s="15">
        <f>IFERROR(IF(T_PROD[[#This Row],[PRODUÇÃO]]&gt;0,(T_PROD[[#This Row],[PRODUÇÃO]]/T_PROD[[#This Row],[EFETIVO]]),""),"")</f>
        <v>21.333333333333332</v>
      </c>
    </row>
    <row r="679" spans="1:11" s="6" customFormat="1" x14ac:dyDescent="0.3">
      <c r="A679" s="11">
        <v>46136</v>
      </c>
      <c r="B679" s="12" t="str">
        <f t="shared" si="74"/>
        <v>ABRIL</v>
      </c>
      <c r="C679" s="12" t="s">
        <v>17</v>
      </c>
      <c r="D679" s="12" t="s">
        <v>12</v>
      </c>
      <c r="E679" s="13">
        <v>136</v>
      </c>
      <c r="F679" s="13">
        <v>127</v>
      </c>
      <c r="G679" s="12">
        <v>8.5</v>
      </c>
      <c r="H679" s="14">
        <v>8.5</v>
      </c>
      <c r="I679" s="12">
        <f>IFERROR(IF(T_PROD[[#This Row],[PREVISTO]]-T_PROD[[#This Row],[EFETIVO]]&lt; 0,0,T_PROD[[#This Row],[PREVISTO]]-T_PROD[[#This Row],[EFETIVO]] ),"")</f>
        <v>0</v>
      </c>
      <c r="J679" s="15">
        <f>IFERROR(IF(T_PROD[[#This Row],[META]]&gt;0,(T_PROD[[#This Row],[META]]/T_PROD[[#This Row],[PREVISTO]]),""),"")</f>
        <v>16</v>
      </c>
      <c r="K679" s="15">
        <f>IFERROR(IF(T_PROD[[#This Row],[PRODUÇÃO]]&gt;0,(T_PROD[[#This Row],[PRODUÇÃO]]/T_PROD[[#This Row],[EFETIVO]]),""),"")</f>
        <v>14.941176470588236</v>
      </c>
    </row>
    <row r="680" spans="1:11" s="6" customFormat="1" x14ac:dyDescent="0.3">
      <c r="A680" s="11">
        <v>46136</v>
      </c>
      <c r="B680" s="12" t="str">
        <f t="shared" si="74"/>
        <v>ABRIL</v>
      </c>
      <c r="C680" s="12" t="s">
        <v>18</v>
      </c>
      <c r="D680" s="12" t="s">
        <v>12</v>
      </c>
      <c r="E680" s="13"/>
      <c r="F680" s="13"/>
      <c r="G680" s="12"/>
      <c r="H680" s="14"/>
      <c r="I680" s="12">
        <f>IFERROR(IF(T_PROD[[#This Row],[PREVISTO]]-T_PROD[[#This Row],[EFETIVO]]&lt; 0,0,T_PROD[[#This Row],[PREVISTO]]-T_PROD[[#This Row],[EFETIVO]] ),"")</f>
        <v>0</v>
      </c>
      <c r="J680" s="15" t="str">
        <f>IFERROR(IF(T_PROD[[#This Row],[META]]&gt;0,(T_PROD[[#This Row],[META]]/T_PROD[[#This Row],[PREVISTO]]),""),"")</f>
        <v/>
      </c>
      <c r="K680" s="15" t="str">
        <f>IFERROR(IF(T_PROD[[#This Row],[PRODUÇÃO]]&gt;0,(T_PROD[[#This Row],[PRODUÇÃO]]/T_PROD[[#This Row],[EFETIVO]]),""),"")</f>
        <v/>
      </c>
    </row>
    <row r="681" spans="1:11" s="6" customFormat="1" x14ac:dyDescent="0.3">
      <c r="A681" s="11">
        <v>46136</v>
      </c>
      <c r="B681" s="12" t="str">
        <f t="shared" si="74"/>
        <v>ABRIL</v>
      </c>
      <c r="C681" s="12" t="s">
        <v>19</v>
      </c>
      <c r="D681" s="12" t="s">
        <v>12</v>
      </c>
      <c r="E681" s="13"/>
      <c r="F681" s="13"/>
      <c r="G681" s="12"/>
      <c r="H681" s="14"/>
      <c r="I681" s="12">
        <f>IFERROR(IF(T_PROD[[#This Row],[PREVISTO]]-T_PROD[[#This Row],[EFETIVO]]&lt; 0,0,T_PROD[[#This Row],[PREVISTO]]-T_PROD[[#This Row],[EFETIVO]] ),"")</f>
        <v>0</v>
      </c>
      <c r="J681" s="15" t="str">
        <f>IFERROR(IF(T_PROD[[#This Row],[META]]&gt;0,(T_PROD[[#This Row],[META]]/T_PROD[[#This Row],[PREVISTO]]),""),"")</f>
        <v/>
      </c>
      <c r="K681" s="15" t="str">
        <f>IFERROR(IF(T_PROD[[#This Row],[PRODUÇÃO]]&gt;0,(T_PROD[[#This Row],[PRODUÇÃO]]/T_PROD[[#This Row],[EFETIVO]]),""),"")</f>
        <v/>
      </c>
    </row>
    <row r="682" spans="1:11" s="6" customFormat="1" x14ac:dyDescent="0.3">
      <c r="A682" s="11">
        <v>46136</v>
      </c>
      <c r="B682" s="12" t="str">
        <f t="shared" si="74"/>
        <v>ABRIL</v>
      </c>
      <c r="C682" s="12" t="s">
        <v>20</v>
      </c>
      <c r="D682" s="12" t="s">
        <v>12</v>
      </c>
      <c r="E682" s="13">
        <v>415</v>
      </c>
      <c r="F682" s="13">
        <v>318</v>
      </c>
      <c r="G682" s="12">
        <v>92</v>
      </c>
      <c r="H682" s="14">
        <v>92</v>
      </c>
      <c r="I682" s="12">
        <f>IFERROR(IF(T_PROD[[#This Row],[PREVISTO]]-T_PROD[[#This Row],[EFETIVO]]&lt; 0,0,T_PROD[[#This Row],[PREVISTO]]-T_PROD[[#This Row],[EFETIVO]] ),"")</f>
        <v>0</v>
      </c>
      <c r="J682" s="15">
        <f>IFERROR(IF(T_PROD[[#This Row],[META]]&gt;0,(T_PROD[[#This Row],[META]]/T_PROD[[#This Row],[PREVISTO]]),""),"")</f>
        <v>4.5108695652173916</v>
      </c>
      <c r="K682" s="15">
        <f>IFERROR(IF(T_PROD[[#This Row],[PRODUÇÃO]]&gt;0,(T_PROD[[#This Row],[PRODUÇÃO]]/T_PROD[[#This Row],[EFETIVO]]),""),"")</f>
        <v>3.4565217391304346</v>
      </c>
    </row>
    <row r="683" spans="1:11" s="6" customFormat="1" x14ac:dyDescent="0.3">
      <c r="A683" s="11">
        <v>46136</v>
      </c>
      <c r="B683" s="12" t="str">
        <f t="shared" si="74"/>
        <v>ABRIL</v>
      </c>
      <c r="C683" s="12" t="s">
        <v>11</v>
      </c>
      <c r="D683" s="12" t="s">
        <v>12</v>
      </c>
      <c r="E683" s="13">
        <v>194</v>
      </c>
      <c r="F683" s="13">
        <v>245</v>
      </c>
      <c r="G683" s="12">
        <v>11</v>
      </c>
      <c r="H683" s="14">
        <v>12</v>
      </c>
      <c r="I683" s="12">
        <f>IFERROR(IF(T_PROD[[#This Row],[PREVISTO]]-T_PROD[[#This Row],[EFETIVO]]&lt; 0,0,T_PROD[[#This Row],[PREVISTO]]-T_PROD[[#This Row],[EFETIVO]] ),"")</f>
        <v>0</v>
      </c>
      <c r="J683" s="15">
        <v>18</v>
      </c>
      <c r="K683" s="15">
        <f>IFERROR(IF(T_PROD[[#This Row],[PRODUÇÃO]]&gt;0,(T_PROD[[#This Row],[PRODUÇÃO]]/T_PROD[[#This Row],[EFETIVO]]),""),"")</f>
        <v>20.416666666666668</v>
      </c>
    </row>
    <row r="684" spans="1:11" s="6" customFormat="1" x14ac:dyDescent="0.3">
      <c r="A684" s="11">
        <v>46136</v>
      </c>
      <c r="B684" s="12" t="str">
        <f t="shared" si="74"/>
        <v>ABRIL</v>
      </c>
      <c r="C684" s="12" t="s">
        <v>32</v>
      </c>
      <c r="D684" s="12" t="s">
        <v>12</v>
      </c>
      <c r="E684" s="13">
        <v>115</v>
      </c>
      <c r="F684" s="13">
        <v>121</v>
      </c>
      <c r="G684" s="12">
        <v>10</v>
      </c>
      <c r="H684" s="14">
        <v>11</v>
      </c>
      <c r="I684" s="12">
        <f>IFERROR(IF(T_PROD[[#This Row],[PREVISTO]]-T_PROD[[#This Row],[EFETIVO]]&lt; 0,0,T_PROD[[#This Row],[PREVISTO]]-T_PROD[[#This Row],[EFETIVO]] ),"")</f>
        <v>0</v>
      </c>
      <c r="J684" s="15">
        <v>10</v>
      </c>
      <c r="K684" s="15">
        <f>IFERROR(IF(T_PROD[[#This Row],[PRODUÇÃO]]&gt;0,(T_PROD[[#This Row],[PRODUÇÃO]]/T_PROD[[#This Row],[EFETIVO]]),""),"")</f>
        <v>11</v>
      </c>
    </row>
    <row r="685" spans="1:11" s="6" customFormat="1" x14ac:dyDescent="0.3">
      <c r="A685" s="11">
        <v>46136</v>
      </c>
      <c r="B685" s="12" t="str">
        <f t="shared" si="74"/>
        <v>ABRIL</v>
      </c>
      <c r="C685" s="12" t="s">
        <v>14</v>
      </c>
      <c r="D685" s="12" t="s">
        <v>12</v>
      </c>
      <c r="E685" s="13">
        <v>309</v>
      </c>
      <c r="F685" s="13">
        <v>366</v>
      </c>
      <c r="G685" s="12">
        <v>67</v>
      </c>
      <c r="H685" s="14">
        <v>60</v>
      </c>
      <c r="I685" s="12">
        <f>IFERROR(IF(T_PROD[[#This Row],[PREVISTO]]-T_PROD[[#This Row],[EFETIVO]]&lt; 0,0,T_PROD[[#This Row],[PREVISTO]]-T_PROD[[#This Row],[EFETIVO]] ),"")</f>
        <v>7</v>
      </c>
      <c r="J685" s="15">
        <f>IFERROR(IF(T_PROD[[#This Row],[META]]&gt;0,(T_PROD[[#This Row],[META]]/T_PROD[[#This Row],[PREVISTO]]),""),"")</f>
        <v>4.6119402985074629</v>
      </c>
      <c r="K685" s="15">
        <f>IFERROR(IF(T_PROD[[#This Row],[PRODUÇÃO]]&gt;0,(T_PROD[[#This Row],[PRODUÇÃO]]/T_PROD[[#This Row],[EFETIVO]]),""),"")</f>
        <v>6.1</v>
      </c>
    </row>
    <row r="686" spans="1:11" s="6" customFormat="1" x14ac:dyDescent="0.3">
      <c r="A686" s="11">
        <v>46139</v>
      </c>
      <c r="B686" s="12" t="str">
        <f>UPPER(TEXT(A686,"MMMM"))</f>
        <v>ABRIL</v>
      </c>
      <c r="C686" s="12" t="s">
        <v>15</v>
      </c>
      <c r="D686" s="12" t="s">
        <v>12</v>
      </c>
      <c r="E686" s="13">
        <v>75</v>
      </c>
      <c r="F686" s="13">
        <v>65</v>
      </c>
      <c r="G686" s="12">
        <v>5</v>
      </c>
      <c r="H686" s="14">
        <v>5</v>
      </c>
      <c r="I686" s="12">
        <f>IFERROR(IF(T_PROD[[#This Row],[PREVISTO]]-T_PROD[[#This Row],[EFETIVO]]&lt; 0,0,T_PROD[[#This Row],[PREVISTO]]-T_PROD[[#This Row],[EFETIVO]] ),"")</f>
        <v>0</v>
      </c>
      <c r="J686" s="15">
        <f>IFERROR(IF(T_PROD[[#This Row],[META]]&gt;0,(T_PROD[[#This Row],[META]]/T_PROD[[#This Row],[PREVISTO]]),""),"")</f>
        <v>15</v>
      </c>
      <c r="K686" s="15">
        <f>IFERROR(IF(T_PROD[[#This Row],[PRODUÇÃO]]&gt;0,(T_PROD[[#This Row],[PRODUÇÃO]]/T_PROD[[#This Row],[EFETIVO]]),""),"")</f>
        <v>13</v>
      </c>
    </row>
    <row r="687" spans="1:11" s="6" customFormat="1" x14ac:dyDescent="0.3">
      <c r="A687" s="11">
        <v>46139</v>
      </c>
      <c r="B687" s="12" t="str">
        <f t="shared" ref="B687:B694" si="75">UPPER(TEXT(A687,"MMMM"))</f>
        <v>ABRIL</v>
      </c>
      <c r="C687" s="12" t="s">
        <v>16</v>
      </c>
      <c r="D687" s="12" t="s">
        <v>12</v>
      </c>
      <c r="E687" s="13">
        <v>204</v>
      </c>
      <c r="F687" s="13">
        <v>221</v>
      </c>
      <c r="G687" s="12">
        <v>6</v>
      </c>
      <c r="H687" s="14">
        <v>6</v>
      </c>
      <c r="I687" s="12">
        <f>IFERROR(IF(T_PROD[[#This Row],[PREVISTO]]-T_PROD[[#This Row],[EFETIVO]]&lt; 0,0,T_PROD[[#This Row],[PREVISTO]]-T_PROD[[#This Row],[EFETIVO]] ),"")</f>
        <v>0</v>
      </c>
      <c r="J687" s="15">
        <f>IFERROR(IF(T_PROD[[#This Row],[META]]&gt;0,(T_PROD[[#This Row],[META]]/T_PROD[[#This Row],[PREVISTO]]),""),"")</f>
        <v>34</v>
      </c>
      <c r="K687" s="15">
        <f>IFERROR(IF(T_PROD[[#This Row],[PRODUÇÃO]]&gt;0,(T_PROD[[#This Row],[PRODUÇÃO]]/T_PROD[[#This Row],[EFETIVO]]),""),"")</f>
        <v>36.833333333333336</v>
      </c>
    </row>
    <row r="688" spans="1:11" s="6" customFormat="1" x14ac:dyDescent="0.3">
      <c r="A688" s="11">
        <v>46139</v>
      </c>
      <c r="B688" s="12" t="str">
        <f t="shared" si="75"/>
        <v>ABRIL</v>
      </c>
      <c r="C688" s="12" t="s">
        <v>17</v>
      </c>
      <c r="D688" s="12" t="s">
        <v>12</v>
      </c>
      <c r="E688" s="13">
        <v>144</v>
      </c>
      <c r="F688" s="13">
        <v>50</v>
      </c>
      <c r="G688" s="12">
        <v>9</v>
      </c>
      <c r="H688" s="14">
        <v>9</v>
      </c>
      <c r="I688" s="12">
        <f>IFERROR(IF(T_PROD[[#This Row],[PREVISTO]]-T_PROD[[#This Row],[EFETIVO]]&lt; 0,0,T_PROD[[#This Row],[PREVISTO]]-T_PROD[[#This Row],[EFETIVO]] ),"")</f>
        <v>0</v>
      </c>
      <c r="J688" s="15">
        <f>IFERROR(IF(T_PROD[[#This Row],[META]]&gt;0,(T_PROD[[#This Row],[META]]/T_PROD[[#This Row],[PREVISTO]]),""),"")</f>
        <v>16</v>
      </c>
      <c r="K688" s="15">
        <f>IFERROR(IF(T_PROD[[#This Row],[PRODUÇÃO]]&gt;0,(T_PROD[[#This Row],[PRODUÇÃO]]/T_PROD[[#This Row],[EFETIVO]]),""),"")</f>
        <v>5.5555555555555554</v>
      </c>
    </row>
    <row r="689" spans="1:11" s="6" customFormat="1" x14ac:dyDescent="0.3">
      <c r="A689" s="11">
        <v>46139</v>
      </c>
      <c r="B689" s="12" t="str">
        <f t="shared" si="75"/>
        <v>ABRIL</v>
      </c>
      <c r="C689" s="12" t="s">
        <v>18</v>
      </c>
      <c r="D689" s="12" t="s">
        <v>12</v>
      </c>
      <c r="E689" s="13"/>
      <c r="F689" s="13"/>
      <c r="G689" s="12"/>
      <c r="H689" s="14"/>
      <c r="I689" s="12">
        <f>IFERROR(IF(T_PROD[[#This Row],[PREVISTO]]-T_PROD[[#This Row],[EFETIVO]]&lt; 0,0,T_PROD[[#This Row],[PREVISTO]]-T_PROD[[#This Row],[EFETIVO]] ),"")</f>
        <v>0</v>
      </c>
      <c r="J689" s="15" t="str">
        <f>IFERROR(IF(T_PROD[[#This Row],[META]]&gt;0,(T_PROD[[#This Row],[META]]/T_PROD[[#This Row],[PREVISTO]]),""),"")</f>
        <v/>
      </c>
      <c r="K689" s="15" t="str">
        <f>IFERROR(IF(T_PROD[[#This Row],[PRODUÇÃO]]&gt;0,(T_PROD[[#This Row],[PRODUÇÃO]]/T_PROD[[#This Row],[EFETIVO]]),""),"")</f>
        <v/>
      </c>
    </row>
    <row r="690" spans="1:11" s="6" customFormat="1" x14ac:dyDescent="0.3">
      <c r="A690" s="11">
        <v>46139</v>
      </c>
      <c r="B690" s="12" t="str">
        <f t="shared" si="75"/>
        <v>ABRIL</v>
      </c>
      <c r="C690" s="12" t="s">
        <v>19</v>
      </c>
      <c r="D690" s="12" t="s">
        <v>12</v>
      </c>
      <c r="E690" s="13"/>
      <c r="F690" s="13"/>
      <c r="G690" s="12"/>
      <c r="H690" s="14"/>
      <c r="I690" s="12">
        <f>IFERROR(IF(T_PROD[[#This Row],[PREVISTO]]-T_PROD[[#This Row],[EFETIVO]]&lt; 0,0,T_PROD[[#This Row],[PREVISTO]]-T_PROD[[#This Row],[EFETIVO]] ),"")</f>
        <v>0</v>
      </c>
      <c r="J690" s="15" t="str">
        <f>IFERROR(IF(T_PROD[[#This Row],[META]]&gt;0,(T_PROD[[#This Row],[META]]/T_PROD[[#This Row],[PREVISTO]]),""),"")</f>
        <v/>
      </c>
      <c r="K690" s="15" t="str">
        <f>IFERROR(IF(T_PROD[[#This Row],[PRODUÇÃO]]&gt;0,(T_PROD[[#This Row],[PRODUÇÃO]]/T_PROD[[#This Row],[EFETIVO]]),""),"")</f>
        <v/>
      </c>
    </row>
    <row r="691" spans="1:11" s="6" customFormat="1" x14ac:dyDescent="0.3">
      <c r="A691" s="11">
        <v>46139</v>
      </c>
      <c r="B691" s="12" t="str">
        <f t="shared" si="75"/>
        <v>ABRIL</v>
      </c>
      <c r="C691" s="12" t="s">
        <v>20</v>
      </c>
      <c r="D691" s="12" t="s">
        <v>12</v>
      </c>
      <c r="E691" s="13">
        <v>423</v>
      </c>
      <c r="F691" s="13">
        <v>336</v>
      </c>
      <c r="G691" s="12">
        <v>92</v>
      </c>
      <c r="H691" s="14">
        <v>92</v>
      </c>
      <c r="I691" s="12">
        <f>IFERROR(IF(T_PROD[[#This Row],[PREVISTO]]-T_PROD[[#This Row],[EFETIVO]]&lt; 0,0,T_PROD[[#This Row],[PREVISTO]]-T_PROD[[#This Row],[EFETIVO]] ),"")</f>
        <v>0</v>
      </c>
      <c r="J691" s="15">
        <f>IFERROR(IF(T_PROD[[#This Row],[META]]&gt;0,(T_PROD[[#This Row],[META]]/T_PROD[[#This Row],[PREVISTO]]),""),"")</f>
        <v>4.5978260869565215</v>
      </c>
      <c r="K691" s="15">
        <f>IFERROR(IF(T_PROD[[#This Row],[PRODUÇÃO]]&gt;0,(T_PROD[[#This Row],[PRODUÇÃO]]/T_PROD[[#This Row],[EFETIVO]]),""),"")</f>
        <v>3.652173913043478</v>
      </c>
    </row>
    <row r="692" spans="1:11" s="6" customFormat="1" x14ac:dyDescent="0.3">
      <c r="A692" s="11">
        <v>46139</v>
      </c>
      <c r="B692" s="12" t="str">
        <f t="shared" si="75"/>
        <v>ABRIL</v>
      </c>
      <c r="C692" s="12" t="s">
        <v>11</v>
      </c>
      <c r="D692" s="12" t="s">
        <v>12</v>
      </c>
      <c r="E692" s="13">
        <v>288</v>
      </c>
      <c r="F692" s="13">
        <v>325</v>
      </c>
      <c r="G692" s="12">
        <v>16</v>
      </c>
      <c r="H692" s="14">
        <v>15</v>
      </c>
      <c r="I692" s="12">
        <f>IFERROR(IF(T_PROD[[#This Row],[PREVISTO]]-T_PROD[[#This Row],[EFETIVO]]&lt; 0,0,T_PROD[[#This Row],[PREVISTO]]-T_PROD[[#This Row],[EFETIVO]] ),"")</f>
        <v>1</v>
      </c>
      <c r="J692" s="15">
        <f>IFERROR(IF(T_PROD[[#This Row],[META]]&gt;0,(T_PROD[[#This Row],[META]]/T_PROD[[#This Row],[PREVISTO]]),""),"")</f>
        <v>18</v>
      </c>
      <c r="K692" s="15">
        <f>IFERROR(IF(T_PROD[[#This Row],[PRODUÇÃO]]&gt;0,(T_PROD[[#This Row],[PRODUÇÃO]]/T_PROD[[#This Row],[EFETIVO]]),""),"")</f>
        <v>21.666666666666668</v>
      </c>
    </row>
    <row r="693" spans="1:11" s="6" customFormat="1" x14ac:dyDescent="0.3">
      <c r="A693" s="11">
        <v>46139</v>
      </c>
      <c r="B693" s="12" t="str">
        <f t="shared" si="75"/>
        <v>ABRIL</v>
      </c>
      <c r="C693" s="12" t="s">
        <v>32</v>
      </c>
      <c r="D693" s="12" t="s">
        <v>12</v>
      </c>
      <c r="E693" s="13">
        <v>150</v>
      </c>
      <c r="F693" s="13">
        <v>150</v>
      </c>
      <c r="G693" s="12">
        <v>15</v>
      </c>
      <c r="H693" s="14">
        <v>14</v>
      </c>
      <c r="I693" s="12">
        <f>IFERROR(IF(T_PROD[[#This Row],[PREVISTO]]-T_PROD[[#This Row],[EFETIVO]]&lt; 0,0,T_PROD[[#This Row],[PREVISTO]]-T_PROD[[#This Row],[EFETIVO]] ),"")</f>
        <v>1</v>
      </c>
      <c r="J693" s="15">
        <f>IFERROR(IF(T_PROD[[#This Row],[META]]&gt;0,(T_PROD[[#This Row],[META]]/T_PROD[[#This Row],[PREVISTO]]),""),"")</f>
        <v>10</v>
      </c>
      <c r="K693" s="15">
        <f>IFERROR(IF(T_PROD[[#This Row],[PRODUÇÃO]]&gt;0,(T_PROD[[#This Row],[PRODUÇÃO]]/T_PROD[[#This Row],[EFETIVO]]),""),"")</f>
        <v>10.714285714285714</v>
      </c>
    </row>
    <row r="694" spans="1:11" s="6" customFormat="1" x14ac:dyDescent="0.3">
      <c r="A694" s="11">
        <v>46139</v>
      </c>
      <c r="B694" s="12" t="str">
        <f t="shared" si="75"/>
        <v>ABRIL</v>
      </c>
      <c r="C694" s="12" t="s">
        <v>14</v>
      </c>
      <c r="D694" s="12" t="s">
        <v>12</v>
      </c>
      <c r="E694" s="13">
        <v>438</v>
      </c>
      <c r="F694" s="13">
        <v>475</v>
      </c>
      <c r="G694" s="12">
        <v>67</v>
      </c>
      <c r="H694" s="14">
        <v>63</v>
      </c>
      <c r="I694" s="12">
        <f>IFERROR(IF(T_PROD[[#This Row],[PREVISTO]]-T_PROD[[#This Row],[EFETIVO]]&lt; 0,0,T_PROD[[#This Row],[PREVISTO]]-T_PROD[[#This Row],[EFETIVO]] ),"")</f>
        <v>4</v>
      </c>
      <c r="J694" s="15">
        <f>IFERROR(IF(T_PROD[[#This Row],[META]]&gt;0,(T_PROD[[#This Row],[META]]/T_PROD[[#This Row],[PREVISTO]]),""),"")</f>
        <v>6.5373134328358207</v>
      </c>
      <c r="K694" s="15">
        <f>IFERROR(IF(T_PROD[[#This Row],[PRODUÇÃO]]&gt;0,(T_PROD[[#This Row],[PRODUÇÃO]]/T_PROD[[#This Row],[EFETIVO]]),""),"")</f>
        <v>7.5396825396825395</v>
      </c>
    </row>
    <row r="695" spans="1:11" s="6" customFormat="1" x14ac:dyDescent="0.3">
      <c r="A695" s="11">
        <v>46140</v>
      </c>
      <c r="B695" s="12" t="str">
        <f>UPPER(TEXT(A695,"MMMM"))</f>
        <v>ABRIL</v>
      </c>
      <c r="C695" s="12" t="s">
        <v>15</v>
      </c>
      <c r="D695" s="12" t="s">
        <v>12</v>
      </c>
      <c r="E695" s="13">
        <v>75</v>
      </c>
      <c r="F695" s="13">
        <v>38</v>
      </c>
      <c r="G695" s="12">
        <v>5</v>
      </c>
      <c r="H695" s="14">
        <v>5</v>
      </c>
      <c r="I695" s="12">
        <f>IFERROR(IF(T_PROD[[#This Row],[PREVISTO]]-T_PROD[[#This Row],[EFETIVO]]&lt; 0,0,T_PROD[[#This Row],[PREVISTO]]-T_PROD[[#This Row],[EFETIVO]] ),"")</f>
        <v>0</v>
      </c>
      <c r="J695" s="15">
        <f>IFERROR(IF(T_PROD[[#This Row],[META]]&gt;0,(T_PROD[[#This Row],[META]]/T_PROD[[#This Row],[PREVISTO]]),""),"")</f>
        <v>15</v>
      </c>
      <c r="K695" s="15">
        <f>IFERROR(IF(T_PROD[[#This Row],[PRODUÇÃO]]&gt;0,(T_PROD[[#This Row],[PRODUÇÃO]]/T_PROD[[#This Row],[EFETIVO]]),""),"")</f>
        <v>7.6</v>
      </c>
    </row>
    <row r="696" spans="1:11" s="6" customFormat="1" x14ac:dyDescent="0.3">
      <c r="A696" s="11">
        <v>46140</v>
      </c>
      <c r="B696" s="12" t="str">
        <f t="shared" ref="B696:B703" si="76">UPPER(TEXT(A696,"MMMM"))</f>
        <v>ABRIL</v>
      </c>
      <c r="C696" s="12" t="s">
        <v>16</v>
      </c>
      <c r="D696" s="12" t="s">
        <v>12</v>
      </c>
      <c r="E696" s="13">
        <v>187</v>
      </c>
      <c r="F696" s="13">
        <v>194</v>
      </c>
      <c r="G696" s="12">
        <v>5.5</v>
      </c>
      <c r="H696" s="14">
        <v>5.5</v>
      </c>
      <c r="I696" s="12">
        <f>IFERROR(IF(T_PROD[[#This Row],[PREVISTO]]-T_PROD[[#This Row],[EFETIVO]]&lt; 0,0,T_PROD[[#This Row],[PREVISTO]]-T_PROD[[#This Row],[EFETIVO]] ),"")</f>
        <v>0</v>
      </c>
      <c r="J696" s="15">
        <f>IFERROR(IF(T_PROD[[#This Row],[META]]&gt;0,(T_PROD[[#This Row],[META]]/T_PROD[[#This Row],[PREVISTO]]),""),"")</f>
        <v>34</v>
      </c>
      <c r="K696" s="15">
        <f>IFERROR(IF(T_PROD[[#This Row],[PRODUÇÃO]]&gt;0,(T_PROD[[#This Row],[PRODUÇÃO]]/T_PROD[[#This Row],[EFETIVO]]),""),"")</f>
        <v>35.272727272727273</v>
      </c>
    </row>
    <row r="697" spans="1:11" s="6" customFormat="1" x14ac:dyDescent="0.3">
      <c r="A697" s="11">
        <v>46140</v>
      </c>
      <c r="B697" s="12" t="str">
        <f t="shared" si="76"/>
        <v>ABRIL</v>
      </c>
      <c r="C697" s="12" t="s">
        <v>17</v>
      </c>
      <c r="D697" s="12" t="s">
        <v>12</v>
      </c>
      <c r="E697" s="13">
        <v>128</v>
      </c>
      <c r="F697" s="13">
        <v>151</v>
      </c>
      <c r="G697" s="12">
        <v>8</v>
      </c>
      <c r="H697" s="14">
        <v>8</v>
      </c>
      <c r="I697" s="12">
        <f>IFERROR(IF(T_PROD[[#This Row],[PREVISTO]]-T_PROD[[#This Row],[EFETIVO]]&lt; 0,0,T_PROD[[#This Row],[PREVISTO]]-T_PROD[[#This Row],[EFETIVO]] ),"")</f>
        <v>0</v>
      </c>
      <c r="J697" s="15">
        <f>IFERROR(IF(T_PROD[[#This Row],[META]]&gt;0,(T_PROD[[#This Row],[META]]/T_PROD[[#This Row],[PREVISTO]]),""),"")</f>
        <v>16</v>
      </c>
      <c r="K697" s="15">
        <f>IFERROR(IF(T_PROD[[#This Row],[PRODUÇÃO]]&gt;0,(T_PROD[[#This Row],[PRODUÇÃO]]/T_PROD[[#This Row],[EFETIVO]]),""),"")</f>
        <v>18.875</v>
      </c>
    </row>
    <row r="698" spans="1:11" s="6" customFormat="1" x14ac:dyDescent="0.3">
      <c r="A698" s="11">
        <v>46140</v>
      </c>
      <c r="B698" s="12" t="str">
        <f t="shared" si="76"/>
        <v>ABRIL</v>
      </c>
      <c r="C698" s="12" t="s">
        <v>18</v>
      </c>
      <c r="D698" s="12" t="s">
        <v>12</v>
      </c>
      <c r="E698" s="13"/>
      <c r="F698" s="13"/>
      <c r="G698" s="12"/>
      <c r="H698" s="14"/>
      <c r="I698" s="12">
        <f>IFERROR(IF(T_PROD[[#This Row],[PREVISTO]]-T_PROD[[#This Row],[EFETIVO]]&lt; 0,0,T_PROD[[#This Row],[PREVISTO]]-T_PROD[[#This Row],[EFETIVO]] ),"")</f>
        <v>0</v>
      </c>
      <c r="J698" s="15" t="str">
        <f>IFERROR(IF(T_PROD[[#This Row],[META]]&gt;0,(T_PROD[[#This Row],[META]]/T_PROD[[#This Row],[PREVISTO]]),""),"")</f>
        <v/>
      </c>
      <c r="K698" s="15" t="str">
        <f>IFERROR(IF(T_PROD[[#This Row],[PRODUÇÃO]]&gt;0,(T_PROD[[#This Row],[PRODUÇÃO]]/T_PROD[[#This Row],[EFETIVO]]),""),"")</f>
        <v/>
      </c>
    </row>
    <row r="699" spans="1:11" s="6" customFormat="1" x14ac:dyDescent="0.3">
      <c r="A699" s="11">
        <v>46140</v>
      </c>
      <c r="B699" s="12" t="str">
        <f t="shared" si="76"/>
        <v>ABRIL</v>
      </c>
      <c r="C699" s="12" t="s">
        <v>19</v>
      </c>
      <c r="D699" s="12" t="s">
        <v>12</v>
      </c>
      <c r="E699" s="13"/>
      <c r="F699" s="13"/>
      <c r="G699" s="12"/>
      <c r="H699" s="14"/>
      <c r="I699" s="12">
        <f>IFERROR(IF(T_PROD[[#This Row],[PREVISTO]]-T_PROD[[#This Row],[EFETIVO]]&lt; 0,0,T_PROD[[#This Row],[PREVISTO]]-T_PROD[[#This Row],[EFETIVO]] ),"")</f>
        <v>0</v>
      </c>
      <c r="J699" s="15" t="str">
        <f>IFERROR(IF(T_PROD[[#This Row],[META]]&gt;0,(T_PROD[[#This Row],[META]]/T_PROD[[#This Row],[PREVISTO]]),""),"")</f>
        <v/>
      </c>
      <c r="K699" s="15" t="str">
        <f>IFERROR(IF(T_PROD[[#This Row],[PRODUÇÃO]]&gt;0,(T_PROD[[#This Row],[PRODUÇÃO]]/T_PROD[[#This Row],[EFETIVO]]),""),"")</f>
        <v/>
      </c>
    </row>
    <row r="700" spans="1:11" s="6" customFormat="1" x14ac:dyDescent="0.3">
      <c r="A700" s="11">
        <v>46140</v>
      </c>
      <c r="B700" s="12" t="str">
        <f t="shared" si="76"/>
        <v>ABRIL</v>
      </c>
      <c r="C700" s="12" t="s">
        <v>20</v>
      </c>
      <c r="D700" s="12" t="s">
        <v>12</v>
      </c>
      <c r="E700" s="13">
        <v>390</v>
      </c>
      <c r="F700" s="13">
        <v>383</v>
      </c>
      <c r="G700" s="12">
        <v>92</v>
      </c>
      <c r="H700" s="14">
        <v>92</v>
      </c>
      <c r="I700" s="12">
        <f>IFERROR(IF(T_PROD[[#This Row],[PREVISTO]]-T_PROD[[#This Row],[EFETIVO]]&lt; 0,0,T_PROD[[#This Row],[PREVISTO]]-T_PROD[[#This Row],[EFETIVO]] ),"")</f>
        <v>0</v>
      </c>
      <c r="J700" s="15">
        <f>IFERROR(IF(T_PROD[[#This Row],[META]]&gt;0,(T_PROD[[#This Row],[META]]/T_PROD[[#This Row],[PREVISTO]]),""),"")</f>
        <v>4.2391304347826084</v>
      </c>
      <c r="K700" s="15">
        <f>IFERROR(IF(T_PROD[[#This Row],[PRODUÇÃO]]&gt;0,(T_PROD[[#This Row],[PRODUÇÃO]]/T_PROD[[#This Row],[EFETIVO]]),""),"")</f>
        <v>4.1630434782608692</v>
      </c>
    </row>
    <row r="701" spans="1:11" s="6" customFormat="1" x14ac:dyDescent="0.3">
      <c r="A701" s="11">
        <v>46140</v>
      </c>
      <c r="B701" s="12" t="str">
        <f t="shared" si="76"/>
        <v>ABRIL</v>
      </c>
      <c r="C701" s="12" t="s">
        <v>11</v>
      </c>
      <c r="D701" s="12" t="s">
        <v>12</v>
      </c>
      <c r="E701" s="13">
        <v>306</v>
      </c>
      <c r="F701" s="13">
        <v>325</v>
      </c>
      <c r="G701" s="12">
        <v>17</v>
      </c>
      <c r="H701" s="14">
        <v>17</v>
      </c>
      <c r="I701" s="12">
        <f>IFERROR(IF(T_PROD[[#This Row],[PREVISTO]]-T_PROD[[#This Row],[EFETIVO]]&lt; 0,0,T_PROD[[#This Row],[PREVISTO]]-T_PROD[[#This Row],[EFETIVO]] ),"")</f>
        <v>0</v>
      </c>
      <c r="J701" s="15">
        <f>IFERROR(IF(T_PROD[[#This Row],[META]]&gt;0,(T_PROD[[#This Row],[META]]/T_PROD[[#This Row],[PREVISTO]]),""),"")</f>
        <v>18</v>
      </c>
      <c r="K701" s="15">
        <f>IFERROR(IF(T_PROD[[#This Row],[PRODUÇÃO]]&gt;0,(T_PROD[[#This Row],[PRODUÇÃO]]/T_PROD[[#This Row],[EFETIVO]]),""),"")</f>
        <v>19.117647058823529</v>
      </c>
    </row>
    <row r="702" spans="1:11" s="6" customFormat="1" x14ac:dyDescent="0.3">
      <c r="A702" s="11">
        <v>46140</v>
      </c>
      <c r="B702" s="12" t="str">
        <f t="shared" si="76"/>
        <v>ABRIL</v>
      </c>
      <c r="C702" s="12" t="s">
        <v>32</v>
      </c>
      <c r="D702" s="12" t="s">
        <v>12</v>
      </c>
      <c r="E702" s="13">
        <v>80</v>
      </c>
      <c r="F702" s="13">
        <v>84</v>
      </c>
      <c r="G702" s="12">
        <v>8</v>
      </c>
      <c r="H702" s="14">
        <v>8</v>
      </c>
      <c r="I702" s="12">
        <f>IFERROR(IF(T_PROD[[#This Row],[PREVISTO]]-T_PROD[[#This Row],[EFETIVO]]&lt; 0,0,T_PROD[[#This Row],[PREVISTO]]-T_PROD[[#This Row],[EFETIVO]] ),"")</f>
        <v>0</v>
      </c>
      <c r="J702" s="15">
        <f>IFERROR(IF(T_PROD[[#This Row],[META]]&gt;0,(T_PROD[[#This Row],[META]]/T_PROD[[#This Row],[PREVISTO]]),""),"")</f>
        <v>10</v>
      </c>
      <c r="K702" s="15">
        <f>IFERROR(IF(T_PROD[[#This Row],[PRODUÇÃO]]&gt;0,(T_PROD[[#This Row],[PRODUÇÃO]]/T_PROD[[#This Row],[EFETIVO]]),""),"")</f>
        <v>10.5</v>
      </c>
    </row>
    <row r="703" spans="1:11" s="6" customFormat="1" x14ac:dyDescent="0.3">
      <c r="A703" s="11">
        <v>46140</v>
      </c>
      <c r="B703" s="12" t="str">
        <f t="shared" si="76"/>
        <v>ABRIL</v>
      </c>
      <c r="C703" s="12" t="s">
        <v>14</v>
      </c>
      <c r="D703" s="12" t="s">
        <v>12</v>
      </c>
      <c r="E703" s="13">
        <v>386</v>
      </c>
      <c r="F703" s="13">
        <v>409</v>
      </c>
      <c r="G703" s="12">
        <v>67</v>
      </c>
      <c r="H703" s="14">
        <v>62</v>
      </c>
      <c r="I703" s="12">
        <f>IFERROR(IF(T_PROD[[#This Row],[PREVISTO]]-T_PROD[[#This Row],[EFETIVO]]&lt; 0,0,T_PROD[[#This Row],[PREVISTO]]-T_PROD[[#This Row],[EFETIVO]] ),"")</f>
        <v>5</v>
      </c>
      <c r="J703" s="15">
        <f>IFERROR(IF(T_PROD[[#This Row],[META]]&gt;0,(T_PROD[[#This Row],[META]]/T_PROD[[#This Row],[PREVISTO]]),""),"")</f>
        <v>5.7611940298507465</v>
      </c>
      <c r="K703" s="15">
        <f>IFERROR(IF(T_PROD[[#This Row],[PRODUÇÃO]]&gt;0,(T_PROD[[#This Row],[PRODUÇÃO]]/T_PROD[[#This Row],[EFETIVO]]),""),"")</f>
        <v>6.596774193548387</v>
      </c>
    </row>
    <row r="704" spans="1:11" s="6" customFormat="1" x14ac:dyDescent="0.3">
      <c r="A704" s="11">
        <v>46141</v>
      </c>
      <c r="B704" s="12" t="str">
        <f t="shared" ref="B704:B712" si="77">UPPER(TEXT(A704,"MMMM"))</f>
        <v>ABRIL</v>
      </c>
      <c r="C704" s="12" t="s">
        <v>15</v>
      </c>
      <c r="D704" s="12" t="s">
        <v>12</v>
      </c>
      <c r="E704" s="13">
        <v>60</v>
      </c>
      <c r="F704" s="13">
        <v>29</v>
      </c>
      <c r="G704" s="12">
        <v>4</v>
      </c>
      <c r="H704" s="14">
        <v>4</v>
      </c>
      <c r="I704" s="12">
        <f>IFERROR(IF(T_PROD[[#This Row],[PREVISTO]]-T_PROD[[#This Row],[EFETIVO]]&lt; 0,0,T_PROD[[#This Row],[PREVISTO]]-T_PROD[[#This Row],[EFETIVO]] ),"")</f>
        <v>0</v>
      </c>
      <c r="J704" s="15">
        <f>IFERROR(IF(T_PROD[[#This Row],[META]]&gt;0,(T_PROD[[#This Row],[META]]/T_PROD[[#This Row],[PREVISTO]]),""),"")</f>
        <v>15</v>
      </c>
      <c r="K704" s="15">
        <f>IFERROR(IF(T_PROD[[#This Row],[PRODUÇÃO]]&gt;0,(T_PROD[[#This Row],[PRODUÇÃO]]/T_PROD[[#This Row],[EFETIVO]]),""),"")</f>
        <v>7.25</v>
      </c>
    </row>
    <row r="705" spans="1:11" s="6" customFormat="1" x14ac:dyDescent="0.3">
      <c r="A705" s="11">
        <v>46141</v>
      </c>
      <c r="B705" s="12" t="str">
        <f t="shared" si="77"/>
        <v>ABRIL</v>
      </c>
      <c r="C705" s="12" t="s">
        <v>16</v>
      </c>
      <c r="D705" s="12" t="s">
        <v>12</v>
      </c>
      <c r="E705" s="13">
        <v>187</v>
      </c>
      <c r="F705" s="13">
        <v>196</v>
      </c>
      <c r="G705" s="12">
        <v>5.5</v>
      </c>
      <c r="H705" s="14">
        <v>5.5</v>
      </c>
      <c r="I705" s="12">
        <f>IFERROR(IF(T_PROD[[#This Row],[PREVISTO]]-T_PROD[[#This Row],[EFETIVO]]&lt; 0,0,T_PROD[[#This Row],[PREVISTO]]-T_PROD[[#This Row],[EFETIVO]] ),"")</f>
        <v>0</v>
      </c>
      <c r="J705" s="15">
        <f>IFERROR(IF(T_PROD[[#This Row],[META]]&gt;0,(T_PROD[[#This Row],[META]]/T_PROD[[#This Row],[PREVISTO]]),""),"")</f>
        <v>34</v>
      </c>
      <c r="K705" s="15">
        <f>IFERROR(IF(T_PROD[[#This Row],[PRODUÇÃO]]&gt;0,(T_PROD[[#This Row],[PRODUÇÃO]]/T_PROD[[#This Row],[EFETIVO]]),""),"")</f>
        <v>35.636363636363633</v>
      </c>
    </row>
    <row r="706" spans="1:11" s="6" customFormat="1" x14ac:dyDescent="0.3">
      <c r="A706" s="11">
        <v>46141</v>
      </c>
      <c r="B706" s="12" t="str">
        <f t="shared" si="77"/>
        <v>ABRIL</v>
      </c>
      <c r="C706" s="12" t="s">
        <v>17</v>
      </c>
      <c r="D706" s="12" t="s">
        <v>12</v>
      </c>
      <c r="E706" s="13">
        <v>128</v>
      </c>
      <c r="F706" s="13">
        <v>126</v>
      </c>
      <c r="G706" s="12">
        <v>8</v>
      </c>
      <c r="H706" s="14">
        <v>8</v>
      </c>
      <c r="I706" s="12">
        <f>IFERROR(IF(T_PROD[[#This Row],[PREVISTO]]-T_PROD[[#This Row],[EFETIVO]]&lt; 0,0,T_PROD[[#This Row],[PREVISTO]]-T_PROD[[#This Row],[EFETIVO]] ),"")</f>
        <v>0</v>
      </c>
      <c r="J706" s="15">
        <f>IFERROR(IF(T_PROD[[#This Row],[META]]&gt;0,(T_PROD[[#This Row],[META]]/T_PROD[[#This Row],[PREVISTO]]),""),"")</f>
        <v>16</v>
      </c>
      <c r="K706" s="15">
        <f>IFERROR(IF(T_PROD[[#This Row],[PRODUÇÃO]]&gt;0,(T_PROD[[#This Row],[PRODUÇÃO]]/T_PROD[[#This Row],[EFETIVO]]),""),"")</f>
        <v>15.75</v>
      </c>
    </row>
    <row r="707" spans="1:11" s="6" customFormat="1" x14ac:dyDescent="0.3">
      <c r="A707" s="11">
        <v>46141</v>
      </c>
      <c r="B707" s="12" t="str">
        <f t="shared" si="77"/>
        <v>ABRIL</v>
      </c>
      <c r="C707" s="12" t="s">
        <v>18</v>
      </c>
      <c r="D707" s="12" t="s">
        <v>12</v>
      </c>
      <c r="E707" s="13"/>
      <c r="F707" s="13"/>
      <c r="G707" s="12"/>
      <c r="H707" s="14"/>
      <c r="I707" s="12">
        <f>IFERROR(IF(T_PROD[[#This Row],[PREVISTO]]-T_PROD[[#This Row],[EFETIVO]]&lt; 0,0,T_PROD[[#This Row],[PREVISTO]]-T_PROD[[#This Row],[EFETIVO]] ),"")</f>
        <v>0</v>
      </c>
      <c r="J707" s="15" t="str">
        <f>IFERROR(IF(T_PROD[[#This Row],[META]]&gt;0,(T_PROD[[#This Row],[META]]/T_PROD[[#This Row],[PREVISTO]]),""),"")</f>
        <v/>
      </c>
      <c r="K707" s="15" t="str">
        <f>IFERROR(IF(T_PROD[[#This Row],[PRODUÇÃO]]&gt;0,(T_PROD[[#This Row],[PRODUÇÃO]]/T_PROD[[#This Row],[EFETIVO]]),""),"")</f>
        <v/>
      </c>
    </row>
    <row r="708" spans="1:11" s="6" customFormat="1" x14ac:dyDescent="0.3">
      <c r="A708" s="11">
        <v>46141</v>
      </c>
      <c r="B708" s="12" t="str">
        <f t="shared" si="77"/>
        <v>ABRIL</v>
      </c>
      <c r="C708" s="12" t="s">
        <v>19</v>
      </c>
      <c r="D708" s="12" t="s">
        <v>12</v>
      </c>
      <c r="E708" s="13"/>
      <c r="F708" s="13"/>
      <c r="G708" s="12"/>
      <c r="H708" s="14"/>
      <c r="I708" s="12">
        <f>IFERROR(IF(T_PROD[[#This Row],[PREVISTO]]-T_PROD[[#This Row],[EFETIVO]]&lt; 0,0,T_PROD[[#This Row],[PREVISTO]]-T_PROD[[#This Row],[EFETIVO]] ),"")</f>
        <v>0</v>
      </c>
      <c r="J708" s="15" t="str">
        <f>IFERROR(IF(T_PROD[[#This Row],[META]]&gt;0,(T_PROD[[#This Row],[META]]/T_PROD[[#This Row],[PREVISTO]]),""),"")</f>
        <v/>
      </c>
      <c r="K708" s="15" t="str">
        <f>IFERROR(IF(T_PROD[[#This Row],[PRODUÇÃO]]&gt;0,(T_PROD[[#This Row],[PRODUÇÃO]]/T_PROD[[#This Row],[EFETIVO]]),""),"")</f>
        <v/>
      </c>
    </row>
    <row r="709" spans="1:11" s="6" customFormat="1" x14ac:dyDescent="0.3">
      <c r="A709" s="11">
        <v>46141</v>
      </c>
      <c r="B709" s="12" t="str">
        <f t="shared" si="77"/>
        <v>ABRIL</v>
      </c>
      <c r="C709" s="12" t="s">
        <v>20</v>
      </c>
      <c r="D709" s="12" t="s">
        <v>12</v>
      </c>
      <c r="E709" s="13">
        <v>375</v>
      </c>
      <c r="F709" s="13">
        <v>351</v>
      </c>
      <c r="G709" s="12">
        <v>92</v>
      </c>
      <c r="H709" s="14">
        <v>92</v>
      </c>
      <c r="I709" s="12">
        <f>IFERROR(IF(T_PROD[[#This Row],[PREVISTO]]-T_PROD[[#This Row],[EFETIVO]]&lt; 0,0,T_PROD[[#This Row],[PREVISTO]]-T_PROD[[#This Row],[EFETIVO]] ),"")</f>
        <v>0</v>
      </c>
      <c r="J709" s="15">
        <f>IFERROR(IF(T_PROD[[#This Row],[META]]&gt;0,(T_PROD[[#This Row],[META]]/T_PROD[[#This Row],[PREVISTO]]),""),"")</f>
        <v>4.0760869565217392</v>
      </c>
      <c r="K709" s="15">
        <f>IFERROR(IF(T_PROD[[#This Row],[PRODUÇÃO]]&gt;0,(T_PROD[[#This Row],[PRODUÇÃO]]/T_PROD[[#This Row],[EFETIVO]]),""),"")</f>
        <v>3.8152173913043477</v>
      </c>
    </row>
    <row r="710" spans="1:11" s="6" customFormat="1" x14ac:dyDescent="0.3">
      <c r="A710" s="11">
        <v>46141</v>
      </c>
      <c r="B710" s="12" t="str">
        <f t="shared" si="77"/>
        <v>ABRIL</v>
      </c>
      <c r="C710" s="12" t="s">
        <v>11</v>
      </c>
      <c r="D710" s="12" t="s">
        <v>12</v>
      </c>
      <c r="E710" s="13">
        <v>360</v>
      </c>
      <c r="F710" s="13">
        <v>380</v>
      </c>
      <c r="G710" s="12">
        <v>20</v>
      </c>
      <c r="H710" s="14">
        <v>20</v>
      </c>
      <c r="I710" s="12">
        <f>IFERROR(IF(T_PROD[[#This Row],[PREVISTO]]-T_PROD[[#This Row],[EFETIVO]]&lt; 0,0,T_PROD[[#This Row],[PREVISTO]]-T_PROD[[#This Row],[EFETIVO]] ),"")</f>
        <v>0</v>
      </c>
      <c r="J710" s="15">
        <f>IFERROR(IF(T_PROD[[#This Row],[META]]&gt;0,(T_PROD[[#This Row],[META]]/T_PROD[[#This Row],[PREVISTO]]),""),"")</f>
        <v>18</v>
      </c>
      <c r="K710" s="15">
        <f>IFERROR(IF(T_PROD[[#This Row],[PRODUÇÃO]]&gt;0,(T_PROD[[#This Row],[PRODUÇÃO]]/T_PROD[[#This Row],[EFETIVO]]),""),"")</f>
        <v>19</v>
      </c>
    </row>
    <row r="711" spans="1:11" s="6" customFormat="1" x14ac:dyDescent="0.3">
      <c r="A711" s="11">
        <v>46141</v>
      </c>
      <c r="B711" s="12" t="str">
        <f t="shared" si="77"/>
        <v>ABRIL</v>
      </c>
      <c r="C711" s="12" t="s">
        <v>32</v>
      </c>
      <c r="D711" s="12" t="s">
        <v>12</v>
      </c>
      <c r="E711" s="13">
        <v>100</v>
      </c>
      <c r="F711" s="13">
        <v>111</v>
      </c>
      <c r="G711" s="12">
        <v>10</v>
      </c>
      <c r="H711" s="14">
        <v>10</v>
      </c>
      <c r="I711" s="12">
        <f>IFERROR(IF(T_PROD[[#This Row],[PREVISTO]]-T_PROD[[#This Row],[EFETIVO]]&lt; 0,0,T_PROD[[#This Row],[PREVISTO]]-T_PROD[[#This Row],[EFETIVO]] ),"")</f>
        <v>0</v>
      </c>
      <c r="J711" s="15">
        <f>IFERROR(IF(T_PROD[[#This Row],[META]]&gt;0,(T_PROD[[#This Row],[META]]/T_PROD[[#This Row],[PREVISTO]]),""),"")</f>
        <v>10</v>
      </c>
      <c r="K711" s="15">
        <f>IFERROR(IF(T_PROD[[#This Row],[PRODUÇÃO]]&gt;0,(T_PROD[[#This Row],[PRODUÇÃO]]/T_PROD[[#This Row],[EFETIVO]]),""),"")</f>
        <v>11.1</v>
      </c>
    </row>
    <row r="712" spans="1:11" s="6" customFormat="1" x14ac:dyDescent="0.3">
      <c r="A712" s="11">
        <v>46141</v>
      </c>
      <c r="B712" s="12" t="str">
        <f t="shared" si="77"/>
        <v>ABRIL</v>
      </c>
      <c r="C712" s="12" t="s">
        <v>14</v>
      </c>
      <c r="D712" s="12" t="s">
        <v>12</v>
      </c>
      <c r="E712" s="13">
        <v>460</v>
      </c>
      <c r="F712" s="13">
        <v>491</v>
      </c>
      <c r="G712" s="12">
        <v>67</v>
      </c>
      <c r="H712" s="14">
        <v>64</v>
      </c>
      <c r="I712" s="12">
        <f>IFERROR(IF(T_PROD[[#This Row],[PREVISTO]]-T_PROD[[#This Row],[EFETIVO]]&lt; 0,0,T_PROD[[#This Row],[PREVISTO]]-T_PROD[[#This Row],[EFETIVO]] ),"")</f>
        <v>3</v>
      </c>
      <c r="J712" s="15">
        <f>IFERROR(IF(T_PROD[[#This Row],[META]]&gt;0,(T_PROD[[#This Row],[META]]/T_PROD[[#This Row],[PREVISTO]]),""),"")</f>
        <v>6.8656716417910451</v>
      </c>
      <c r="K712" s="15">
        <f>IFERROR(IF(T_PROD[[#This Row],[PRODUÇÃO]]&gt;0,(T_PROD[[#This Row],[PRODUÇÃO]]/T_PROD[[#This Row],[EFETIVO]]),""),"")</f>
        <v>7.671875</v>
      </c>
    </row>
    <row r="713" spans="1:11" s="6" customFormat="1" x14ac:dyDescent="0.3">
      <c r="A713" s="11">
        <v>46146</v>
      </c>
      <c r="B713" s="12" t="str">
        <f>UPPER(TEXT(A713,"MMMM"))</f>
        <v>MAIO</v>
      </c>
      <c r="C713" s="12" t="s">
        <v>15</v>
      </c>
      <c r="D713" s="12" t="s">
        <v>12</v>
      </c>
      <c r="E713" s="13">
        <v>75</v>
      </c>
      <c r="F713" s="13">
        <v>27</v>
      </c>
      <c r="G713" s="12">
        <v>5</v>
      </c>
      <c r="H713" s="14">
        <v>5</v>
      </c>
      <c r="I713" s="12">
        <f>IFERROR(IF(T_PROD[[#This Row],[PREVISTO]]-T_PROD[[#This Row],[EFETIVO]]&lt; 0,0,T_PROD[[#This Row],[PREVISTO]]-T_PROD[[#This Row],[EFETIVO]] ),"")</f>
        <v>0</v>
      </c>
      <c r="J713" s="15">
        <f>IFERROR(IF(T_PROD[[#This Row],[META]]&gt;0,(T_PROD[[#This Row],[META]]/T_PROD[[#This Row],[PREVISTO]]),""),"")</f>
        <v>15</v>
      </c>
      <c r="K713" s="15">
        <f>IFERROR(IF(T_PROD[[#This Row],[PRODUÇÃO]]&gt;0,(T_PROD[[#This Row],[PRODUÇÃO]]/T_PROD[[#This Row],[EFETIVO]]),""),"")</f>
        <v>5.4</v>
      </c>
    </row>
    <row r="714" spans="1:11" s="6" customFormat="1" x14ac:dyDescent="0.3">
      <c r="A714" s="11">
        <v>46146</v>
      </c>
      <c r="B714" s="12" t="str">
        <f t="shared" ref="B714:B721" si="78">UPPER(TEXT(A714,"MMMM"))</f>
        <v>MAIO</v>
      </c>
      <c r="C714" s="12" t="s">
        <v>16</v>
      </c>
      <c r="D714" s="12" t="s">
        <v>12</v>
      </c>
      <c r="E714" s="13">
        <v>204</v>
      </c>
      <c r="F714" s="13">
        <v>172</v>
      </c>
      <c r="G714" s="12">
        <v>6</v>
      </c>
      <c r="H714" s="14">
        <v>6</v>
      </c>
      <c r="I714" s="12">
        <f>IFERROR(IF(T_PROD[[#This Row],[PREVISTO]]-T_PROD[[#This Row],[EFETIVO]]&lt; 0,0,T_PROD[[#This Row],[PREVISTO]]-T_PROD[[#This Row],[EFETIVO]] ),"")</f>
        <v>0</v>
      </c>
      <c r="J714" s="15">
        <f>IFERROR(IF(T_PROD[[#This Row],[META]]&gt;0,(T_PROD[[#This Row],[META]]/T_PROD[[#This Row],[PREVISTO]]),""),"")</f>
        <v>34</v>
      </c>
      <c r="K714" s="15">
        <f>IFERROR(IF(T_PROD[[#This Row],[PRODUÇÃO]]&gt;0,(T_PROD[[#This Row],[PRODUÇÃO]]/T_PROD[[#This Row],[EFETIVO]]),""),"")</f>
        <v>28.666666666666668</v>
      </c>
    </row>
    <row r="715" spans="1:11" s="6" customFormat="1" x14ac:dyDescent="0.3">
      <c r="A715" s="11">
        <v>46146</v>
      </c>
      <c r="B715" s="12" t="str">
        <f t="shared" si="78"/>
        <v>MAIO</v>
      </c>
      <c r="C715" s="12" t="s">
        <v>17</v>
      </c>
      <c r="D715" s="12" t="s">
        <v>12</v>
      </c>
      <c r="E715" s="13">
        <v>128</v>
      </c>
      <c r="F715" s="13">
        <v>76</v>
      </c>
      <c r="G715" s="12">
        <v>8</v>
      </c>
      <c r="H715" s="14">
        <v>8</v>
      </c>
      <c r="I715" s="12">
        <f>IFERROR(IF(T_PROD[[#This Row],[PREVISTO]]-T_PROD[[#This Row],[EFETIVO]]&lt; 0,0,T_PROD[[#This Row],[PREVISTO]]-T_PROD[[#This Row],[EFETIVO]] ),"")</f>
        <v>0</v>
      </c>
      <c r="J715" s="15">
        <f>IFERROR(IF(T_PROD[[#This Row],[META]]&gt;0,(T_PROD[[#This Row],[META]]/T_PROD[[#This Row],[PREVISTO]]),""),"")</f>
        <v>16</v>
      </c>
      <c r="K715" s="15">
        <f>IFERROR(IF(T_PROD[[#This Row],[PRODUÇÃO]]&gt;0,(T_PROD[[#This Row],[PRODUÇÃO]]/T_PROD[[#This Row],[EFETIVO]]),""),"")</f>
        <v>9.5</v>
      </c>
    </row>
    <row r="716" spans="1:11" s="6" customFormat="1" x14ac:dyDescent="0.3">
      <c r="A716" s="11">
        <v>46146</v>
      </c>
      <c r="B716" s="12" t="str">
        <f t="shared" si="78"/>
        <v>MAIO</v>
      </c>
      <c r="C716" s="12" t="s">
        <v>18</v>
      </c>
      <c r="D716" s="12" t="s">
        <v>12</v>
      </c>
      <c r="E716" s="13"/>
      <c r="F716" s="13"/>
      <c r="G716" s="12"/>
      <c r="H716" s="14"/>
      <c r="I716" s="12">
        <f>IFERROR(IF(T_PROD[[#This Row],[PREVISTO]]-T_PROD[[#This Row],[EFETIVO]]&lt; 0,0,T_PROD[[#This Row],[PREVISTO]]-T_PROD[[#This Row],[EFETIVO]] ),"")</f>
        <v>0</v>
      </c>
      <c r="J716" s="15" t="str">
        <f>IFERROR(IF(T_PROD[[#This Row],[META]]&gt;0,(T_PROD[[#This Row],[META]]/T_PROD[[#This Row],[PREVISTO]]),""),"")</f>
        <v/>
      </c>
      <c r="K716" s="15" t="str">
        <f>IFERROR(IF(T_PROD[[#This Row],[PRODUÇÃO]]&gt;0,(T_PROD[[#This Row],[PRODUÇÃO]]/T_PROD[[#This Row],[EFETIVO]]),""),"")</f>
        <v/>
      </c>
    </row>
    <row r="717" spans="1:11" s="6" customFormat="1" x14ac:dyDescent="0.3">
      <c r="A717" s="11">
        <v>46146</v>
      </c>
      <c r="B717" s="12" t="str">
        <f t="shared" si="78"/>
        <v>MAIO</v>
      </c>
      <c r="C717" s="12" t="s">
        <v>19</v>
      </c>
      <c r="D717" s="12" t="s">
        <v>12</v>
      </c>
      <c r="E717" s="13"/>
      <c r="F717" s="13"/>
      <c r="G717" s="12"/>
      <c r="H717" s="14"/>
      <c r="I717" s="12">
        <f>IFERROR(IF(T_PROD[[#This Row],[PREVISTO]]-T_PROD[[#This Row],[EFETIVO]]&lt; 0,0,T_PROD[[#This Row],[PREVISTO]]-T_PROD[[#This Row],[EFETIVO]] ),"")</f>
        <v>0</v>
      </c>
      <c r="J717" s="15" t="str">
        <f>IFERROR(IF(T_PROD[[#This Row],[META]]&gt;0,(T_PROD[[#This Row],[META]]/T_PROD[[#This Row],[PREVISTO]]),""),"")</f>
        <v/>
      </c>
      <c r="K717" s="15" t="str">
        <f>IFERROR(IF(T_PROD[[#This Row],[PRODUÇÃO]]&gt;0,(T_PROD[[#This Row],[PRODUÇÃO]]/T_PROD[[#This Row],[EFETIVO]]),""),"")</f>
        <v/>
      </c>
    </row>
    <row r="718" spans="1:11" s="6" customFormat="1" x14ac:dyDescent="0.3">
      <c r="A718" s="11">
        <v>46146</v>
      </c>
      <c r="B718" s="12" t="str">
        <f t="shared" si="78"/>
        <v>MAIO</v>
      </c>
      <c r="C718" s="12" t="s">
        <v>20</v>
      </c>
      <c r="D718" s="12" t="s">
        <v>12</v>
      </c>
      <c r="E718" s="13">
        <v>407</v>
      </c>
      <c r="F718" s="13">
        <v>275</v>
      </c>
      <c r="G718" s="12">
        <v>85</v>
      </c>
      <c r="H718" s="14">
        <v>85</v>
      </c>
      <c r="I718" s="12">
        <f>IFERROR(IF(T_PROD[[#This Row],[PREVISTO]]-T_PROD[[#This Row],[EFETIVO]]&lt; 0,0,T_PROD[[#This Row],[PREVISTO]]-T_PROD[[#This Row],[EFETIVO]] ),"")</f>
        <v>0</v>
      </c>
      <c r="J718" s="15">
        <f>IFERROR(IF(T_PROD[[#This Row],[META]]&gt;0,(T_PROD[[#This Row],[META]]/T_PROD[[#This Row],[PREVISTO]]),""),"")</f>
        <v>4.7882352941176469</v>
      </c>
      <c r="K718" s="15">
        <f>IFERROR(IF(T_PROD[[#This Row],[PRODUÇÃO]]&gt;0,(T_PROD[[#This Row],[PRODUÇÃO]]/T_PROD[[#This Row],[EFETIVO]]),""),"")</f>
        <v>3.2352941176470589</v>
      </c>
    </row>
    <row r="719" spans="1:11" s="6" customFormat="1" x14ac:dyDescent="0.3">
      <c r="A719" s="11">
        <v>46146</v>
      </c>
      <c r="B719" s="12" t="str">
        <f t="shared" si="78"/>
        <v>MAIO</v>
      </c>
      <c r="C719" s="12" t="s">
        <v>11</v>
      </c>
      <c r="D719" s="12" t="s">
        <v>12</v>
      </c>
      <c r="E719" s="13">
        <v>420</v>
      </c>
      <c r="F719" s="13">
        <v>450</v>
      </c>
      <c r="G719" s="12">
        <v>21</v>
      </c>
      <c r="H719" s="14">
        <v>21</v>
      </c>
      <c r="I719" s="12">
        <f>IFERROR(IF(T_PROD[[#This Row],[PREVISTO]]-T_PROD[[#This Row],[EFETIVO]]&lt; 0,0,T_PROD[[#This Row],[PREVISTO]]-T_PROD[[#This Row],[EFETIVO]] ),"")</f>
        <v>0</v>
      </c>
      <c r="J719" s="15">
        <f>IFERROR(IF(T_PROD[[#This Row],[META]]&gt;0,(T_PROD[[#This Row],[META]]/T_PROD[[#This Row],[PREVISTO]]),""),"")</f>
        <v>20</v>
      </c>
      <c r="K719" s="15">
        <f>IFERROR(IF(T_PROD[[#This Row],[PRODUÇÃO]]&gt;0,(T_PROD[[#This Row],[PRODUÇÃO]]/T_PROD[[#This Row],[EFETIVO]]),""),"")</f>
        <v>21.428571428571427</v>
      </c>
    </row>
    <row r="720" spans="1:11" s="6" customFormat="1" x14ac:dyDescent="0.3">
      <c r="A720" s="11">
        <v>46146</v>
      </c>
      <c r="B720" s="12" t="str">
        <f t="shared" si="78"/>
        <v>MAIO</v>
      </c>
      <c r="C720" s="12" t="s">
        <v>32</v>
      </c>
      <c r="D720" s="12" t="s">
        <v>12</v>
      </c>
      <c r="E720" s="13"/>
      <c r="F720" s="13"/>
      <c r="G720" s="12"/>
      <c r="H720" s="14"/>
      <c r="I720" s="12">
        <f>IFERROR(IF(T_PROD[[#This Row],[PREVISTO]]-T_PROD[[#This Row],[EFETIVO]]&lt; 0,0,T_PROD[[#This Row],[PREVISTO]]-T_PROD[[#This Row],[EFETIVO]] ),"")</f>
        <v>0</v>
      </c>
      <c r="J720" s="15" t="str">
        <f>IFERROR(IF(T_PROD[[#This Row],[META]]&gt;0,(T_PROD[[#This Row],[META]]/T_PROD[[#This Row],[PREVISTO]]),""),"")</f>
        <v/>
      </c>
      <c r="K720" s="15" t="str">
        <f>IFERROR(IF(T_PROD[[#This Row],[PRODUÇÃO]]&gt;0,(T_PROD[[#This Row],[PRODUÇÃO]]/T_PROD[[#This Row],[EFETIVO]]),""),"")</f>
        <v/>
      </c>
    </row>
    <row r="721" spans="1:11" s="6" customFormat="1" x14ac:dyDescent="0.3">
      <c r="A721" s="11">
        <v>46146</v>
      </c>
      <c r="B721" s="12" t="str">
        <f t="shared" si="78"/>
        <v>MAIO</v>
      </c>
      <c r="C721" s="12" t="s">
        <v>14</v>
      </c>
      <c r="D721" s="12" t="s">
        <v>12</v>
      </c>
      <c r="E721" s="13">
        <v>420</v>
      </c>
      <c r="F721" s="13">
        <v>450</v>
      </c>
      <c r="G721" s="12">
        <v>78</v>
      </c>
      <c r="H721" s="14">
        <v>70</v>
      </c>
      <c r="I721" s="12">
        <f>IFERROR(IF(T_PROD[[#This Row],[PREVISTO]]-T_PROD[[#This Row],[EFETIVO]]&lt; 0,0,T_PROD[[#This Row],[PREVISTO]]-T_PROD[[#This Row],[EFETIVO]] ),"")</f>
        <v>8</v>
      </c>
      <c r="J721" s="15">
        <f>IFERROR(IF(T_PROD[[#This Row],[META]]&gt;0,(T_PROD[[#This Row],[META]]/T_PROD[[#This Row],[PREVISTO]]),""),"")</f>
        <v>5.384615384615385</v>
      </c>
      <c r="K721" s="15">
        <f>IFERROR(IF(T_PROD[[#This Row],[PRODUÇÃO]]&gt;0,(T_PROD[[#This Row],[PRODUÇÃO]]/T_PROD[[#This Row],[EFETIVO]]),""),"")</f>
        <v>6.4285714285714288</v>
      </c>
    </row>
    <row r="722" spans="1:11" s="6" customFormat="1" x14ac:dyDescent="0.3">
      <c r="A722" s="11">
        <v>46147</v>
      </c>
      <c r="B722" s="12" t="str">
        <f t="shared" ref="B722:B730" si="79">UPPER(TEXT(A722,"MMMM"))</f>
        <v>MAIO</v>
      </c>
      <c r="C722" s="12" t="s">
        <v>15</v>
      </c>
      <c r="D722" s="12" t="s">
        <v>12</v>
      </c>
      <c r="E722" s="13">
        <v>75</v>
      </c>
      <c r="F722" s="13">
        <v>54</v>
      </c>
      <c r="G722" s="12">
        <v>5</v>
      </c>
      <c r="H722" s="14">
        <v>5</v>
      </c>
      <c r="I722" s="12">
        <f>IFERROR(IF(T_PROD[[#This Row],[PREVISTO]]-T_PROD[[#This Row],[EFETIVO]]&lt; 0,0,T_PROD[[#This Row],[PREVISTO]]-T_PROD[[#This Row],[EFETIVO]] ),"")</f>
        <v>0</v>
      </c>
      <c r="J722" s="15">
        <f>IFERROR(IF(T_PROD[[#This Row],[META]]&gt;0,(T_PROD[[#This Row],[META]]/T_PROD[[#This Row],[PREVISTO]]),""),"")</f>
        <v>15</v>
      </c>
      <c r="K722" s="15">
        <f>IFERROR(IF(T_PROD[[#This Row],[PRODUÇÃO]]&gt;0,(T_PROD[[#This Row],[PRODUÇÃO]]/T_PROD[[#This Row],[EFETIVO]]),""),"")</f>
        <v>10.8</v>
      </c>
    </row>
    <row r="723" spans="1:11" s="6" customFormat="1" x14ac:dyDescent="0.3">
      <c r="A723" s="11">
        <v>46147</v>
      </c>
      <c r="B723" s="12" t="str">
        <f t="shared" si="79"/>
        <v>MAIO</v>
      </c>
      <c r="C723" s="12" t="s">
        <v>16</v>
      </c>
      <c r="D723" s="12" t="s">
        <v>12</v>
      </c>
      <c r="E723" s="13">
        <v>204</v>
      </c>
      <c r="F723" s="13">
        <v>172</v>
      </c>
      <c r="G723" s="12">
        <v>6</v>
      </c>
      <c r="H723" s="14">
        <v>6</v>
      </c>
      <c r="I723" s="12">
        <f>IFERROR(IF(T_PROD[[#This Row],[PREVISTO]]-T_PROD[[#This Row],[EFETIVO]]&lt; 0,0,T_PROD[[#This Row],[PREVISTO]]-T_PROD[[#This Row],[EFETIVO]] ),"")</f>
        <v>0</v>
      </c>
      <c r="J723" s="15">
        <f>IFERROR(IF(T_PROD[[#This Row],[META]]&gt;0,(T_PROD[[#This Row],[META]]/T_PROD[[#This Row],[PREVISTO]]),""),"")</f>
        <v>34</v>
      </c>
      <c r="K723" s="15">
        <f>IFERROR(IF(T_PROD[[#This Row],[PRODUÇÃO]]&gt;0,(T_PROD[[#This Row],[PRODUÇÃO]]/T_PROD[[#This Row],[EFETIVO]]),""),"")</f>
        <v>28.666666666666668</v>
      </c>
    </row>
    <row r="724" spans="1:11" s="6" customFormat="1" x14ac:dyDescent="0.3">
      <c r="A724" s="11">
        <v>46147</v>
      </c>
      <c r="B724" s="12" t="str">
        <f t="shared" si="79"/>
        <v>MAIO</v>
      </c>
      <c r="C724" s="12" t="s">
        <v>17</v>
      </c>
      <c r="D724" s="12" t="s">
        <v>12</v>
      </c>
      <c r="E724" s="13">
        <v>128</v>
      </c>
      <c r="F724" s="13">
        <v>106</v>
      </c>
      <c r="G724" s="12">
        <v>8</v>
      </c>
      <c r="H724" s="14">
        <v>8</v>
      </c>
      <c r="I724" s="12">
        <f>IFERROR(IF(T_PROD[[#This Row],[PREVISTO]]-T_PROD[[#This Row],[EFETIVO]]&lt; 0,0,T_PROD[[#This Row],[PREVISTO]]-T_PROD[[#This Row],[EFETIVO]] ),"")</f>
        <v>0</v>
      </c>
      <c r="J724" s="15">
        <f>IFERROR(IF(T_PROD[[#This Row],[META]]&gt;0,(T_PROD[[#This Row],[META]]/T_PROD[[#This Row],[PREVISTO]]),""),"")</f>
        <v>16</v>
      </c>
      <c r="K724" s="15">
        <f>IFERROR(IF(T_PROD[[#This Row],[PRODUÇÃO]]&gt;0,(T_PROD[[#This Row],[PRODUÇÃO]]/T_PROD[[#This Row],[EFETIVO]]),""),"")</f>
        <v>13.25</v>
      </c>
    </row>
    <row r="725" spans="1:11" s="6" customFormat="1" x14ac:dyDescent="0.3">
      <c r="A725" s="11">
        <v>46147</v>
      </c>
      <c r="B725" s="12" t="str">
        <f t="shared" si="79"/>
        <v>MAIO</v>
      </c>
      <c r="C725" s="12" t="s">
        <v>18</v>
      </c>
      <c r="D725" s="12" t="s">
        <v>12</v>
      </c>
      <c r="E725" s="13"/>
      <c r="F725" s="13"/>
      <c r="G725" s="12"/>
      <c r="H725" s="14"/>
      <c r="I725" s="12">
        <f>IFERROR(IF(T_PROD[[#This Row],[PREVISTO]]-T_PROD[[#This Row],[EFETIVO]]&lt; 0,0,T_PROD[[#This Row],[PREVISTO]]-T_PROD[[#This Row],[EFETIVO]] ),"")</f>
        <v>0</v>
      </c>
      <c r="J725" s="15" t="str">
        <f>IFERROR(IF(T_PROD[[#This Row],[META]]&gt;0,(T_PROD[[#This Row],[META]]/T_PROD[[#This Row],[PREVISTO]]),""),"")</f>
        <v/>
      </c>
      <c r="K725" s="15" t="str">
        <f>IFERROR(IF(T_PROD[[#This Row],[PRODUÇÃO]]&gt;0,(T_PROD[[#This Row],[PRODUÇÃO]]/T_PROD[[#This Row],[EFETIVO]]),""),"")</f>
        <v/>
      </c>
    </row>
    <row r="726" spans="1:11" s="6" customFormat="1" x14ac:dyDescent="0.3">
      <c r="A726" s="11">
        <v>46147</v>
      </c>
      <c r="B726" s="12" t="str">
        <f t="shared" si="79"/>
        <v>MAIO</v>
      </c>
      <c r="C726" s="12" t="s">
        <v>19</v>
      </c>
      <c r="D726" s="12" t="s">
        <v>12</v>
      </c>
      <c r="E726" s="13"/>
      <c r="F726" s="13"/>
      <c r="G726" s="12"/>
      <c r="H726" s="14"/>
      <c r="I726" s="12">
        <f>IFERROR(IF(T_PROD[[#This Row],[PREVISTO]]-T_PROD[[#This Row],[EFETIVO]]&lt; 0,0,T_PROD[[#This Row],[PREVISTO]]-T_PROD[[#This Row],[EFETIVO]] ),"")</f>
        <v>0</v>
      </c>
      <c r="J726" s="15" t="str">
        <f>IFERROR(IF(T_PROD[[#This Row],[META]]&gt;0,(T_PROD[[#This Row],[META]]/T_PROD[[#This Row],[PREVISTO]]),""),"")</f>
        <v/>
      </c>
      <c r="K726" s="15" t="str">
        <f>IFERROR(IF(T_PROD[[#This Row],[PRODUÇÃO]]&gt;0,(T_PROD[[#This Row],[PRODUÇÃO]]/T_PROD[[#This Row],[EFETIVO]]),""),"")</f>
        <v/>
      </c>
    </row>
    <row r="727" spans="1:11" s="6" customFormat="1" x14ac:dyDescent="0.3">
      <c r="A727" s="11">
        <v>46147</v>
      </c>
      <c r="B727" s="12" t="str">
        <f t="shared" si="79"/>
        <v>MAIO</v>
      </c>
      <c r="C727" s="12" t="s">
        <v>20</v>
      </c>
      <c r="D727" s="12" t="s">
        <v>12</v>
      </c>
      <c r="E727" s="13">
        <v>407</v>
      </c>
      <c r="F727" s="13">
        <v>332</v>
      </c>
      <c r="G727" s="12">
        <v>85</v>
      </c>
      <c r="H727" s="14">
        <v>85</v>
      </c>
      <c r="I727" s="12">
        <f>IFERROR(IF(T_PROD[[#This Row],[PREVISTO]]-T_PROD[[#This Row],[EFETIVO]]&lt; 0,0,T_PROD[[#This Row],[PREVISTO]]-T_PROD[[#This Row],[EFETIVO]] ),"")</f>
        <v>0</v>
      </c>
      <c r="J727" s="15">
        <f>IFERROR(IF(T_PROD[[#This Row],[META]]&gt;0,(T_PROD[[#This Row],[META]]/T_PROD[[#This Row],[PREVISTO]]),""),"")</f>
        <v>4.7882352941176469</v>
      </c>
      <c r="K727" s="15">
        <f>IFERROR(IF(T_PROD[[#This Row],[PRODUÇÃO]]&gt;0,(T_PROD[[#This Row],[PRODUÇÃO]]/T_PROD[[#This Row],[EFETIVO]]),""),"")</f>
        <v>3.9058823529411764</v>
      </c>
    </row>
    <row r="728" spans="1:11" s="6" customFormat="1" x14ac:dyDescent="0.3">
      <c r="A728" s="11">
        <v>46147</v>
      </c>
      <c r="B728" s="12" t="str">
        <f t="shared" si="79"/>
        <v>MAIO</v>
      </c>
      <c r="C728" s="12" t="s">
        <v>11</v>
      </c>
      <c r="D728" s="12" t="s">
        <v>12</v>
      </c>
      <c r="E728" s="13">
        <v>460</v>
      </c>
      <c r="F728" s="13">
        <v>480</v>
      </c>
      <c r="G728" s="12">
        <v>23</v>
      </c>
      <c r="H728" s="14">
        <v>23</v>
      </c>
      <c r="I728" s="12">
        <f>IFERROR(IF(T_PROD[[#This Row],[PREVISTO]]-T_PROD[[#This Row],[EFETIVO]]&lt; 0,0,T_PROD[[#This Row],[PREVISTO]]-T_PROD[[#This Row],[EFETIVO]] ),"")</f>
        <v>0</v>
      </c>
      <c r="J728" s="15">
        <f>IFERROR(IF(T_PROD[[#This Row],[META]]&gt;0,(T_PROD[[#This Row],[META]]/T_PROD[[#This Row],[PREVISTO]]),""),"")</f>
        <v>20</v>
      </c>
      <c r="K728" s="15">
        <f>IFERROR(IF(T_PROD[[#This Row],[PRODUÇÃO]]&gt;0,(T_PROD[[#This Row],[PRODUÇÃO]]/T_PROD[[#This Row],[EFETIVO]]),""),"")</f>
        <v>20.869565217391305</v>
      </c>
    </row>
    <row r="729" spans="1:11" s="6" customFormat="1" x14ac:dyDescent="0.3">
      <c r="A729" s="11">
        <v>46147</v>
      </c>
      <c r="B729" s="12" t="str">
        <f t="shared" si="79"/>
        <v>MAIO</v>
      </c>
      <c r="C729" s="12" t="s">
        <v>32</v>
      </c>
      <c r="D729" s="12" t="s">
        <v>12</v>
      </c>
      <c r="E729" s="13"/>
      <c r="F729" s="13"/>
      <c r="G729" s="12"/>
      <c r="H729" s="14"/>
      <c r="I729" s="12"/>
      <c r="J729" s="15"/>
      <c r="K729" s="15"/>
    </row>
    <row r="730" spans="1:11" s="6" customFormat="1" x14ac:dyDescent="0.3">
      <c r="A730" s="11">
        <v>46147</v>
      </c>
      <c r="B730" s="12" t="str">
        <f t="shared" si="79"/>
        <v>MAIO</v>
      </c>
      <c r="C730" s="12" t="s">
        <v>14</v>
      </c>
      <c r="D730" s="12" t="s">
        <v>12</v>
      </c>
      <c r="E730" s="13">
        <v>460</v>
      </c>
      <c r="F730" s="13">
        <v>480</v>
      </c>
      <c r="G730" s="12">
        <v>78</v>
      </c>
      <c r="H730" s="14">
        <v>70</v>
      </c>
      <c r="I730" s="12">
        <f>IFERROR(IF(T_PROD[[#This Row],[PREVISTO]]-T_PROD[[#This Row],[EFETIVO]]&lt; 0,0,T_PROD[[#This Row],[PREVISTO]]-T_PROD[[#This Row],[EFETIVO]] ),"")</f>
        <v>8</v>
      </c>
      <c r="J730" s="15">
        <f>IFERROR(IF(T_PROD[[#This Row],[META]]&gt;0,(T_PROD[[#This Row],[META]]/T_PROD[[#This Row],[PREVISTO]]),""),"")</f>
        <v>5.8974358974358978</v>
      </c>
      <c r="K730" s="15">
        <f>IFERROR(IF(T_PROD[[#This Row],[PRODUÇÃO]]&gt;0,(T_PROD[[#This Row],[PRODUÇÃO]]/T_PROD[[#This Row],[EFETIVO]]),""),"")</f>
        <v>6.8571428571428568</v>
      </c>
    </row>
    <row r="731" spans="1:11" s="6" customFormat="1" x14ac:dyDescent="0.3">
      <c r="A731" s="11">
        <v>46148</v>
      </c>
      <c r="B731" s="12" t="str">
        <f>UPPER(TEXT(A731,"MMMM"))</f>
        <v>MAIO</v>
      </c>
      <c r="C731" s="12" t="s">
        <v>15</v>
      </c>
      <c r="D731" s="12" t="s">
        <v>12</v>
      </c>
      <c r="E731" s="13">
        <v>67.5</v>
      </c>
      <c r="F731" s="13">
        <v>59</v>
      </c>
      <c r="G731" s="12">
        <v>4.5</v>
      </c>
      <c r="H731" s="14">
        <v>4.5</v>
      </c>
      <c r="I731" s="12">
        <f>IFERROR(IF(T_PROD[[#This Row],[PREVISTO]]-T_PROD[[#This Row],[EFETIVO]]&lt; 0,0,T_PROD[[#This Row],[PREVISTO]]-T_PROD[[#This Row],[EFETIVO]] ),"")</f>
        <v>0</v>
      </c>
      <c r="J731" s="15">
        <f>IFERROR(IF(T_PROD[[#This Row],[META]]&gt;0,(T_PROD[[#This Row],[META]]/T_PROD[[#This Row],[PREVISTO]]),""),"")</f>
        <v>15</v>
      </c>
      <c r="K731" s="15">
        <f>IFERROR(IF(T_PROD[[#This Row],[PRODUÇÃO]]&gt;0,(T_PROD[[#This Row],[PRODUÇÃO]]/T_PROD[[#This Row],[EFETIVO]]),""),"")</f>
        <v>13.111111111111111</v>
      </c>
    </row>
    <row r="732" spans="1:11" s="6" customFormat="1" x14ac:dyDescent="0.3">
      <c r="A732" s="11">
        <v>46148</v>
      </c>
      <c r="B732" s="12" t="str">
        <f t="shared" ref="B732:B739" si="80">UPPER(TEXT(A732,"MMMM"))</f>
        <v>MAIO</v>
      </c>
      <c r="C732" s="12" t="s">
        <v>16</v>
      </c>
      <c r="D732" s="12" t="s">
        <v>12</v>
      </c>
      <c r="E732" s="13">
        <v>187</v>
      </c>
      <c r="F732" s="13">
        <v>188</v>
      </c>
      <c r="G732" s="12">
        <v>5.5</v>
      </c>
      <c r="H732" s="14">
        <v>5.5</v>
      </c>
      <c r="I732" s="12">
        <f>IFERROR(IF(T_PROD[[#This Row],[PREVISTO]]-T_PROD[[#This Row],[EFETIVO]]&lt; 0,0,T_PROD[[#This Row],[PREVISTO]]-T_PROD[[#This Row],[EFETIVO]] ),"")</f>
        <v>0</v>
      </c>
      <c r="J732" s="15">
        <f>IFERROR(IF(T_PROD[[#This Row],[META]]&gt;0,(T_PROD[[#This Row],[META]]/T_PROD[[#This Row],[PREVISTO]]),""),"")</f>
        <v>34</v>
      </c>
      <c r="K732" s="15">
        <f>IFERROR(IF(T_PROD[[#This Row],[PRODUÇÃO]]&gt;0,(T_PROD[[#This Row],[PRODUÇÃO]]/T_PROD[[#This Row],[EFETIVO]]),""),"")</f>
        <v>34.18181818181818</v>
      </c>
    </row>
    <row r="733" spans="1:11" s="6" customFormat="1" x14ac:dyDescent="0.3">
      <c r="A733" s="11">
        <v>46148</v>
      </c>
      <c r="B733" s="12" t="str">
        <f t="shared" si="80"/>
        <v>MAIO</v>
      </c>
      <c r="C733" s="12" t="s">
        <v>17</v>
      </c>
      <c r="D733" s="12" t="s">
        <v>12</v>
      </c>
      <c r="E733" s="13">
        <v>128</v>
      </c>
      <c r="F733" s="13">
        <v>54</v>
      </c>
      <c r="G733" s="12">
        <v>8</v>
      </c>
      <c r="H733" s="14">
        <v>8</v>
      </c>
      <c r="I733" s="12">
        <f>IFERROR(IF(T_PROD[[#This Row],[PREVISTO]]-T_PROD[[#This Row],[EFETIVO]]&lt; 0,0,T_PROD[[#This Row],[PREVISTO]]-T_PROD[[#This Row],[EFETIVO]] ),"")</f>
        <v>0</v>
      </c>
      <c r="J733" s="15">
        <f>IFERROR(IF(T_PROD[[#This Row],[META]]&gt;0,(T_PROD[[#This Row],[META]]/T_PROD[[#This Row],[PREVISTO]]),""),"")</f>
        <v>16</v>
      </c>
      <c r="K733" s="15">
        <f>IFERROR(IF(T_PROD[[#This Row],[PRODUÇÃO]]&gt;0,(T_PROD[[#This Row],[PRODUÇÃO]]/T_PROD[[#This Row],[EFETIVO]]),""),"")</f>
        <v>6.75</v>
      </c>
    </row>
    <row r="734" spans="1:11" s="6" customFormat="1" x14ac:dyDescent="0.3">
      <c r="A734" s="11">
        <v>46148</v>
      </c>
      <c r="B734" s="12" t="str">
        <f t="shared" si="80"/>
        <v>MAIO</v>
      </c>
      <c r="C734" s="12" t="s">
        <v>18</v>
      </c>
      <c r="D734" s="12" t="s">
        <v>12</v>
      </c>
      <c r="E734" s="13"/>
      <c r="F734" s="13"/>
      <c r="G734" s="12"/>
      <c r="H734" s="14"/>
      <c r="I734" s="12">
        <f>IFERROR(IF(T_PROD[[#This Row],[PREVISTO]]-T_PROD[[#This Row],[EFETIVO]]&lt; 0,0,T_PROD[[#This Row],[PREVISTO]]-T_PROD[[#This Row],[EFETIVO]] ),"")</f>
        <v>0</v>
      </c>
      <c r="J734" s="15" t="str">
        <f>IFERROR(IF(T_PROD[[#This Row],[META]]&gt;0,(T_PROD[[#This Row],[META]]/T_PROD[[#This Row],[PREVISTO]]),""),"")</f>
        <v/>
      </c>
      <c r="K734" s="15" t="str">
        <f>IFERROR(IF(T_PROD[[#This Row],[PRODUÇÃO]]&gt;0,(T_PROD[[#This Row],[PRODUÇÃO]]/T_PROD[[#This Row],[EFETIVO]]),""),"")</f>
        <v/>
      </c>
    </row>
    <row r="735" spans="1:11" s="6" customFormat="1" x14ac:dyDescent="0.3">
      <c r="A735" s="11">
        <v>46148</v>
      </c>
      <c r="B735" s="12" t="str">
        <f t="shared" si="80"/>
        <v>MAIO</v>
      </c>
      <c r="C735" s="12" t="s">
        <v>19</v>
      </c>
      <c r="D735" s="12" t="s">
        <v>12</v>
      </c>
      <c r="E735" s="13"/>
      <c r="F735" s="13"/>
      <c r="G735" s="12"/>
      <c r="H735" s="14"/>
      <c r="I735" s="12">
        <f>IFERROR(IF(T_PROD[[#This Row],[PREVISTO]]-T_PROD[[#This Row],[EFETIVO]]&lt; 0,0,T_PROD[[#This Row],[PREVISTO]]-T_PROD[[#This Row],[EFETIVO]] ),"")</f>
        <v>0</v>
      </c>
      <c r="J735" s="15" t="str">
        <f>IFERROR(IF(T_PROD[[#This Row],[META]]&gt;0,(T_PROD[[#This Row],[META]]/T_PROD[[#This Row],[PREVISTO]]),""),"")</f>
        <v/>
      </c>
      <c r="K735" s="15" t="str">
        <f>IFERROR(IF(T_PROD[[#This Row],[PRODUÇÃO]]&gt;0,(T_PROD[[#This Row],[PRODUÇÃO]]/T_PROD[[#This Row],[EFETIVO]]),""),"")</f>
        <v/>
      </c>
    </row>
    <row r="736" spans="1:11" s="6" customFormat="1" x14ac:dyDescent="0.3">
      <c r="A736" s="11">
        <v>46148</v>
      </c>
      <c r="B736" s="12" t="str">
        <f t="shared" si="80"/>
        <v>MAIO</v>
      </c>
      <c r="C736" s="12" t="s">
        <v>20</v>
      </c>
      <c r="D736" s="12" t="s">
        <v>12</v>
      </c>
      <c r="E736" s="13">
        <v>383</v>
      </c>
      <c r="F736" s="13">
        <v>301</v>
      </c>
      <c r="G736" s="12">
        <v>90</v>
      </c>
      <c r="H736" s="14">
        <v>90</v>
      </c>
      <c r="I736" s="12">
        <f>IFERROR(IF(T_PROD[[#This Row],[PREVISTO]]-T_PROD[[#This Row],[EFETIVO]]&lt; 0,0,T_PROD[[#This Row],[PREVISTO]]-T_PROD[[#This Row],[EFETIVO]] ),"")</f>
        <v>0</v>
      </c>
      <c r="J736" s="15">
        <f>IFERROR(IF(T_PROD[[#This Row],[META]]&gt;0,(T_PROD[[#This Row],[META]]/T_PROD[[#This Row],[PREVISTO]]),""),"")</f>
        <v>4.2555555555555555</v>
      </c>
      <c r="K736" s="15">
        <f>IFERROR(IF(T_PROD[[#This Row],[PRODUÇÃO]]&gt;0,(T_PROD[[#This Row],[PRODUÇÃO]]/T_PROD[[#This Row],[EFETIVO]]),""),"")</f>
        <v>3.3444444444444446</v>
      </c>
    </row>
    <row r="737" spans="1:11" s="6" customFormat="1" x14ac:dyDescent="0.3">
      <c r="A737" s="11">
        <v>46148</v>
      </c>
      <c r="B737" s="12" t="str">
        <f t="shared" si="80"/>
        <v>MAIO</v>
      </c>
      <c r="C737" s="12" t="s">
        <v>11</v>
      </c>
      <c r="D737" s="12" t="s">
        <v>12</v>
      </c>
      <c r="E737" s="13">
        <v>460</v>
      </c>
      <c r="F737" s="13">
        <v>480</v>
      </c>
      <c r="G737" s="12">
        <v>23</v>
      </c>
      <c r="H737" s="14">
        <v>23</v>
      </c>
      <c r="I737" s="12">
        <f>IFERROR(IF(T_PROD[[#This Row],[PREVISTO]]-T_PROD[[#This Row],[EFETIVO]]&lt; 0,0,T_PROD[[#This Row],[PREVISTO]]-T_PROD[[#This Row],[EFETIVO]] ),"")</f>
        <v>0</v>
      </c>
      <c r="J737" s="15">
        <f>IFERROR(IF(T_PROD[[#This Row],[META]]&gt;0,(T_PROD[[#This Row],[META]]/T_PROD[[#This Row],[PREVISTO]]),""),"")</f>
        <v>20</v>
      </c>
      <c r="K737" s="15">
        <f>IFERROR(IF(T_PROD[[#This Row],[PRODUÇÃO]]&gt;0,(T_PROD[[#This Row],[PRODUÇÃO]]/T_PROD[[#This Row],[EFETIVO]]),""),"")</f>
        <v>20.869565217391305</v>
      </c>
    </row>
    <row r="738" spans="1:11" s="6" customFormat="1" x14ac:dyDescent="0.3">
      <c r="A738" s="11">
        <v>46148</v>
      </c>
      <c r="B738" s="12" t="str">
        <f t="shared" si="80"/>
        <v>MAIO</v>
      </c>
      <c r="C738" s="12" t="s">
        <v>32</v>
      </c>
      <c r="D738" s="12" t="s">
        <v>12</v>
      </c>
      <c r="E738" s="13"/>
      <c r="F738" s="13"/>
      <c r="G738" s="12"/>
      <c r="H738" s="14"/>
      <c r="I738" s="12">
        <f>IFERROR(IF(T_PROD[[#This Row],[PREVISTO]]-T_PROD[[#This Row],[EFETIVO]]&lt; 0,0,T_PROD[[#This Row],[PREVISTO]]-T_PROD[[#This Row],[EFETIVO]] ),"")</f>
        <v>0</v>
      </c>
      <c r="J738" s="15" t="str">
        <f>IFERROR(IF(T_PROD[[#This Row],[META]]&gt;0,(T_PROD[[#This Row],[META]]/T_PROD[[#This Row],[PREVISTO]]),""),"")</f>
        <v/>
      </c>
      <c r="K738" s="15" t="str">
        <f>IFERROR(IF(T_PROD[[#This Row],[PRODUÇÃO]]&gt;0,(T_PROD[[#This Row],[PRODUÇÃO]]/T_PROD[[#This Row],[EFETIVO]]),""),"")</f>
        <v/>
      </c>
    </row>
    <row r="739" spans="1:11" s="6" customFormat="1" x14ac:dyDescent="0.3">
      <c r="A739" s="11">
        <v>46148</v>
      </c>
      <c r="B739" s="12" t="str">
        <f t="shared" si="80"/>
        <v>MAIO</v>
      </c>
      <c r="C739" s="12" t="s">
        <v>14</v>
      </c>
      <c r="D739" s="12" t="s">
        <v>12</v>
      </c>
      <c r="E739" s="13">
        <v>460</v>
      </c>
      <c r="F739" s="13">
        <v>480</v>
      </c>
      <c r="G739" s="12">
        <v>79</v>
      </c>
      <c r="H739" s="14">
        <v>79</v>
      </c>
      <c r="I739" s="12">
        <f>IFERROR(IF(T_PROD[[#This Row],[PREVISTO]]-T_PROD[[#This Row],[EFETIVO]]&lt; 0,0,T_PROD[[#This Row],[PREVISTO]]-T_PROD[[#This Row],[EFETIVO]] ),"")</f>
        <v>0</v>
      </c>
      <c r="J739" s="15">
        <f>IFERROR(IF(T_PROD[[#This Row],[META]]&gt;0,(T_PROD[[#This Row],[META]]/T_PROD[[#This Row],[PREVISTO]]),""),"")</f>
        <v>5.8227848101265822</v>
      </c>
      <c r="K739" s="15">
        <f>IFERROR(IF(T_PROD[[#This Row],[PRODUÇÃO]]&gt;0,(T_PROD[[#This Row],[PRODUÇÃO]]/T_PROD[[#This Row],[EFETIVO]]),""),"")</f>
        <v>6.075949367088608</v>
      </c>
    </row>
    <row r="740" spans="1:11" s="6" customFormat="1" x14ac:dyDescent="0.3">
      <c r="A740" s="11">
        <v>46149</v>
      </c>
      <c r="B740" s="12" t="str">
        <f>UPPER(TEXT(A740,"MMMM"))</f>
        <v>MAIO</v>
      </c>
      <c r="C740" s="12" t="s">
        <v>15</v>
      </c>
      <c r="D740" s="12" t="s">
        <v>12</v>
      </c>
      <c r="E740" s="13">
        <v>60</v>
      </c>
      <c r="F740" s="13">
        <v>37</v>
      </c>
      <c r="G740" s="12">
        <v>4</v>
      </c>
      <c r="H740" s="14">
        <v>4</v>
      </c>
      <c r="I740" s="12">
        <f>IFERROR(IF(T_PROD[[#This Row],[PREVISTO]]-T_PROD[[#This Row],[EFETIVO]]&lt; 0,0,T_PROD[[#This Row],[PREVISTO]]-T_PROD[[#This Row],[EFETIVO]] ),"")</f>
        <v>0</v>
      </c>
      <c r="J740" s="15">
        <f>IFERROR(IF(T_PROD[[#This Row],[META]]&gt;0,(T_PROD[[#This Row],[META]]/T_PROD[[#This Row],[PREVISTO]]),""),"")</f>
        <v>15</v>
      </c>
      <c r="K740" s="15">
        <f>IFERROR(IF(T_PROD[[#This Row],[PRODUÇÃO]]&gt;0,(T_PROD[[#This Row],[PRODUÇÃO]]/T_PROD[[#This Row],[EFETIVO]]),""),"")</f>
        <v>9.25</v>
      </c>
    </row>
    <row r="741" spans="1:11" s="6" customFormat="1" x14ac:dyDescent="0.3">
      <c r="A741" s="11">
        <v>46149</v>
      </c>
      <c r="B741" s="12" t="str">
        <f t="shared" ref="B741:B748" si="81">UPPER(TEXT(A741,"MMMM"))</f>
        <v>MAIO</v>
      </c>
      <c r="C741" s="12" t="s">
        <v>16</v>
      </c>
      <c r="D741" s="12" t="s">
        <v>12</v>
      </c>
      <c r="E741" s="13">
        <v>187</v>
      </c>
      <c r="F741" s="13">
        <v>184</v>
      </c>
      <c r="G741" s="12">
        <v>5.5</v>
      </c>
      <c r="H741" s="14">
        <v>5.5</v>
      </c>
      <c r="I741" s="12">
        <f>IFERROR(IF(T_PROD[[#This Row],[PREVISTO]]-T_PROD[[#This Row],[EFETIVO]]&lt; 0,0,T_PROD[[#This Row],[PREVISTO]]-T_PROD[[#This Row],[EFETIVO]] ),"")</f>
        <v>0</v>
      </c>
      <c r="J741" s="15">
        <f>IFERROR(IF(T_PROD[[#This Row],[META]]&gt;0,(T_PROD[[#This Row],[META]]/T_PROD[[#This Row],[PREVISTO]]),""),"")</f>
        <v>34</v>
      </c>
      <c r="K741" s="15">
        <f>IFERROR(IF(T_PROD[[#This Row],[PRODUÇÃO]]&gt;0,(T_PROD[[#This Row],[PRODUÇÃO]]/T_PROD[[#This Row],[EFETIVO]]),""),"")</f>
        <v>33.454545454545453</v>
      </c>
    </row>
    <row r="742" spans="1:11" s="6" customFormat="1" x14ac:dyDescent="0.3">
      <c r="A742" s="11">
        <v>46149</v>
      </c>
      <c r="B742" s="12" t="str">
        <f t="shared" si="81"/>
        <v>MAIO</v>
      </c>
      <c r="C742" s="12" t="s">
        <v>17</v>
      </c>
      <c r="D742" s="12" t="s">
        <v>12</v>
      </c>
      <c r="E742" s="13">
        <v>160</v>
      </c>
      <c r="F742" s="13">
        <v>142</v>
      </c>
      <c r="G742" s="12">
        <v>10</v>
      </c>
      <c r="H742" s="14">
        <v>10</v>
      </c>
      <c r="I742" s="12">
        <f>IFERROR(IF(T_PROD[[#This Row],[PREVISTO]]-T_PROD[[#This Row],[EFETIVO]]&lt; 0,0,T_PROD[[#This Row],[PREVISTO]]-T_PROD[[#This Row],[EFETIVO]] ),"")</f>
        <v>0</v>
      </c>
      <c r="J742" s="15">
        <f>IFERROR(IF(T_PROD[[#This Row],[META]]&gt;0,(T_PROD[[#This Row],[META]]/T_PROD[[#This Row],[PREVISTO]]),""),"")</f>
        <v>16</v>
      </c>
      <c r="K742" s="15">
        <f>IFERROR(IF(T_PROD[[#This Row],[PRODUÇÃO]]&gt;0,(T_PROD[[#This Row],[PRODUÇÃO]]/T_PROD[[#This Row],[EFETIVO]]),""),"")</f>
        <v>14.2</v>
      </c>
    </row>
    <row r="743" spans="1:11" s="6" customFormat="1" x14ac:dyDescent="0.3">
      <c r="A743" s="11">
        <v>46149</v>
      </c>
      <c r="B743" s="12" t="str">
        <f t="shared" si="81"/>
        <v>MAIO</v>
      </c>
      <c r="C743" s="12" t="s">
        <v>18</v>
      </c>
      <c r="D743" s="12" t="s">
        <v>12</v>
      </c>
      <c r="E743" s="13"/>
      <c r="F743" s="13"/>
      <c r="G743" s="12"/>
      <c r="H743" s="14"/>
      <c r="I743" s="12">
        <f>IFERROR(IF(T_PROD[[#This Row],[PREVISTO]]-T_PROD[[#This Row],[EFETIVO]]&lt; 0,0,T_PROD[[#This Row],[PREVISTO]]-T_PROD[[#This Row],[EFETIVO]] ),"")</f>
        <v>0</v>
      </c>
      <c r="J743" s="15" t="str">
        <f>IFERROR(IF(T_PROD[[#This Row],[META]]&gt;0,(T_PROD[[#This Row],[META]]/T_PROD[[#This Row],[PREVISTO]]),""),"")</f>
        <v/>
      </c>
      <c r="K743" s="15" t="str">
        <f>IFERROR(IF(T_PROD[[#This Row],[PRODUÇÃO]]&gt;0,(T_PROD[[#This Row],[PRODUÇÃO]]/T_PROD[[#This Row],[EFETIVO]]),""),"")</f>
        <v/>
      </c>
    </row>
    <row r="744" spans="1:11" s="6" customFormat="1" x14ac:dyDescent="0.3">
      <c r="A744" s="11">
        <v>46149</v>
      </c>
      <c r="B744" s="12" t="str">
        <f t="shared" si="81"/>
        <v>MAIO</v>
      </c>
      <c r="C744" s="12" t="s">
        <v>19</v>
      </c>
      <c r="D744" s="12" t="s">
        <v>12</v>
      </c>
      <c r="E744" s="13"/>
      <c r="F744" s="13"/>
      <c r="G744" s="12"/>
      <c r="H744" s="14"/>
      <c r="I744" s="12">
        <f>IFERROR(IF(T_PROD[[#This Row],[PREVISTO]]-T_PROD[[#This Row],[EFETIVO]]&lt; 0,0,T_PROD[[#This Row],[PREVISTO]]-T_PROD[[#This Row],[EFETIVO]] ),"")</f>
        <v>0</v>
      </c>
      <c r="J744" s="15" t="str">
        <f>IFERROR(IF(T_PROD[[#This Row],[META]]&gt;0,(T_PROD[[#This Row],[META]]/T_PROD[[#This Row],[PREVISTO]]),""),"")</f>
        <v/>
      </c>
      <c r="K744" s="15" t="str">
        <f>IFERROR(IF(T_PROD[[#This Row],[PRODUÇÃO]]&gt;0,(T_PROD[[#This Row],[PRODUÇÃO]]/T_PROD[[#This Row],[EFETIVO]]),""),"")</f>
        <v/>
      </c>
    </row>
    <row r="745" spans="1:11" s="6" customFormat="1" x14ac:dyDescent="0.3">
      <c r="A745" s="11">
        <v>46149</v>
      </c>
      <c r="B745" s="12" t="str">
        <f t="shared" si="81"/>
        <v>MAIO</v>
      </c>
      <c r="C745" s="12" t="s">
        <v>20</v>
      </c>
      <c r="D745" s="12" t="s">
        <v>12</v>
      </c>
      <c r="E745" s="13">
        <v>407</v>
      </c>
      <c r="F745" s="13">
        <v>363</v>
      </c>
      <c r="G745" s="12">
        <v>90</v>
      </c>
      <c r="H745" s="14">
        <v>90</v>
      </c>
      <c r="I745" s="12">
        <f>IFERROR(IF(T_PROD[[#This Row],[PREVISTO]]-T_PROD[[#This Row],[EFETIVO]]&lt; 0,0,T_PROD[[#This Row],[PREVISTO]]-T_PROD[[#This Row],[EFETIVO]] ),"")</f>
        <v>0</v>
      </c>
      <c r="J745" s="15">
        <f>IFERROR(IF(T_PROD[[#This Row],[META]]&gt;0,(T_PROD[[#This Row],[META]]/T_PROD[[#This Row],[PREVISTO]]),""),"")</f>
        <v>4.5222222222222221</v>
      </c>
      <c r="K745" s="15">
        <f>IFERROR(IF(T_PROD[[#This Row],[PRODUÇÃO]]&gt;0,(T_PROD[[#This Row],[PRODUÇÃO]]/T_PROD[[#This Row],[EFETIVO]]),""),"")</f>
        <v>4.0333333333333332</v>
      </c>
    </row>
    <row r="746" spans="1:11" s="6" customFormat="1" x14ac:dyDescent="0.3">
      <c r="A746" s="11">
        <v>46149</v>
      </c>
      <c r="B746" s="12" t="str">
        <f t="shared" si="81"/>
        <v>MAIO</v>
      </c>
      <c r="C746" s="12" t="s">
        <v>11</v>
      </c>
      <c r="D746" s="12" t="s">
        <v>12</v>
      </c>
      <c r="E746" s="13">
        <v>460</v>
      </c>
      <c r="F746" s="13">
        <v>490</v>
      </c>
      <c r="G746" s="12">
        <v>23</v>
      </c>
      <c r="H746" s="14">
        <v>23</v>
      </c>
      <c r="I746" s="12">
        <f>IFERROR(IF(T_PROD[[#This Row],[PREVISTO]]-T_PROD[[#This Row],[EFETIVO]]&lt; 0,0,T_PROD[[#This Row],[PREVISTO]]-T_PROD[[#This Row],[EFETIVO]] ),"")</f>
        <v>0</v>
      </c>
      <c r="J746" s="15">
        <f>IFERROR(IF(T_PROD[[#This Row],[META]]&gt;0,(T_PROD[[#This Row],[META]]/T_PROD[[#This Row],[PREVISTO]]),""),"")</f>
        <v>20</v>
      </c>
      <c r="K746" s="15">
        <f>IFERROR(IF(T_PROD[[#This Row],[PRODUÇÃO]]&gt;0,(T_PROD[[#This Row],[PRODUÇÃO]]/T_PROD[[#This Row],[EFETIVO]]),""),"")</f>
        <v>21.304347826086957</v>
      </c>
    </row>
    <row r="747" spans="1:11" s="6" customFormat="1" x14ac:dyDescent="0.3">
      <c r="A747" s="11">
        <v>46149</v>
      </c>
      <c r="B747" s="12" t="str">
        <f t="shared" si="81"/>
        <v>MAIO</v>
      </c>
      <c r="C747" s="12" t="s">
        <v>32</v>
      </c>
      <c r="D747" s="12" t="s">
        <v>12</v>
      </c>
      <c r="E747" s="13">
        <v>66</v>
      </c>
      <c r="F747" s="13">
        <v>81</v>
      </c>
      <c r="G747" s="12">
        <v>5</v>
      </c>
      <c r="H747" s="14">
        <v>5</v>
      </c>
      <c r="I747" s="12">
        <f>IFERROR(IF(T_PROD[[#This Row],[PREVISTO]]-T_PROD[[#This Row],[EFETIVO]]&lt; 0,0,T_PROD[[#This Row],[PREVISTO]]-T_PROD[[#This Row],[EFETIVO]] ),"")</f>
        <v>0</v>
      </c>
      <c r="J747" s="15">
        <f>IFERROR(IF(T_PROD[[#This Row],[META]]&gt;0,(T_PROD[[#This Row],[META]]/T_PROD[[#This Row],[PREVISTO]]),""),"")</f>
        <v>13.2</v>
      </c>
      <c r="K747" s="15">
        <f>IFERROR(IF(T_PROD[[#This Row],[PRODUÇÃO]]&gt;0,(T_PROD[[#This Row],[PRODUÇÃO]]/T_PROD[[#This Row],[EFETIVO]]),""),"")</f>
        <v>16.2</v>
      </c>
    </row>
    <row r="748" spans="1:11" s="6" customFormat="1" x14ac:dyDescent="0.3">
      <c r="A748" s="11">
        <v>46149</v>
      </c>
      <c r="B748" s="12" t="str">
        <f t="shared" si="81"/>
        <v>MAIO</v>
      </c>
      <c r="C748" s="12" t="s">
        <v>14</v>
      </c>
      <c r="D748" s="12" t="s">
        <v>12</v>
      </c>
      <c r="E748" s="13">
        <v>526</v>
      </c>
      <c r="F748" s="13">
        <v>571</v>
      </c>
      <c r="G748" s="12">
        <v>79</v>
      </c>
      <c r="H748" s="14">
        <v>79</v>
      </c>
      <c r="I748" s="12">
        <f>IFERROR(IF(T_PROD[[#This Row],[PREVISTO]]-T_PROD[[#This Row],[EFETIVO]]&lt; 0,0,T_PROD[[#This Row],[PREVISTO]]-T_PROD[[#This Row],[EFETIVO]] ),"")</f>
        <v>0</v>
      </c>
      <c r="J748" s="15">
        <f>IFERROR(IF(T_PROD[[#This Row],[META]]&gt;0,(T_PROD[[#This Row],[META]]/T_PROD[[#This Row],[PREVISTO]]),""),"")</f>
        <v>6.6582278481012658</v>
      </c>
      <c r="K748" s="15">
        <f>IFERROR(IF(T_PROD[[#This Row],[PRODUÇÃO]]&gt;0,(T_PROD[[#This Row],[PRODUÇÃO]]/T_PROD[[#This Row],[EFETIVO]]),""),"")</f>
        <v>7.2278481012658231</v>
      </c>
    </row>
    <row r="749" spans="1:11" s="6" customFormat="1" x14ac:dyDescent="0.3">
      <c r="A749" s="11">
        <v>46150</v>
      </c>
      <c r="B749" s="12" t="str">
        <f>UPPER(TEXT(A749,"MMMM"))</f>
        <v>MAIO</v>
      </c>
      <c r="C749" s="12" t="s">
        <v>15</v>
      </c>
      <c r="D749" s="12" t="s">
        <v>12</v>
      </c>
      <c r="E749" s="13">
        <v>60</v>
      </c>
      <c r="F749" s="13">
        <v>57</v>
      </c>
      <c r="G749" s="12">
        <v>4</v>
      </c>
      <c r="H749" s="14">
        <v>4</v>
      </c>
      <c r="I749" s="12">
        <f>IFERROR(IF(T_PROD[[#This Row],[PREVISTO]]-T_PROD[[#This Row],[EFETIVO]]&lt; 0,0,T_PROD[[#This Row],[PREVISTO]]-T_PROD[[#This Row],[EFETIVO]] ),"")</f>
        <v>0</v>
      </c>
      <c r="J749" s="15">
        <f>IFERROR(IF(T_PROD[[#This Row],[META]]&gt;0,(T_PROD[[#This Row],[META]]/T_PROD[[#This Row],[PREVISTO]]),""),"")</f>
        <v>15</v>
      </c>
      <c r="K749" s="15">
        <f>IFERROR(IF(T_PROD[[#This Row],[PRODUÇÃO]]&gt;0,(T_PROD[[#This Row],[PRODUÇÃO]]/T_PROD[[#This Row],[EFETIVO]]),""),"")</f>
        <v>14.25</v>
      </c>
    </row>
    <row r="750" spans="1:11" s="6" customFormat="1" x14ac:dyDescent="0.3">
      <c r="A750" s="11">
        <v>46150</v>
      </c>
      <c r="B750" s="12" t="str">
        <f t="shared" ref="B750:B757" si="82">UPPER(TEXT(A750,"MMMM"))</f>
        <v>MAIO</v>
      </c>
      <c r="C750" s="12" t="s">
        <v>16</v>
      </c>
      <c r="D750" s="12" t="s">
        <v>12</v>
      </c>
      <c r="E750" s="13">
        <v>170</v>
      </c>
      <c r="F750" s="13">
        <v>136</v>
      </c>
      <c r="G750" s="12">
        <v>5</v>
      </c>
      <c r="H750" s="14">
        <v>5</v>
      </c>
      <c r="I750" s="12">
        <f>IFERROR(IF(T_PROD[[#This Row],[PREVISTO]]-T_PROD[[#This Row],[EFETIVO]]&lt; 0,0,T_PROD[[#This Row],[PREVISTO]]-T_PROD[[#This Row],[EFETIVO]] ),"")</f>
        <v>0</v>
      </c>
      <c r="J750" s="15">
        <f>IFERROR(IF(T_PROD[[#This Row],[META]]&gt;0,(T_PROD[[#This Row],[META]]/T_PROD[[#This Row],[PREVISTO]]),""),"")</f>
        <v>34</v>
      </c>
      <c r="K750" s="15">
        <f>IFERROR(IF(T_PROD[[#This Row],[PRODUÇÃO]]&gt;0,(T_PROD[[#This Row],[PRODUÇÃO]]/T_PROD[[#This Row],[EFETIVO]]),""),"")</f>
        <v>27.2</v>
      </c>
    </row>
    <row r="751" spans="1:11" s="6" customFormat="1" x14ac:dyDescent="0.3">
      <c r="A751" s="11">
        <v>46150</v>
      </c>
      <c r="B751" s="12" t="str">
        <f t="shared" si="82"/>
        <v>MAIO</v>
      </c>
      <c r="C751" s="12" t="s">
        <v>17</v>
      </c>
      <c r="D751" s="12" t="s">
        <v>12</v>
      </c>
      <c r="E751" s="13">
        <v>144</v>
      </c>
      <c r="F751" s="13">
        <v>145</v>
      </c>
      <c r="G751" s="12">
        <v>9</v>
      </c>
      <c r="H751" s="14">
        <v>9</v>
      </c>
      <c r="I751" s="12">
        <f>IFERROR(IF(T_PROD[[#This Row],[PREVISTO]]-T_PROD[[#This Row],[EFETIVO]]&lt; 0,0,T_PROD[[#This Row],[PREVISTO]]-T_PROD[[#This Row],[EFETIVO]] ),"")</f>
        <v>0</v>
      </c>
      <c r="J751" s="15">
        <f>IFERROR(IF(T_PROD[[#This Row],[META]]&gt;0,(T_PROD[[#This Row],[META]]/T_PROD[[#This Row],[PREVISTO]]),""),"")</f>
        <v>16</v>
      </c>
      <c r="K751" s="15">
        <f>IFERROR(IF(T_PROD[[#This Row],[PRODUÇÃO]]&gt;0,(T_PROD[[#This Row],[PRODUÇÃO]]/T_PROD[[#This Row],[EFETIVO]]),""),"")</f>
        <v>16.111111111111111</v>
      </c>
    </row>
    <row r="752" spans="1:11" s="6" customFormat="1" x14ac:dyDescent="0.3">
      <c r="A752" s="11">
        <v>46150</v>
      </c>
      <c r="B752" s="12" t="str">
        <f t="shared" si="82"/>
        <v>MAIO</v>
      </c>
      <c r="C752" s="12" t="s">
        <v>18</v>
      </c>
      <c r="D752" s="12" t="s">
        <v>12</v>
      </c>
      <c r="E752" s="13"/>
      <c r="F752" s="13"/>
      <c r="G752" s="12"/>
      <c r="H752" s="14"/>
      <c r="I752" s="12">
        <f>IFERROR(IF(T_PROD[[#This Row],[PREVISTO]]-T_PROD[[#This Row],[EFETIVO]]&lt; 0,0,T_PROD[[#This Row],[PREVISTO]]-T_PROD[[#This Row],[EFETIVO]] ),"")</f>
        <v>0</v>
      </c>
      <c r="J752" s="15" t="str">
        <f>IFERROR(IF(T_PROD[[#This Row],[META]]&gt;0,(T_PROD[[#This Row],[META]]/T_PROD[[#This Row],[PREVISTO]]),""),"")</f>
        <v/>
      </c>
      <c r="K752" s="15" t="str">
        <f>IFERROR(IF(T_PROD[[#This Row],[PRODUÇÃO]]&gt;0,(T_PROD[[#This Row],[PRODUÇÃO]]/T_PROD[[#This Row],[EFETIVO]]),""),"")</f>
        <v/>
      </c>
    </row>
    <row r="753" spans="1:11" s="6" customFormat="1" x14ac:dyDescent="0.3">
      <c r="A753" s="11">
        <v>46150</v>
      </c>
      <c r="B753" s="12" t="str">
        <f t="shared" si="82"/>
        <v>MAIO</v>
      </c>
      <c r="C753" s="12" t="s">
        <v>19</v>
      </c>
      <c r="D753" s="12" t="s">
        <v>12</v>
      </c>
      <c r="E753" s="13"/>
      <c r="F753" s="13"/>
      <c r="G753" s="12"/>
      <c r="H753" s="14"/>
      <c r="I753" s="12">
        <f>IFERROR(IF(T_PROD[[#This Row],[PREVISTO]]-T_PROD[[#This Row],[EFETIVO]]&lt; 0,0,T_PROD[[#This Row],[PREVISTO]]-T_PROD[[#This Row],[EFETIVO]] ),"")</f>
        <v>0</v>
      </c>
      <c r="J753" s="15" t="str">
        <f>IFERROR(IF(T_PROD[[#This Row],[META]]&gt;0,(T_PROD[[#This Row],[META]]/T_PROD[[#This Row],[PREVISTO]]),""),"")</f>
        <v/>
      </c>
      <c r="K753" s="15" t="str">
        <f>IFERROR(IF(T_PROD[[#This Row],[PRODUÇÃO]]&gt;0,(T_PROD[[#This Row],[PRODUÇÃO]]/T_PROD[[#This Row],[EFETIVO]]),""),"")</f>
        <v/>
      </c>
    </row>
    <row r="754" spans="1:11" s="6" customFormat="1" x14ac:dyDescent="0.3">
      <c r="A754" s="11">
        <v>46150</v>
      </c>
      <c r="B754" s="12" t="str">
        <f t="shared" si="82"/>
        <v>MAIO</v>
      </c>
      <c r="C754" s="12" t="s">
        <v>20</v>
      </c>
      <c r="D754" s="12" t="s">
        <v>12</v>
      </c>
      <c r="E754" s="13">
        <v>374</v>
      </c>
      <c r="F754" s="13">
        <v>338</v>
      </c>
      <c r="G754" s="12">
        <v>90</v>
      </c>
      <c r="H754" s="14">
        <v>90</v>
      </c>
      <c r="I754" s="12">
        <f>IFERROR(IF(T_PROD[[#This Row],[PREVISTO]]-T_PROD[[#This Row],[EFETIVO]]&lt; 0,0,T_PROD[[#This Row],[PREVISTO]]-T_PROD[[#This Row],[EFETIVO]] ),"")</f>
        <v>0</v>
      </c>
      <c r="J754" s="15">
        <f>IFERROR(IF(T_PROD[[#This Row],[META]]&gt;0,(T_PROD[[#This Row],[META]]/T_PROD[[#This Row],[PREVISTO]]),""),"")</f>
        <v>4.1555555555555559</v>
      </c>
      <c r="K754" s="15">
        <f>IFERROR(IF(T_PROD[[#This Row],[PRODUÇÃO]]&gt;0,(T_PROD[[#This Row],[PRODUÇÃO]]/T_PROD[[#This Row],[EFETIVO]]),""),"")</f>
        <v>3.7555555555555555</v>
      </c>
    </row>
    <row r="755" spans="1:11" s="6" customFormat="1" x14ac:dyDescent="0.3">
      <c r="A755" s="11">
        <v>46150</v>
      </c>
      <c r="B755" s="12" t="str">
        <f t="shared" si="82"/>
        <v>MAIO</v>
      </c>
      <c r="C755" s="12" t="s">
        <v>11</v>
      </c>
      <c r="D755" s="12" t="s">
        <v>12</v>
      </c>
      <c r="E755" s="13">
        <v>330</v>
      </c>
      <c r="F755" s="13">
        <v>320</v>
      </c>
      <c r="G755" s="12">
        <v>16.5</v>
      </c>
      <c r="H755" s="14">
        <v>17</v>
      </c>
      <c r="I755" s="12">
        <f>IFERROR(IF(T_PROD[[#This Row],[PREVISTO]]-T_PROD[[#This Row],[EFETIVO]]&lt; 0,0,T_PROD[[#This Row],[PREVISTO]]-T_PROD[[#This Row],[EFETIVO]] ),"")</f>
        <v>0</v>
      </c>
      <c r="J755" s="15">
        <f>IFERROR(IF(T_PROD[[#This Row],[META]]&gt;0,(T_PROD[[#This Row],[META]]/T_PROD[[#This Row],[PREVISTO]]),""),"")</f>
        <v>20</v>
      </c>
      <c r="K755" s="15">
        <f>IFERROR(IF(T_PROD[[#This Row],[PRODUÇÃO]]&gt;0,(T_PROD[[#This Row],[PRODUÇÃO]]/T_PROD[[#This Row],[EFETIVO]]),""),"")</f>
        <v>18.823529411764707</v>
      </c>
    </row>
    <row r="756" spans="1:11" s="6" customFormat="1" x14ac:dyDescent="0.3">
      <c r="A756" s="11">
        <v>46150</v>
      </c>
      <c r="B756" s="12" t="str">
        <f t="shared" si="82"/>
        <v>MAIO</v>
      </c>
      <c r="C756" s="12" t="s">
        <v>32</v>
      </c>
      <c r="D756" s="12" t="s">
        <v>12</v>
      </c>
      <c r="E756" s="13">
        <v>66</v>
      </c>
      <c r="F756" s="13">
        <v>47</v>
      </c>
      <c r="G756" s="12">
        <v>6</v>
      </c>
      <c r="H756" s="14">
        <v>6</v>
      </c>
      <c r="I756" s="12">
        <f>IFERROR(IF(T_PROD[[#This Row],[PREVISTO]]-T_PROD[[#This Row],[EFETIVO]]&lt; 0,0,T_PROD[[#This Row],[PREVISTO]]-T_PROD[[#This Row],[EFETIVO]] ),"")</f>
        <v>0</v>
      </c>
      <c r="J756" s="15">
        <f>IFERROR(IF(T_PROD[[#This Row],[META]]&gt;0,(T_PROD[[#This Row],[META]]/T_PROD[[#This Row],[PREVISTO]]),""),"")</f>
        <v>11</v>
      </c>
      <c r="K756" s="15">
        <f>IFERROR(IF(T_PROD[[#This Row],[PRODUÇÃO]]&gt;0,(T_PROD[[#This Row],[PRODUÇÃO]]/T_PROD[[#This Row],[EFETIVO]]),""),"")</f>
        <v>7.833333333333333</v>
      </c>
    </row>
    <row r="757" spans="1:11" s="6" customFormat="1" x14ac:dyDescent="0.3">
      <c r="A757" s="11">
        <v>46150</v>
      </c>
      <c r="B757" s="12" t="str">
        <f t="shared" si="82"/>
        <v>MAIO</v>
      </c>
      <c r="C757" s="12" t="s">
        <v>14</v>
      </c>
      <c r="D757" s="12" t="s">
        <v>12</v>
      </c>
      <c r="E757" s="13">
        <v>396</v>
      </c>
      <c r="F757" s="13">
        <v>367</v>
      </c>
      <c r="G757" s="12">
        <v>80</v>
      </c>
      <c r="H757" s="14">
        <v>77</v>
      </c>
      <c r="I757" s="12">
        <f>IFERROR(IF(T_PROD[[#This Row],[PREVISTO]]-T_PROD[[#This Row],[EFETIVO]]&lt; 0,0,T_PROD[[#This Row],[PREVISTO]]-T_PROD[[#This Row],[EFETIVO]] ),"")</f>
        <v>3</v>
      </c>
      <c r="J757" s="15">
        <f>IFERROR(IF(T_PROD[[#This Row],[META]]&gt;0,(T_PROD[[#This Row],[META]]/T_PROD[[#This Row],[PREVISTO]]),""),"")</f>
        <v>4.95</v>
      </c>
      <c r="K757" s="15">
        <f>IFERROR(IF(T_PROD[[#This Row],[PRODUÇÃO]]&gt;0,(T_PROD[[#This Row],[PRODUÇÃO]]/T_PROD[[#This Row],[EFETIVO]]),""),"")</f>
        <v>4.7662337662337659</v>
      </c>
    </row>
    <row r="758" spans="1:11" s="6" customFormat="1" x14ac:dyDescent="0.3">
      <c r="A758" s="11">
        <v>46153</v>
      </c>
      <c r="B758" s="12" t="str">
        <f>UPPER(TEXT(A758,"MMMM"))</f>
        <v>MAIO</v>
      </c>
      <c r="C758" s="12" t="s">
        <v>15</v>
      </c>
      <c r="D758" s="12" t="s">
        <v>12</v>
      </c>
      <c r="E758" s="13">
        <v>52.5</v>
      </c>
      <c r="F758" s="13">
        <v>42</v>
      </c>
      <c r="G758" s="12">
        <v>3.5</v>
      </c>
      <c r="H758" s="14">
        <v>3.5</v>
      </c>
      <c r="I758" s="12">
        <f>IFERROR(IF(T_PROD[[#This Row],[PREVISTO]]-T_PROD[[#This Row],[EFETIVO]]&lt; 0,0,T_PROD[[#This Row],[PREVISTO]]-T_PROD[[#This Row],[EFETIVO]] ),"")</f>
        <v>0</v>
      </c>
      <c r="J758" s="15">
        <f>IFERROR(IF(T_PROD[[#This Row],[META]]&gt;0,(T_PROD[[#This Row],[META]]/T_PROD[[#This Row],[PREVISTO]]),""),"")</f>
        <v>15</v>
      </c>
      <c r="K758" s="15">
        <f>IFERROR(IF(T_PROD[[#This Row],[PRODUÇÃO]]&gt;0,(T_PROD[[#This Row],[PRODUÇÃO]]/T_PROD[[#This Row],[EFETIVO]]),""),"")</f>
        <v>12</v>
      </c>
    </row>
    <row r="759" spans="1:11" s="6" customFormat="1" x14ac:dyDescent="0.3">
      <c r="A759" s="11">
        <v>46153</v>
      </c>
      <c r="B759" s="12" t="str">
        <f t="shared" ref="B759:B766" si="83">UPPER(TEXT(A759,"MMMM"))</f>
        <v>MAIO</v>
      </c>
      <c r="C759" s="12" t="s">
        <v>16</v>
      </c>
      <c r="D759" s="12" t="s">
        <v>12</v>
      </c>
      <c r="E759" s="13">
        <v>170</v>
      </c>
      <c r="F759" s="13">
        <v>129</v>
      </c>
      <c r="G759" s="12">
        <v>5</v>
      </c>
      <c r="H759" s="14">
        <v>5</v>
      </c>
      <c r="I759" s="12">
        <f>IFERROR(IF(T_PROD[[#This Row],[PREVISTO]]-T_PROD[[#This Row],[EFETIVO]]&lt; 0,0,T_PROD[[#This Row],[PREVISTO]]-T_PROD[[#This Row],[EFETIVO]] ),"")</f>
        <v>0</v>
      </c>
      <c r="J759" s="15">
        <f>IFERROR(IF(T_PROD[[#This Row],[META]]&gt;0,(T_PROD[[#This Row],[META]]/T_PROD[[#This Row],[PREVISTO]]),""),"")</f>
        <v>34</v>
      </c>
      <c r="K759" s="15">
        <f>IFERROR(IF(T_PROD[[#This Row],[PRODUÇÃO]]&gt;0,(T_PROD[[#This Row],[PRODUÇÃO]]/T_PROD[[#This Row],[EFETIVO]]),""),"")</f>
        <v>25.8</v>
      </c>
    </row>
    <row r="760" spans="1:11" s="6" customFormat="1" x14ac:dyDescent="0.3">
      <c r="A760" s="11">
        <v>46153</v>
      </c>
      <c r="B760" s="12" t="str">
        <f t="shared" si="83"/>
        <v>MAIO</v>
      </c>
      <c r="C760" s="12" t="s">
        <v>17</v>
      </c>
      <c r="D760" s="12" t="s">
        <v>12</v>
      </c>
      <c r="E760" s="13">
        <v>152</v>
      </c>
      <c r="F760" s="13">
        <v>143</v>
      </c>
      <c r="G760" s="12">
        <v>9.5</v>
      </c>
      <c r="H760" s="14">
        <v>9.5</v>
      </c>
      <c r="I760" s="12">
        <f>IFERROR(IF(T_PROD[[#This Row],[PREVISTO]]-T_PROD[[#This Row],[EFETIVO]]&lt; 0,0,T_PROD[[#This Row],[PREVISTO]]-T_PROD[[#This Row],[EFETIVO]] ),"")</f>
        <v>0</v>
      </c>
      <c r="J760" s="15">
        <f>IFERROR(IF(T_PROD[[#This Row],[META]]&gt;0,(T_PROD[[#This Row],[META]]/T_PROD[[#This Row],[PREVISTO]]),""),"")</f>
        <v>16</v>
      </c>
      <c r="K760" s="15">
        <f>IFERROR(IF(T_PROD[[#This Row],[PRODUÇÃO]]&gt;0,(T_PROD[[#This Row],[PRODUÇÃO]]/T_PROD[[#This Row],[EFETIVO]]),""),"")</f>
        <v>15.052631578947368</v>
      </c>
    </row>
    <row r="761" spans="1:11" s="6" customFormat="1" x14ac:dyDescent="0.3">
      <c r="A761" s="11">
        <v>46153</v>
      </c>
      <c r="B761" s="12" t="str">
        <f t="shared" si="83"/>
        <v>MAIO</v>
      </c>
      <c r="C761" s="12" t="s">
        <v>18</v>
      </c>
      <c r="D761" s="12" t="s">
        <v>12</v>
      </c>
      <c r="E761" s="13"/>
      <c r="F761" s="13"/>
      <c r="G761" s="12"/>
      <c r="H761" s="14"/>
      <c r="I761" s="12">
        <f>IFERROR(IF(T_PROD[[#This Row],[PREVISTO]]-T_PROD[[#This Row],[EFETIVO]]&lt; 0,0,T_PROD[[#This Row],[PREVISTO]]-T_PROD[[#This Row],[EFETIVO]] ),"")</f>
        <v>0</v>
      </c>
      <c r="J761" s="15" t="str">
        <f>IFERROR(IF(T_PROD[[#This Row],[META]]&gt;0,(T_PROD[[#This Row],[META]]/T_PROD[[#This Row],[PREVISTO]]),""),"")</f>
        <v/>
      </c>
      <c r="K761" s="15" t="str">
        <f>IFERROR(IF(T_PROD[[#This Row],[PRODUÇÃO]]&gt;0,(T_PROD[[#This Row],[PRODUÇÃO]]/T_PROD[[#This Row],[EFETIVO]]),""),"")</f>
        <v/>
      </c>
    </row>
    <row r="762" spans="1:11" s="6" customFormat="1" x14ac:dyDescent="0.3">
      <c r="A762" s="11">
        <v>46153</v>
      </c>
      <c r="B762" s="12" t="str">
        <f t="shared" si="83"/>
        <v>MAIO</v>
      </c>
      <c r="C762" s="12" t="s">
        <v>19</v>
      </c>
      <c r="D762" s="12" t="s">
        <v>12</v>
      </c>
      <c r="E762" s="13"/>
      <c r="F762" s="13"/>
      <c r="G762" s="12"/>
      <c r="H762" s="14"/>
      <c r="I762" s="12">
        <f>IFERROR(IF(T_PROD[[#This Row],[PREVISTO]]-T_PROD[[#This Row],[EFETIVO]]&lt; 0,0,T_PROD[[#This Row],[PREVISTO]]-T_PROD[[#This Row],[EFETIVO]] ),"")</f>
        <v>0</v>
      </c>
      <c r="J762" s="15" t="str">
        <f>IFERROR(IF(T_PROD[[#This Row],[META]]&gt;0,(T_PROD[[#This Row],[META]]/T_PROD[[#This Row],[PREVISTO]]),""),"")</f>
        <v/>
      </c>
      <c r="K762" s="15" t="str">
        <f>IFERROR(IF(T_PROD[[#This Row],[PRODUÇÃO]]&gt;0,(T_PROD[[#This Row],[PRODUÇÃO]]/T_PROD[[#This Row],[EFETIVO]]),""),"")</f>
        <v/>
      </c>
    </row>
    <row r="763" spans="1:11" s="6" customFormat="1" x14ac:dyDescent="0.3">
      <c r="A763" s="11">
        <v>46153</v>
      </c>
      <c r="B763" s="12" t="str">
        <f t="shared" si="83"/>
        <v>MAIO</v>
      </c>
      <c r="C763" s="12" t="s">
        <v>20</v>
      </c>
      <c r="D763" s="12" t="s">
        <v>12</v>
      </c>
      <c r="E763" s="13">
        <v>375</v>
      </c>
      <c r="F763" s="13">
        <v>314</v>
      </c>
      <c r="G763" s="12">
        <v>90</v>
      </c>
      <c r="H763" s="14">
        <v>90</v>
      </c>
      <c r="I763" s="12">
        <f>IFERROR(IF(T_PROD[[#This Row],[PREVISTO]]-T_PROD[[#This Row],[EFETIVO]]&lt; 0,0,T_PROD[[#This Row],[PREVISTO]]-T_PROD[[#This Row],[EFETIVO]] ),"")</f>
        <v>0</v>
      </c>
      <c r="J763" s="15">
        <f>IFERROR(IF(T_PROD[[#This Row],[META]]&gt;0,(T_PROD[[#This Row],[META]]/T_PROD[[#This Row],[PREVISTO]]),""),"")</f>
        <v>4.166666666666667</v>
      </c>
      <c r="K763" s="15">
        <f>IFERROR(IF(T_PROD[[#This Row],[PRODUÇÃO]]&gt;0,(T_PROD[[#This Row],[PRODUÇÃO]]/T_PROD[[#This Row],[EFETIVO]]),""),"")</f>
        <v>3.4888888888888889</v>
      </c>
    </row>
    <row r="764" spans="1:11" s="6" customFormat="1" x14ac:dyDescent="0.3">
      <c r="A764" s="11">
        <v>46153</v>
      </c>
      <c r="B764" s="12" t="str">
        <f t="shared" si="83"/>
        <v>MAIO</v>
      </c>
      <c r="C764" s="12" t="s">
        <v>11</v>
      </c>
      <c r="D764" s="12" t="s">
        <v>12</v>
      </c>
      <c r="E764" s="13">
        <v>500</v>
      </c>
      <c r="F764" s="13">
        <v>513</v>
      </c>
      <c r="G764" s="12">
        <v>25</v>
      </c>
      <c r="H764" s="14">
        <v>25</v>
      </c>
      <c r="I764" s="12">
        <f>IFERROR(IF(T_PROD[[#This Row],[PREVISTO]]-T_PROD[[#This Row],[EFETIVO]]&lt; 0,0,T_PROD[[#This Row],[PREVISTO]]-T_PROD[[#This Row],[EFETIVO]] ),"")</f>
        <v>0</v>
      </c>
      <c r="J764" s="15">
        <f>IFERROR(IF(T_PROD[[#This Row],[META]]&gt;0,(T_PROD[[#This Row],[META]]/T_PROD[[#This Row],[PREVISTO]]),""),"")</f>
        <v>20</v>
      </c>
      <c r="K764" s="15">
        <f>IFERROR(IF(T_PROD[[#This Row],[PRODUÇÃO]]&gt;0,(T_PROD[[#This Row],[PRODUÇÃO]]/T_PROD[[#This Row],[EFETIVO]]),""),"")</f>
        <v>20.52</v>
      </c>
    </row>
    <row r="765" spans="1:11" s="6" customFormat="1" x14ac:dyDescent="0.3">
      <c r="A765" s="11">
        <v>46153</v>
      </c>
      <c r="B765" s="12" t="str">
        <f t="shared" si="83"/>
        <v>MAIO</v>
      </c>
      <c r="C765" s="12" t="s">
        <v>32</v>
      </c>
      <c r="D765" s="12" t="s">
        <v>12</v>
      </c>
      <c r="E765" s="13">
        <v>77</v>
      </c>
      <c r="F765" s="13">
        <v>88</v>
      </c>
      <c r="G765" s="12">
        <v>7</v>
      </c>
      <c r="H765" s="14">
        <v>7</v>
      </c>
      <c r="I765" s="12">
        <f>IFERROR(IF(T_PROD[[#This Row],[PREVISTO]]-T_PROD[[#This Row],[EFETIVO]]&lt; 0,0,T_PROD[[#This Row],[PREVISTO]]-T_PROD[[#This Row],[EFETIVO]] ),"")</f>
        <v>0</v>
      </c>
      <c r="J765" s="15">
        <f>IFERROR(IF(T_PROD[[#This Row],[META]]&gt;0,(T_PROD[[#This Row],[META]]/T_PROD[[#This Row],[PREVISTO]]),""),"")</f>
        <v>11</v>
      </c>
      <c r="K765" s="15">
        <f>IFERROR(IF(T_PROD[[#This Row],[PRODUÇÃO]]&gt;0,(T_PROD[[#This Row],[PRODUÇÃO]]/T_PROD[[#This Row],[EFETIVO]]),""),"")</f>
        <v>12.571428571428571</v>
      </c>
    </row>
    <row r="766" spans="1:11" s="6" customFormat="1" x14ac:dyDescent="0.3">
      <c r="A766" s="11">
        <v>46153</v>
      </c>
      <c r="B766" s="12" t="str">
        <f t="shared" si="83"/>
        <v>MAIO</v>
      </c>
      <c r="C766" s="12" t="s">
        <v>14</v>
      </c>
      <c r="D766" s="12" t="s">
        <v>12</v>
      </c>
      <c r="E766" s="13">
        <v>577</v>
      </c>
      <c r="F766" s="13">
        <v>601</v>
      </c>
      <c r="G766" s="12">
        <v>80</v>
      </c>
      <c r="H766" s="14">
        <v>76</v>
      </c>
      <c r="I766" s="12">
        <f>IFERROR(IF(T_PROD[[#This Row],[PREVISTO]]-T_PROD[[#This Row],[EFETIVO]]&lt; 0,0,T_PROD[[#This Row],[PREVISTO]]-T_PROD[[#This Row],[EFETIVO]] ),"")</f>
        <v>4</v>
      </c>
      <c r="J766" s="15">
        <f>IFERROR(IF(T_PROD[[#This Row],[META]]&gt;0,(T_PROD[[#This Row],[META]]/T_PROD[[#This Row],[PREVISTO]]),""),"")</f>
        <v>7.2125000000000004</v>
      </c>
      <c r="K766" s="15">
        <f>IFERROR(IF(T_PROD[[#This Row],[PRODUÇÃO]]&gt;0,(T_PROD[[#This Row],[PRODUÇÃO]]/T_PROD[[#This Row],[EFETIVO]]),""),"")</f>
        <v>7.9078947368421053</v>
      </c>
    </row>
    <row r="767" spans="1:11" s="6" customFormat="1" x14ac:dyDescent="0.3">
      <c r="A767" s="11">
        <v>46154</v>
      </c>
      <c r="B767" s="12" t="str">
        <f>UPPER(TEXT(A767,"MMMM"))</f>
        <v>MAIO</v>
      </c>
      <c r="C767" s="12" t="s">
        <v>15</v>
      </c>
      <c r="D767" s="12" t="s">
        <v>12</v>
      </c>
      <c r="E767" s="13">
        <v>52.5</v>
      </c>
      <c r="F767" s="13">
        <v>32</v>
      </c>
      <c r="G767" s="12">
        <v>3.5</v>
      </c>
      <c r="H767" s="14">
        <v>3.5</v>
      </c>
      <c r="I767" s="12">
        <f>IFERROR(IF(T_PROD[[#This Row],[PREVISTO]]-T_PROD[[#This Row],[EFETIVO]]&lt; 0,0,T_PROD[[#This Row],[PREVISTO]]-T_PROD[[#This Row],[EFETIVO]] ),"")</f>
        <v>0</v>
      </c>
      <c r="J767" s="15">
        <f>IFERROR(IF(T_PROD[[#This Row],[META]]&gt;0,(T_PROD[[#This Row],[META]]/T_PROD[[#This Row],[PREVISTO]]),""),"")</f>
        <v>15</v>
      </c>
      <c r="K767" s="15">
        <f>IFERROR(IF(T_PROD[[#This Row],[PRODUÇÃO]]&gt;0,(T_PROD[[#This Row],[PRODUÇÃO]]/T_PROD[[#This Row],[EFETIVO]]),""),"")</f>
        <v>9.1428571428571423</v>
      </c>
    </row>
    <row r="768" spans="1:11" s="6" customFormat="1" x14ac:dyDescent="0.3">
      <c r="A768" s="11">
        <v>46154</v>
      </c>
      <c r="B768" s="12" t="str">
        <f t="shared" ref="B768:B775" si="84">UPPER(TEXT(A768,"MMMM"))</f>
        <v>MAIO</v>
      </c>
      <c r="C768" s="12" t="s">
        <v>16</v>
      </c>
      <c r="D768" s="12" t="s">
        <v>12</v>
      </c>
      <c r="E768" s="13">
        <v>136</v>
      </c>
      <c r="F768" s="13">
        <v>139</v>
      </c>
      <c r="G768" s="12">
        <v>4</v>
      </c>
      <c r="H768" s="14">
        <v>4</v>
      </c>
      <c r="I768" s="12">
        <f>IFERROR(IF(T_PROD[[#This Row],[PREVISTO]]-T_PROD[[#This Row],[EFETIVO]]&lt; 0,0,T_PROD[[#This Row],[PREVISTO]]-T_PROD[[#This Row],[EFETIVO]] ),"")</f>
        <v>0</v>
      </c>
      <c r="J768" s="15">
        <f>IFERROR(IF(T_PROD[[#This Row],[META]]&gt;0,(T_PROD[[#This Row],[META]]/T_PROD[[#This Row],[PREVISTO]]),""),"")</f>
        <v>34</v>
      </c>
      <c r="K768" s="15">
        <f>IFERROR(IF(T_PROD[[#This Row],[PRODUÇÃO]]&gt;0,(T_PROD[[#This Row],[PRODUÇÃO]]/T_PROD[[#This Row],[EFETIVO]]),""),"")</f>
        <v>34.75</v>
      </c>
    </row>
    <row r="769" spans="1:11" s="6" customFormat="1" x14ac:dyDescent="0.3">
      <c r="A769" s="11">
        <v>46154</v>
      </c>
      <c r="B769" s="12" t="str">
        <f t="shared" si="84"/>
        <v>MAIO</v>
      </c>
      <c r="C769" s="12" t="s">
        <v>17</v>
      </c>
      <c r="D769" s="12" t="s">
        <v>12</v>
      </c>
      <c r="E769" s="13">
        <v>144</v>
      </c>
      <c r="F769" s="13">
        <v>132</v>
      </c>
      <c r="G769" s="12">
        <v>9</v>
      </c>
      <c r="H769" s="14">
        <v>9</v>
      </c>
      <c r="I769" s="12">
        <f>IFERROR(IF(T_PROD[[#This Row],[PREVISTO]]-T_PROD[[#This Row],[EFETIVO]]&lt; 0,0,T_PROD[[#This Row],[PREVISTO]]-T_PROD[[#This Row],[EFETIVO]] ),"")</f>
        <v>0</v>
      </c>
      <c r="J769" s="15">
        <f>IFERROR(IF(T_PROD[[#This Row],[META]]&gt;0,(T_PROD[[#This Row],[META]]/T_PROD[[#This Row],[PREVISTO]]),""),"")</f>
        <v>16</v>
      </c>
      <c r="K769" s="15">
        <f>IFERROR(IF(T_PROD[[#This Row],[PRODUÇÃO]]&gt;0,(T_PROD[[#This Row],[PRODUÇÃO]]/T_PROD[[#This Row],[EFETIVO]]),""),"")</f>
        <v>14.666666666666666</v>
      </c>
    </row>
    <row r="770" spans="1:11" s="6" customFormat="1" x14ac:dyDescent="0.3">
      <c r="A770" s="11">
        <v>46154</v>
      </c>
      <c r="B770" s="12" t="str">
        <f t="shared" si="84"/>
        <v>MAIO</v>
      </c>
      <c r="C770" s="12" t="s">
        <v>18</v>
      </c>
      <c r="D770" s="12" t="s">
        <v>12</v>
      </c>
      <c r="E770" s="13"/>
      <c r="F770" s="13"/>
      <c r="G770" s="12"/>
      <c r="H770" s="14"/>
      <c r="I770" s="12">
        <f>IFERROR(IF(T_PROD[[#This Row],[PREVISTO]]-T_PROD[[#This Row],[EFETIVO]]&lt; 0,0,T_PROD[[#This Row],[PREVISTO]]-T_PROD[[#This Row],[EFETIVO]] ),"")</f>
        <v>0</v>
      </c>
      <c r="J770" s="15" t="str">
        <f>IFERROR(IF(T_PROD[[#This Row],[META]]&gt;0,(T_PROD[[#This Row],[META]]/T_PROD[[#This Row],[PREVISTO]]),""),"")</f>
        <v/>
      </c>
      <c r="K770" s="15" t="str">
        <f>IFERROR(IF(T_PROD[[#This Row],[PRODUÇÃO]]&gt;0,(T_PROD[[#This Row],[PRODUÇÃO]]/T_PROD[[#This Row],[EFETIVO]]),""),"")</f>
        <v/>
      </c>
    </row>
    <row r="771" spans="1:11" s="6" customFormat="1" x14ac:dyDescent="0.3">
      <c r="A771" s="11">
        <v>46154</v>
      </c>
      <c r="B771" s="12" t="str">
        <f t="shared" si="84"/>
        <v>MAIO</v>
      </c>
      <c r="C771" s="12" t="s">
        <v>19</v>
      </c>
      <c r="D771" s="12" t="s">
        <v>12</v>
      </c>
      <c r="E771" s="13"/>
      <c r="F771" s="13"/>
      <c r="G771" s="12"/>
      <c r="H771" s="14"/>
      <c r="I771" s="12">
        <f>IFERROR(IF(T_PROD[[#This Row],[PREVISTO]]-T_PROD[[#This Row],[EFETIVO]]&lt; 0,0,T_PROD[[#This Row],[PREVISTO]]-T_PROD[[#This Row],[EFETIVO]] ),"")</f>
        <v>0</v>
      </c>
      <c r="J771" s="15" t="str">
        <f>IFERROR(IF(T_PROD[[#This Row],[META]]&gt;0,(T_PROD[[#This Row],[META]]/T_PROD[[#This Row],[PREVISTO]]),""),"")</f>
        <v/>
      </c>
      <c r="K771" s="15" t="str">
        <f>IFERROR(IF(T_PROD[[#This Row],[PRODUÇÃO]]&gt;0,(T_PROD[[#This Row],[PRODUÇÃO]]/T_PROD[[#This Row],[EFETIVO]]),""),"")</f>
        <v/>
      </c>
    </row>
    <row r="772" spans="1:11" s="6" customFormat="1" x14ac:dyDescent="0.3">
      <c r="A772" s="11">
        <v>46154</v>
      </c>
      <c r="B772" s="12" t="str">
        <f t="shared" si="84"/>
        <v>MAIO</v>
      </c>
      <c r="C772" s="12" t="s">
        <v>20</v>
      </c>
      <c r="D772" s="12" t="s">
        <v>12</v>
      </c>
      <c r="E772" s="13">
        <v>333</v>
      </c>
      <c r="F772" s="13">
        <v>303</v>
      </c>
      <c r="G772" s="12">
        <v>90</v>
      </c>
      <c r="H772" s="14">
        <v>90</v>
      </c>
      <c r="I772" s="12">
        <f>IFERROR(IF(T_PROD[[#This Row],[PREVISTO]]-T_PROD[[#This Row],[EFETIVO]]&lt; 0,0,T_PROD[[#This Row],[PREVISTO]]-T_PROD[[#This Row],[EFETIVO]] ),"")</f>
        <v>0</v>
      </c>
      <c r="J772" s="15">
        <f>IFERROR(IF(T_PROD[[#This Row],[META]]&gt;0,(T_PROD[[#This Row],[META]]/T_PROD[[#This Row],[PREVISTO]]),""),"")</f>
        <v>3.7</v>
      </c>
      <c r="K772" s="15">
        <f>IFERROR(IF(T_PROD[[#This Row],[PRODUÇÃO]]&gt;0,(T_PROD[[#This Row],[PRODUÇÃO]]/T_PROD[[#This Row],[EFETIVO]]),""),"")</f>
        <v>3.3666666666666667</v>
      </c>
    </row>
    <row r="773" spans="1:11" s="6" customFormat="1" x14ac:dyDescent="0.3">
      <c r="A773" s="11">
        <v>46154</v>
      </c>
      <c r="B773" s="12" t="str">
        <f t="shared" si="84"/>
        <v>MAIO</v>
      </c>
      <c r="C773" s="12" t="s">
        <v>11</v>
      </c>
      <c r="D773" s="12" t="s">
        <v>12</v>
      </c>
      <c r="E773" s="13">
        <v>520</v>
      </c>
      <c r="F773" s="13">
        <v>540</v>
      </c>
      <c r="G773" s="12">
        <v>26</v>
      </c>
      <c r="H773" s="14">
        <v>26</v>
      </c>
      <c r="I773" s="12">
        <f>IFERROR(IF(T_PROD[[#This Row],[PREVISTO]]-T_PROD[[#This Row],[EFETIVO]]&lt; 0,0,T_PROD[[#This Row],[PREVISTO]]-T_PROD[[#This Row],[EFETIVO]] ),"")</f>
        <v>0</v>
      </c>
      <c r="J773" s="15">
        <f>IFERROR(IF(T_PROD[[#This Row],[META]]&gt;0,(T_PROD[[#This Row],[META]]/T_PROD[[#This Row],[PREVISTO]]),""),"")</f>
        <v>20</v>
      </c>
      <c r="K773" s="15">
        <f>IFERROR(IF(T_PROD[[#This Row],[PRODUÇÃO]]&gt;0,(T_PROD[[#This Row],[PRODUÇÃO]]/T_PROD[[#This Row],[EFETIVO]]),""),"")</f>
        <v>20.76923076923077</v>
      </c>
    </row>
    <row r="774" spans="1:11" s="6" customFormat="1" x14ac:dyDescent="0.3">
      <c r="A774" s="11">
        <v>46154</v>
      </c>
      <c r="B774" s="12" t="str">
        <f t="shared" si="84"/>
        <v>MAIO</v>
      </c>
      <c r="C774" s="12" t="s">
        <v>32</v>
      </c>
      <c r="D774" s="12" t="s">
        <v>12</v>
      </c>
      <c r="E774" s="13">
        <v>77</v>
      </c>
      <c r="F774" s="13">
        <v>80</v>
      </c>
      <c r="G774" s="12">
        <v>7</v>
      </c>
      <c r="H774" s="14">
        <v>7</v>
      </c>
      <c r="I774" s="12">
        <f>IFERROR(IF(T_PROD[[#This Row],[PREVISTO]]-T_PROD[[#This Row],[EFETIVO]]&lt; 0,0,T_PROD[[#This Row],[PREVISTO]]-T_PROD[[#This Row],[EFETIVO]] ),"")</f>
        <v>0</v>
      </c>
      <c r="J774" s="15">
        <f>IFERROR(IF(T_PROD[[#This Row],[META]]&gt;0,(T_PROD[[#This Row],[META]]/T_PROD[[#This Row],[PREVISTO]]),""),"")</f>
        <v>11</v>
      </c>
      <c r="K774" s="15">
        <f>IFERROR(IF(T_PROD[[#This Row],[PRODUÇÃO]]&gt;0,(T_PROD[[#This Row],[PRODUÇÃO]]/T_PROD[[#This Row],[EFETIVO]]),""),"")</f>
        <v>11.428571428571429</v>
      </c>
    </row>
    <row r="775" spans="1:11" s="6" customFormat="1" x14ac:dyDescent="0.3">
      <c r="A775" s="11">
        <v>46154</v>
      </c>
      <c r="B775" s="12" t="str">
        <f t="shared" si="84"/>
        <v>MAIO</v>
      </c>
      <c r="C775" s="12" t="s">
        <v>14</v>
      </c>
      <c r="D775" s="12" t="s">
        <v>12</v>
      </c>
      <c r="E775" s="13">
        <v>597</v>
      </c>
      <c r="F775" s="13">
        <v>620</v>
      </c>
      <c r="G775" s="12">
        <v>80</v>
      </c>
      <c r="H775" s="14">
        <v>79</v>
      </c>
      <c r="I775" s="12">
        <f>IFERROR(IF(T_PROD[[#This Row],[PREVISTO]]-T_PROD[[#This Row],[EFETIVO]]&lt; 0,0,T_PROD[[#This Row],[PREVISTO]]-T_PROD[[#This Row],[EFETIVO]] ),"")</f>
        <v>1</v>
      </c>
      <c r="J775" s="15">
        <f>IFERROR(IF(T_PROD[[#This Row],[META]]&gt;0,(T_PROD[[#This Row],[META]]/T_PROD[[#This Row],[PREVISTO]]),""),"")</f>
        <v>7.4625000000000004</v>
      </c>
      <c r="K775" s="15">
        <f>IFERROR(IF(T_PROD[[#This Row],[PRODUÇÃO]]&gt;0,(T_PROD[[#This Row],[PRODUÇÃO]]/T_PROD[[#This Row],[EFETIVO]]),""),"")</f>
        <v>7.8481012658227849</v>
      </c>
    </row>
    <row r="776" spans="1:11" s="6" customFormat="1" x14ac:dyDescent="0.3">
      <c r="A776" s="11">
        <v>46155</v>
      </c>
      <c r="B776" s="12" t="str">
        <f>UPPER(TEXT(A776,"MMMM"))</f>
        <v>MAIO</v>
      </c>
      <c r="C776" s="12" t="s">
        <v>15</v>
      </c>
      <c r="D776" s="12" t="s">
        <v>12</v>
      </c>
      <c r="E776" s="13">
        <v>67.5</v>
      </c>
      <c r="F776" s="13">
        <v>37</v>
      </c>
      <c r="G776" s="12">
        <v>4.5</v>
      </c>
      <c r="H776" s="14">
        <v>4.5</v>
      </c>
      <c r="I776" s="12">
        <f>IFERROR(IF(T_PROD[[#This Row],[PREVISTO]]-T_PROD[[#This Row],[EFETIVO]]&lt; 0,0,T_PROD[[#This Row],[PREVISTO]]-T_PROD[[#This Row],[EFETIVO]] ),"")</f>
        <v>0</v>
      </c>
      <c r="J776" s="15">
        <f>IFERROR(IF(T_PROD[[#This Row],[META]]&gt;0,(T_PROD[[#This Row],[META]]/T_PROD[[#This Row],[PREVISTO]]),""),"")</f>
        <v>15</v>
      </c>
      <c r="K776" s="15">
        <f>IFERROR(IF(T_PROD[[#This Row],[PRODUÇÃO]]&gt;0,(T_PROD[[#This Row],[PRODUÇÃO]]/T_PROD[[#This Row],[EFETIVO]]),""),"")</f>
        <v>8.2222222222222214</v>
      </c>
    </row>
    <row r="777" spans="1:11" s="6" customFormat="1" x14ac:dyDescent="0.3">
      <c r="A777" s="11">
        <v>46155</v>
      </c>
      <c r="B777" s="12" t="str">
        <f t="shared" ref="B777:B784" si="85">UPPER(TEXT(A777,"MMMM"))</f>
        <v>MAIO</v>
      </c>
      <c r="C777" s="12" t="s">
        <v>16</v>
      </c>
      <c r="D777" s="12" t="s">
        <v>12</v>
      </c>
      <c r="E777" s="13">
        <v>170</v>
      </c>
      <c r="F777" s="13">
        <v>100</v>
      </c>
      <c r="G777" s="12">
        <v>5</v>
      </c>
      <c r="H777" s="14">
        <v>5</v>
      </c>
      <c r="I777" s="12">
        <f>IFERROR(IF(T_PROD[[#This Row],[PREVISTO]]-T_PROD[[#This Row],[EFETIVO]]&lt; 0,0,T_PROD[[#This Row],[PREVISTO]]-T_PROD[[#This Row],[EFETIVO]] ),"")</f>
        <v>0</v>
      </c>
      <c r="J777" s="15">
        <f>IFERROR(IF(T_PROD[[#This Row],[META]]&gt;0,(T_PROD[[#This Row],[META]]/T_PROD[[#This Row],[PREVISTO]]),""),"")</f>
        <v>34</v>
      </c>
      <c r="K777" s="15">
        <f>IFERROR(IF(T_PROD[[#This Row],[PRODUÇÃO]]&gt;0,(T_PROD[[#This Row],[PRODUÇÃO]]/T_PROD[[#This Row],[EFETIVO]]),""),"")</f>
        <v>20</v>
      </c>
    </row>
    <row r="778" spans="1:11" s="6" customFormat="1" x14ac:dyDescent="0.3">
      <c r="A778" s="11">
        <v>46155</v>
      </c>
      <c r="B778" s="12" t="str">
        <f t="shared" si="85"/>
        <v>MAIO</v>
      </c>
      <c r="C778" s="12" t="s">
        <v>17</v>
      </c>
      <c r="D778" s="12" t="s">
        <v>12</v>
      </c>
      <c r="E778" s="13">
        <v>160</v>
      </c>
      <c r="F778" s="13">
        <v>144</v>
      </c>
      <c r="G778" s="12">
        <v>10</v>
      </c>
      <c r="H778" s="14">
        <v>10</v>
      </c>
      <c r="I778" s="12">
        <f>IFERROR(IF(T_PROD[[#This Row],[PREVISTO]]-T_PROD[[#This Row],[EFETIVO]]&lt; 0,0,T_PROD[[#This Row],[PREVISTO]]-T_PROD[[#This Row],[EFETIVO]] ),"")</f>
        <v>0</v>
      </c>
      <c r="J778" s="15">
        <f>IFERROR(IF(T_PROD[[#This Row],[META]]&gt;0,(T_PROD[[#This Row],[META]]/T_PROD[[#This Row],[PREVISTO]]),""),"")</f>
        <v>16</v>
      </c>
      <c r="K778" s="15">
        <f>IFERROR(IF(T_PROD[[#This Row],[PRODUÇÃO]]&gt;0,(T_PROD[[#This Row],[PRODUÇÃO]]/T_PROD[[#This Row],[EFETIVO]]),""),"")</f>
        <v>14.4</v>
      </c>
    </row>
    <row r="779" spans="1:11" s="6" customFormat="1" x14ac:dyDescent="0.3">
      <c r="A779" s="11">
        <v>46155</v>
      </c>
      <c r="B779" s="12" t="str">
        <f t="shared" si="85"/>
        <v>MAIO</v>
      </c>
      <c r="C779" s="12" t="s">
        <v>18</v>
      </c>
      <c r="D779" s="12" t="s">
        <v>12</v>
      </c>
      <c r="E779" s="13"/>
      <c r="F779" s="13"/>
      <c r="G779" s="12"/>
      <c r="H779" s="14"/>
      <c r="I779" s="12">
        <f>IFERROR(IF(T_PROD[[#This Row],[PREVISTO]]-T_PROD[[#This Row],[EFETIVO]]&lt; 0,0,T_PROD[[#This Row],[PREVISTO]]-T_PROD[[#This Row],[EFETIVO]] ),"")</f>
        <v>0</v>
      </c>
      <c r="J779" s="15" t="str">
        <f>IFERROR(IF(T_PROD[[#This Row],[META]]&gt;0,(T_PROD[[#This Row],[META]]/T_PROD[[#This Row],[PREVISTO]]),""),"")</f>
        <v/>
      </c>
      <c r="K779" s="15" t="str">
        <f>IFERROR(IF(T_PROD[[#This Row],[PRODUÇÃO]]&gt;0,(T_PROD[[#This Row],[PRODUÇÃO]]/T_PROD[[#This Row],[EFETIVO]]),""),"")</f>
        <v/>
      </c>
    </row>
    <row r="780" spans="1:11" s="6" customFormat="1" x14ac:dyDescent="0.3">
      <c r="A780" s="11">
        <v>46155</v>
      </c>
      <c r="B780" s="12" t="str">
        <f t="shared" si="85"/>
        <v>MAIO</v>
      </c>
      <c r="C780" s="12" t="s">
        <v>19</v>
      </c>
      <c r="D780" s="12" t="s">
        <v>12</v>
      </c>
      <c r="E780" s="13"/>
      <c r="F780" s="13"/>
      <c r="G780" s="12"/>
      <c r="H780" s="14"/>
      <c r="I780" s="12">
        <f>IFERROR(IF(T_PROD[[#This Row],[PREVISTO]]-T_PROD[[#This Row],[EFETIVO]]&lt; 0,0,T_PROD[[#This Row],[PREVISTO]]-T_PROD[[#This Row],[EFETIVO]] ),"")</f>
        <v>0</v>
      </c>
      <c r="J780" s="15" t="str">
        <f>IFERROR(IF(T_PROD[[#This Row],[META]]&gt;0,(T_PROD[[#This Row],[META]]/T_PROD[[#This Row],[PREVISTO]]),""),"")</f>
        <v/>
      </c>
      <c r="K780" s="15" t="str">
        <f>IFERROR(IF(T_PROD[[#This Row],[PRODUÇÃO]]&gt;0,(T_PROD[[#This Row],[PRODUÇÃO]]/T_PROD[[#This Row],[EFETIVO]]),""),"")</f>
        <v/>
      </c>
    </row>
    <row r="781" spans="1:11" s="6" customFormat="1" x14ac:dyDescent="0.3">
      <c r="A781" s="11">
        <v>46155</v>
      </c>
      <c r="B781" s="12" t="str">
        <f t="shared" si="85"/>
        <v>MAIO</v>
      </c>
      <c r="C781" s="12" t="s">
        <v>20</v>
      </c>
      <c r="D781" s="12" t="s">
        <v>12</v>
      </c>
      <c r="E781" s="13">
        <v>398</v>
      </c>
      <c r="F781" s="13">
        <v>281</v>
      </c>
      <c r="G781" s="12">
        <v>90</v>
      </c>
      <c r="H781" s="14">
        <v>90</v>
      </c>
      <c r="I781" s="12">
        <f>IFERROR(IF(T_PROD[[#This Row],[PREVISTO]]-T_PROD[[#This Row],[EFETIVO]]&lt; 0,0,T_PROD[[#This Row],[PREVISTO]]-T_PROD[[#This Row],[EFETIVO]] ),"")</f>
        <v>0</v>
      </c>
      <c r="J781" s="15">
        <f>IFERROR(IF(T_PROD[[#This Row],[META]]&gt;0,(T_PROD[[#This Row],[META]]/T_PROD[[#This Row],[PREVISTO]]),""),"")</f>
        <v>4.4222222222222225</v>
      </c>
      <c r="K781" s="15">
        <f>IFERROR(IF(T_PROD[[#This Row],[PRODUÇÃO]]&gt;0,(T_PROD[[#This Row],[PRODUÇÃO]]/T_PROD[[#This Row],[EFETIVO]]),""),"")</f>
        <v>3.1222222222222222</v>
      </c>
    </row>
    <row r="782" spans="1:11" s="6" customFormat="1" x14ac:dyDescent="0.3">
      <c r="A782" s="11">
        <v>46155</v>
      </c>
      <c r="B782" s="12" t="str">
        <f t="shared" si="85"/>
        <v>MAIO</v>
      </c>
      <c r="C782" s="12" t="s">
        <v>11</v>
      </c>
      <c r="D782" s="12" t="s">
        <v>12</v>
      </c>
      <c r="E782" s="13">
        <v>560</v>
      </c>
      <c r="F782" s="13">
        <v>600</v>
      </c>
      <c r="G782" s="12">
        <v>28</v>
      </c>
      <c r="H782" s="14">
        <v>28</v>
      </c>
      <c r="I782" s="12">
        <f>IFERROR(IF(T_PROD[[#This Row],[PREVISTO]]-T_PROD[[#This Row],[EFETIVO]]&lt; 0,0,T_PROD[[#This Row],[PREVISTO]]-T_PROD[[#This Row],[EFETIVO]] ),"")</f>
        <v>0</v>
      </c>
      <c r="J782" s="15">
        <f>IFERROR(IF(T_PROD[[#This Row],[META]]&gt;0,(T_PROD[[#This Row],[META]]/T_PROD[[#This Row],[PREVISTO]]),""),"")</f>
        <v>20</v>
      </c>
      <c r="K782" s="15">
        <f>IFERROR(IF(T_PROD[[#This Row],[PRODUÇÃO]]&gt;0,(T_PROD[[#This Row],[PRODUÇÃO]]/T_PROD[[#This Row],[EFETIVO]]),""),"")</f>
        <v>21.428571428571427</v>
      </c>
    </row>
    <row r="783" spans="1:11" s="6" customFormat="1" x14ac:dyDescent="0.3">
      <c r="A783" s="11">
        <v>46155</v>
      </c>
      <c r="B783" s="12" t="str">
        <f t="shared" si="85"/>
        <v>MAIO</v>
      </c>
      <c r="C783" s="12" t="s">
        <v>32</v>
      </c>
      <c r="D783" s="12" t="s">
        <v>12</v>
      </c>
      <c r="E783" s="13">
        <v>66</v>
      </c>
      <c r="F783" s="13">
        <v>68</v>
      </c>
      <c r="G783" s="12">
        <v>6</v>
      </c>
      <c r="H783" s="14">
        <v>6</v>
      </c>
      <c r="I783" s="12">
        <f>IFERROR(IF(T_PROD[[#This Row],[PREVISTO]]-T_PROD[[#This Row],[EFETIVO]]&lt; 0,0,T_PROD[[#This Row],[PREVISTO]]-T_PROD[[#This Row],[EFETIVO]] ),"")</f>
        <v>0</v>
      </c>
      <c r="J783" s="15">
        <f>IFERROR(IF(T_PROD[[#This Row],[META]]&gt;0,(T_PROD[[#This Row],[META]]/T_PROD[[#This Row],[PREVISTO]]),""),"")</f>
        <v>11</v>
      </c>
      <c r="K783" s="15">
        <f>IFERROR(IF(T_PROD[[#This Row],[PRODUÇÃO]]&gt;0,(T_PROD[[#This Row],[PRODUÇÃO]]/T_PROD[[#This Row],[EFETIVO]]),""),"")</f>
        <v>11.333333333333334</v>
      </c>
    </row>
    <row r="784" spans="1:11" s="6" customFormat="1" x14ac:dyDescent="0.3">
      <c r="A784" s="11">
        <v>46155</v>
      </c>
      <c r="B784" s="12" t="str">
        <f t="shared" si="85"/>
        <v>MAIO</v>
      </c>
      <c r="C784" s="12" t="s">
        <v>14</v>
      </c>
      <c r="D784" s="12" t="s">
        <v>12</v>
      </c>
      <c r="E784" s="13">
        <v>626</v>
      </c>
      <c r="F784" s="13">
        <v>668</v>
      </c>
      <c r="G784" s="12">
        <v>80</v>
      </c>
      <c r="H784" s="14">
        <v>80</v>
      </c>
      <c r="I784" s="12">
        <f>IFERROR(IF(T_PROD[[#This Row],[PREVISTO]]-T_PROD[[#This Row],[EFETIVO]]&lt; 0,0,T_PROD[[#This Row],[PREVISTO]]-T_PROD[[#This Row],[EFETIVO]] ),"")</f>
        <v>0</v>
      </c>
      <c r="J784" s="15">
        <f>IFERROR(IF(T_PROD[[#This Row],[META]]&gt;0,(T_PROD[[#This Row],[META]]/T_PROD[[#This Row],[PREVISTO]]),""),"")</f>
        <v>7.8250000000000002</v>
      </c>
      <c r="K784" s="15">
        <f>IFERROR(IF(T_PROD[[#This Row],[PRODUÇÃO]]&gt;0,(T_PROD[[#This Row],[PRODUÇÃO]]/T_PROD[[#This Row],[EFETIVO]]),""),"")</f>
        <v>8.35</v>
      </c>
    </row>
    <row r="785" spans="1:11" s="6" customFormat="1" x14ac:dyDescent="0.3">
      <c r="A785" s="11">
        <v>46156</v>
      </c>
      <c r="B785" s="12" t="str">
        <f>UPPER(TEXT(A785,"MMMM"))</f>
        <v>MAIO</v>
      </c>
      <c r="C785" s="12" t="s">
        <v>15</v>
      </c>
      <c r="D785" s="12" t="s">
        <v>12</v>
      </c>
      <c r="E785" s="13">
        <v>60</v>
      </c>
      <c r="F785" s="13">
        <v>45</v>
      </c>
      <c r="G785" s="12">
        <v>4</v>
      </c>
      <c r="H785" s="14">
        <v>4</v>
      </c>
      <c r="I785" s="12">
        <f>IFERROR(IF(T_PROD[[#This Row],[PREVISTO]]-T_PROD[[#This Row],[EFETIVO]]&lt; 0,0,T_PROD[[#This Row],[PREVISTO]]-T_PROD[[#This Row],[EFETIVO]] ),"")</f>
        <v>0</v>
      </c>
      <c r="J785" s="15">
        <f>IFERROR(IF(T_PROD[[#This Row],[META]]&gt;0,(T_PROD[[#This Row],[META]]/T_PROD[[#This Row],[PREVISTO]]),""),"")</f>
        <v>15</v>
      </c>
      <c r="K785" s="15">
        <f>IFERROR(IF(T_PROD[[#This Row],[PRODUÇÃO]]&gt;0,(T_PROD[[#This Row],[PRODUÇÃO]]/T_PROD[[#This Row],[EFETIVO]]),""),"")</f>
        <v>11.25</v>
      </c>
    </row>
    <row r="786" spans="1:11" s="6" customFormat="1" x14ac:dyDescent="0.3">
      <c r="A786" s="11">
        <v>46156</v>
      </c>
      <c r="B786" s="12" t="str">
        <f t="shared" ref="B786:B793" si="86">UPPER(TEXT(A786,"MMMM"))</f>
        <v>MAIO</v>
      </c>
      <c r="C786" s="12" t="s">
        <v>16</v>
      </c>
      <c r="D786" s="12" t="s">
        <v>12</v>
      </c>
      <c r="E786" s="13">
        <v>136</v>
      </c>
      <c r="F786" s="13">
        <v>107</v>
      </c>
      <c r="G786" s="12">
        <v>4</v>
      </c>
      <c r="H786" s="14">
        <v>4</v>
      </c>
      <c r="I786" s="12">
        <f>IFERROR(IF(T_PROD[[#This Row],[PREVISTO]]-T_PROD[[#This Row],[EFETIVO]]&lt; 0,0,T_PROD[[#This Row],[PREVISTO]]-T_PROD[[#This Row],[EFETIVO]] ),"")</f>
        <v>0</v>
      </c>
      <c r="J786" s="15">
        <f>IFERROR(IF(T_PROD[[#This Row],[META]]&gt;0,(T_PROD[[#This Row],[META]]/T_PROD[[#This Row],[PREVISTO]]),""),"")</f>
        <v>34</v>
      </c>
      <c r="K786" s="15">
        <f>IFERROR(IF(T_PROD[[#This Row],[PRODUÇÃO]]&gt;0,(T_PROD[[#This Row],[PRODUÇÃO]]/T_PROD[[#This Row],[EFETIVO]]),""),"")</f>
        <v>26.75</v>
      </c>
    </row>
    <row r="787" spans="1:11" s="6" customFormat="1" x14ac:dyDescent="0.3">
      <c r="A787" s="11">
        <v>46156</v>
      </c>
      <c r="B787" s="12" t="str">
        <f t="shared" si="86"/>
        <v>MAIO</v>
      </c>
      <c r="C787" s="12" t="s">
        <v>17</v>
      </c>
      <c r="D787" s="12" t="s">
        <v>12</v>
      </c>
      <c r="E787" s="13">
        <v>128</v>
      </c>
      <c r="F787" s="13">
        <v>148</v>
      </c>
      <c r="G787" s="12">
        <v>8</v>
      </c>
      <c r="H787" s="14">
        <v>8</v>
      </c>
      <c r="I787" s="12">
        <f>IFERROR(IF(T_PROD[[#This Row],[PREVISTO]]-T_PROD[[#This Row],[EFETIVO]]&lt; 0,0,T_PROD[[#This Row],[PREVISTO]]-T_PROD[[#This Row],[EFETIVO]] ),"")</f>
        <v>0</v>
      </c>
      <c r="J787" s="15">
        <f>IFERROR(IF(T_PROD[[#This Row],[META]]&gt;0,(T_PROD[[#This Row],[META]]/T_PROD[[#This Row],[PREVISTO]]),""),"")</f>
        <v>16</v>
      </c>
      <c r="K787" s="15">
        <f>IFERROR(IF(T_PROD[[#This Row],[PRODUÇÃO]]&gt;0,(T_PROD[[#This Row],[PRODUÇÃO]]/T_PROD[[#This Row],[EFETIVO]]),""),"")</f>
        <v>18.5</v>
      </c>
    </row>
    <row r="788" spans="1:11" s="6" customFormat="1" x14ac:dyDescent="0.3">
      <c r="A788" s="11">
        <v>46156</v>
      </c>
      <c r="B788" s="12" t="str">
        <f t="shared" si="86"/>
        <v>MAIO</v>
      </c>
      <c r="C788" s="12" t="s">
        <v>18</v>
      </c>
      <c r="D788" s="12" t="s">
        <v>12</v>
      </c>
      <c r="E788" s="13"/>
      <c r="F788" s="13"/>
      <c r="G788" s="12"/>
      <c r="H788" s="14"/>
      <c r="I788" s="12">
        <f>IFERROR(IF(T_PROD[[#This Row],[PREVISTO]]-T_PROD[[#This Row],[EFETIVO]]&lt; 0,0,T_PROD[[#This Row],[PREVISTO]]-T_PROD[[#This Row],[EFETIVO]] ),"")</f>
        <v>0</v>
      </c>
      <c r="J788" s="15" t="str">
        <f>IFERROR(IF(T_PROD[[#This Row],[META]]&gt;0,(T_PROD[[#This Row],[META]]/T_PROD[[#This Row],[PREVISTO]]),""),"")</f>
        <v/>
      </c>
      <c r="K788" s="15" t="str">
        <f>IFERROR(IF(T_PROD[[#This Row],[PRODUÇÃO]]&gt;0,(T_PROD[[#This Row],[PRODUÇÃO]]/T_PROD[[#This Row],[EFETIVO]]),""),"")</f>
        <v/>
      </c>
    </row>
    <row r="789" spans="1:11" s="6" customFormat="1" x14ac:dyDescent="0.3">
      <c r="A789" s="11">
        <v>46156</v>
      </c>
      <c r="B789" s="12" t="str">
        <f t="shared" si="86"/>
        <v>MAIO</v>
      </c>
      <c r="C789" s="12" t="s">
        <v>19</v>
      </c>
      <c r="D789" s="12" t="s">
        <v>12</v>
      </c>
      <c r="E789" s="13"/>
      <c r="F789" s="13"/>
      <c r="G789" s="12"/>
      <c r="H789" s="14"/>
      <c r="I789" s="12">
        <f>IFERROR(IF(T_PROD[[#This Row],[PREVISTO]]-T_PROD[[#This Row],[EFETIVO]]&lt; 0,0,T_PROD[[#This Row],[PREVISTO]]-T_PROD[[#This Row],[EFETIVO]] ),"")</f>
        <v>0</v>
      </c>
      <c r="J789" s="15" t="str">
        <f>IFERROR(IF(T_PROD[[#This Row],[META]]&gt;0,(T_PROD[[#This Row],[META]]/T_PROD[[#This Row],[PREVISTO]]),""),"")</f>
        <v/>
      </c>
      <c r="K789" s="15" t="str">
        <f>IFERROR(IF(T_PROD[[#This Row],[PRODUÇÃO]]&gt;0,(T_PROD[[#This Row],[PRODUÇÃO]]/T_PROD[[#This Row],[EFETIVO]]),""),"")</f>
        <v/>
      </c>
    </row>
    <row r="790" spans="1:11" s="6" customFormat="1" x14ac:dyDescent="0.3">
      <c r="A790" s="11">
        <v>46156</v>
      </c>
      <c r="B790" s="12" t="str">
        <f t="shared" si="86"/>
        <v>MAIO</v>
      </c>
      <c r="C790" s="12" t="s">
        <v>20</v>
      </c>
      <c r="D790" s="12" t="s">
        <v>12</v>
      </c>
      <c r="E790" s="13">
        <v>324</v>
      </c>
      <c r="F790" s="13">
        <v>300</v>
      </c>
      <c r="G790" s="12">
        <v>90</v>
      </c>
      <c r="H790" s="14">
        <v>90</v>
      </c>
      <c r="I790" s="12">
        <f>IFERROR(IF(T_PROD[[#This Row],[PREVISTO]]-T_PROD[[#This Row],[EFETIVO]]&lt; 0,0,T_PROD[[#This Row],[PREVISTO]]-T_PROD[[#This Row],[EFETIVO]] ),"")</f>
        <v>0</v>
      </c>
      <c r="J790" s="15">
        <f>IFERROR(IF(T_PROD[[#This Row],[META]]&gt;0,(T_PROD[[#This Row],[META]]/T_PROD[[#This Row],[PREVISTO]]),""),"")</f>
        <v>3.6</v>
      </c>
      <c r="K790" s="15">
        <f>IFERROR(IF(T_PROD[[#This Row],[PRODUÇÃO]]&gt;0,(T_PROD[[#This Row],[PRODUÇÃO]]/T_PROD[[#This Row],[EFETIVO]]),""),"")</f>
        <v>3.3333333333333335</v>
      </c>
    </row>
    <row r="791" spans="1:11" s="6" customFormat="1" x14ac:dyDescent="0.3">
      <c r="A791" s="11">
        <v>46156</v>
      </c>
      <c r="B791" s="12" t="str">
        <f t="shared" si="86"/>
        <v>MAIO</v>
      </c>
      <c r="C791" s="12" t="s">
        <v>11</v>
      </c>
      <c r="D791" s="12" t="s">
        <v>12</v>
      </c>
      <c r="E791" s="13">
        <v>600</v>
      </c>
      <c r="F791" s="13">
        <v>650</v>
      </c>
      <c r="G791" s="12">
        <v>30</v>
      </c>
      <c r="H791" s="14">
        <v>30</v>
      </c>
      <c r="I791" s="12">
        <f>IFERROR(IF(T_PROD[[#This Row],[PREVISTO]]-T_PROD[[#This Row],[EFETIVO]]&lt; 0,0,T_PROD[[#This Row],[PREVISTO]]-T_PROD[[#This Row],[EFETIVO]] ),"")</f>
        <v>0</v>
      </c>
      <c r="J791" s="15">
        <f>IFERROR(IF(T_PROD[[#This Row],[META]]&gt;0,(T_PROD[[#This Row],[META]]/T_PROD[[#This Row],[PREVISTO]]),""),"")</f>
        <v>20</v>
      </c>
      <c r="K791" s="15">
        <f>IFERROR(IF(T_PROD[[#This Row],[PRODUÇÃO]]&gt;0,(T_PROD[[#This Row],[PRODUÇÃO]]/T_PROD[[#This Row],[EFETIVO]]),""),"")</f>
        <v>21.666666666666668</v>
      </c>
    </row>
    <row r="792" spans="1:11" s="6" customFormat="1" x14ac:dyDescent="0.3">
      <c r="A792" s="11">
        <v>46156</v>
      </c>
      <c r="B792" s="12" t="str">
        <f t="shared" si="86"/>
        <v>MAIO</v>
      </c>
      <c r="C792" s="12" t="s">
        <v>32</v>
      </c>
      <c r="D792" s="12" t="s">
        <v>12</v>
      </c>
      <c r="E792" s="13">
        <v>77</v>
      </c>
      <c r="F792" s="13">
        <v>76</v>
      </c>
      <c r="G792" s="12">
        <v>7</v>
      </c>
      <c r="H792" s="14">
        <v>7</v>
      </c>
      <c r="I792" s="12">
        <f>IFERROR(IF(T_PROD[[#This Row],[PREVISTO]]-T_PROD[[#This Row],[EFETIVO]]&lt; 0,0,T_PROD[[#This Row],[PREVISTO]]-T_PROD[[#This Row],[EFETIVO]] ),"")</f>
        <v>0</v>
      </c>
      <c r="J792" s="15">
        <f>IFERROR(IF(T_PROD[[#This Row],[META]]&gt;0,(T_PROD[[#This Row],[META]]/T_PROD[[#This Row],[PREVISTO]]),""),"")</f>
        <v>11</v>
      </c>
      <c r="K792" s="15">
        <f>IFERROR(IF(T_PROD[[#This Row],[PRODUÇÃO]]&gt;0,(T_PROD[[#This Row],[PRODUÇÃO]]/T_PROD[[#This Row],[EFETIVO]]),""),"")</f>
        <v>10.857142857142858</v>
      </c>
    </row>
    <row r="793" spans="1:11" s="6" customFormat="1" x14ac:dyDescent="0.3">
      <c r="A793" s="11">
        <v>46156</v>
      </c>
      <c r="B793" s="12" t="str">
        <f t="shared" si="86"/>
        <v>MAIO</v>
      </c>
      <c r="C793" s="12" t="s">
        <v>14</v>
      </c>
      <c r="D793" s="12" t="s">
        <v>12</v>
      </c>
      <c r="E793" s="13">
        <v>677</v>
      </c>
      <c r="F793" s="13">
        <v>726</v>
      </c>
      <c r="G793" s="12">
        <v>80</v>
      </c>
      <c r="H793" s="14">
        <v>80</v>
      </c>
      <c r="I793" s="12">
        <f>IFERROR(IF(T_PROD[[#This Row],[PREVISTO]]-T_PROD[[#This Row],[EFETIVO]]&lt; 0,0,T_PROD[[#This Row],[PREVISTO]]-T_PROD[[#This Row],[EFETIVO]] ),"")</f>
        <v>0</v>
      </c>
      <c r="J793" s="15">
        <f>IFERROR(IF(T_PROD[[#This Row],[META]]&gt;0,(T_PROD[[#This Row],[META]]/T_PROD[[#This Row],[PREVISTO]]),""),"")</f>
        <v>8.4625000000000004</v>
      </c>
      <c r="K793" s="15">
        <f>IFERROR(IF(T_PROD[[#This Row],[PRODUÇÃO]]&gt;0,(T_PROD[[#This Row],[PRODUÇÃO]]/T_PROD[[#This Row],[EFETIVO]]),""),"")</f>
        <v>9.0749999999999993</v>
      </c>
    </row>
    <row r="794" spans="1:11" s="6" customFormat="1" x14ac:dyDescent="0.3">
      <c r="A794" s="28">
        <v>46157</v>
      </c>
      <c r="B794" s="29" t="str">
        <f>UPPER(TEXT(A794,"MMMM"))</f>
        <v>MAIO</v>
      </c>
      <c r="C794" s="12" t="s">
        <v>15</v>
      </c>
      <c r="D794" s="12" t="s">
        <v>12</v>
      </c>
      <c r="E794" s="30"/>
      <c r="F794" s="30"/>
      <c r="G794" s="29"/>
      <c r="H794" s="31"/>
      <c r="I794" s="29">
        <f>IFERROR(IF(T_PROD[[#This Row],[PREVISTO]]-T_PROD[[#This Row],[EFETIVO]]&lt; 0,0,T_PROD[[#This Row],[PREVISTO]]-T_PROD[[#This Row],[EFETIVO]] ),"")</f>
        <v>0</v>
      </c>
      <c r="J794" s="15" t="str">
        <f>IFERROR(IF(T_PROD[[#This Row],[META]]&gt;0,(T_PROD[[#This Row],[META]]/T_PROD[[#This Row],[PREVISTO]]),""),"")</f>
        <v/>
      </c>
      <c r="K794" s="15" t="str">
        <f>IFERROR(IF(T_PROD[[#This Row],[PRODUÇÃO]]&gt;0,(T_PROD[[#This Row],[PRODUÇÃO]]/T_PROD[[#This Row],[EFETIVO]]),""),"")</f>
        <v/>
      </c>
    </row>
    <row r="795" spans="1:11" s="6" customFormat="1" x14ac:dyDescent="0.3">
      <c r="A795" s="28">
        <v>46157</v>
      </c>
      <c r="B795" s="29" t="str">
        <f t="shared" ref="B795:B802" si="87">UPPER(TEXT(A795,"MMMM"))</f>
        <v>MAIO</v>
      </c>
      <c r="C795" s="12" t="s">
        <v>16</v>
      </c>
      <c r="D795" s="12" t="s">
        <v>12</v>
      </c>
      <c r="E795" s="30">
        <v>136</v>
      </c>
      <c r="F795" s="30">
        <v>116</v>
      </c>
      <c r="G795" s="29">
        <v>4</v>
      </c>
      <c r="H795" s="31">
        <v>4</v>
      </c>
      <c r="I795" s="29">
        <f>IFERROR(IF(T_PROD[[#This Row],[PREVISTO]]-T_PROD[[#This Row],[EFETIVO]]&lt; 0,0,T_PROD[[#This Row],[PREVISTO]]-T_PROD[[#This Row],[EFETIVO]] ),"")</f>
        <v>0</v>
      </c>
      <c r="J795" s="15">
        <f>IFERROR(IF(T_PROD[[#This Row],[META]]&gt;0,(T_PROD[[#This Row],[META]]/T_PROD[[#This Row],[PREVISTO]]),""),"")</f>
        <v>34</v>
      </c>
      <c r="K795" s="15">
        <f>IFERROR(IF(T_PROD[[#This Row],[PRODUÇÃO]]&gt;0,(T_PROD[[#This Row],[PRODUÇÃO]]/T_PROD[[#This Row],[EFETIVO]]),""),"")</f>
        <v>29</v>
      </c>
    </row>
    <row r="796" spans="1:11" s="6" customFormat="1" x14ac:dyDescent="0.3">
      <c r="A796" s="28">
        <v>46157</v>
      </c>
      <c r="B796" s="29" t="str">
        <f t="shared" si="87"/>
        <v>MAIO</v>
      </c>
      <c r="C796" s="12" t="s">
        <v>17</v>
      </c>
      <c r="D796" s="12" t="s">
        <v>12</v>
      </c>
      <c r="E796" s="30">
        <v>128</v>
      </c>
      <c r="F796" s="30">
        <v>99</v>
      </c>
      <c r="G796" s="29">
        <v>8</v>
      </c>
      <c r="H796" s="31">
        <v>8</v>
      </c>
      <c r="I796" s="29">
        <f>IFERROR(IF(T_PROD[[#This Row],[PREVISTO]]-T_PROD[[#This Row],[EFETIVO]]&lt; 0,0,T_PROD[[#This Row],[PREVISTO]]-T_PROD[[#This Row],[EFETIVO]] ),"")</f>
        <v>0</v>
      </c>
      <c r="J796" s="15">
        <f>IFERROR(IF(T_PROD[[#This Row],[META]]&gt;0,(T_PROD[[#This Row],[META]]/T_PROD[[#This Row],[PREVISTO]]),""),"")</f>
        <v>16</v>
      </c>
      <c r="K796" s="15">
        <f>IFERROR(IF(T_PROD[[#This Row],[PRODUÇÃO]]&gt;0,(T_PROD[[#This Row],[PRODUÇÃO]]/T_PROD[[#This Row],[EFETIVO]]),""),"")</f>
        <v>12.375</v>
      </c>
    </row>
    <row r="797" spans="1:11" s="6" customFormat="1" x14ac:dyDescent="0.3">
      <c r="A797" s="28">
        <v>46157</v>
      </c>
      <c r="B797" s="29" t="str">
        <f t="shared" si="87"/>
        <v>MAIO</v>
      </c>
      <c r="C797" s="12" t="s">
        <v>18</v>
      </c>
      <c r="D797" s="12" t="s">
        <v>12</v>
      </c>
      <c r="E797" s="30"/>
      <c r="F797" s="30"/>
      <c r="G797" s="29"/>
      <c r="H797" s="31"/>
      <c r="I797" s="29">
        <f>IFERROR(IF(T_PROD[[#This Row],[PREVISTO]]-T_PROD[[#This Row],[EFETIVO]]&lt; 0,0,T_PROD[[#This Row],[PREVISTO]]-T_PROD[[#This Row],[EFETIVO]] ),"")</f>
        <v>0</v>
      </c>
      <c r="J797" s="15" t="str">
        <f>IFERROR(IF(T_PROD[[#This Row],[META]]&gt;0,(T_PROD[[#This Row],[META]]/T_PROD[[#This Row],[PREVISTO]]),""),"")</f>
        <v/>
      </c>
      <c r="K797" s="15" t="str">
        <f>IFERROR(IF(T_PROD[[#This Row],[PRODUÇÃO]]&gt;0,(T_PROD[[#This Row],[PRODUÇÃO]]/T_PROD[[#This Row],[EFETIVO]]),""),"")</f>
        <v/>
      </c>
    </row>
    <row r="798" spans="1:11" s="6" customFormat="1" x14ac:dyDescent="0.3">
      <c r="A798" s="28">
        <v>46157</v>
      </c>
      <c r="B798" s="29" t="str">
        <f t="shared" si="87"/>
        <v>MAIO</v>
      </c>
      <c r="C798" s="12" t="s">
        <v>19</v>
      </c>
      <c r="D798" s="12" t="s">
        <v>12</v>
      </c>
      <c r="E798" s="30"/>
      <c r="F798" s="30"/>
      <c r="G798" s="29"/>
      <c r="H798" s="31"/>
      <c r="I798" s="29">
        <f>IFERROR(IF(T_PROD[[#This Row],[PREVISTO]]-T_PROD[[#This Row],[EFETIVO]]&lt; 0,0,T_PROD[[#This Row],[PREVISTO]]-T_PROD[[#This Row],[EFETIVO]] ),"")</f>
        <v>0</v>
      </c>
      <c r="J798" s="15" t="str">
        <f>IFERROR(IF(T_PROD[[#This Row],[META]]&gt;0,(T_PROD[[#This Row],[META]]/T_PROD[[#This Row],[PREVISTO]]),""),"")</f>
        <v/>
      </c>
      <c r="K798" s="15" t="str">
        <f>IFERROR(IF(T_PROD[[#This Row],[PRODUÇÃO]]&gt;0,(T_PROD[[#This Row],[PRODUÇÃO]]/T_PROD[[#This Row],[EFETIVO]]),""),"")</f>
        <v/>
      </c>
    </row>
    <row r="799" spans="1:11" s="6" customFormat="1" x14ac:dyDescent="0.3">
      <c r="A799" s="28">
        <v>46157</v>
      </c>
      <c r="B799" s="29" t="str">
        <f t="shared" si="87"/>
        <v>MAIO</v>
      </c>
      <c r="C799" s="12" t="s">
        <v>20</v>
      </c>
      <c r="D799" s="12" t="s">
        <v>12</v>
      </c>
      <c r="E799" s="30">
        <v>264</v>
      </c>
      <c r="F799" s="30">
        <v>215</v>
      </c>
      <c r="G799" s="29">
        <v>90</v>
      </c>
      <c r="H799" s="31">
        <v>90</v>
      </c>
      <c r="I799" s="29">
        <f>IFERROR(IF(T_PROD[[#This Row],[PREVISTO]]-T_PROD[[#This Row],[EFETIVO]]&lt; 0,0,T_PROD[[#This Row],[PREVISTO]]-T_PROD[[#This Row],[EFETIVO]] ),"")</f>
        <v>0</v>
      </c>
      <c r="J799" s="15">
        <f>IFERROR(IF(T_PROD[[#This Row],[META]]&gt;0,(T_PROD[[#This Row],[META]]/T_PROD[[#This Row],[PREVISTO]]),""),"")</f>
        <v>2.9333333333333331</v>
      </c>
      <c r="K799" s="15">
        <f>IFERROR(IF(T_PROD[[#This Row],[PRODUÇÃO]]&gt;0,(T_PROD[[#This Row],[PRODUÇÃO]]/T_PROD[[#This Row],[EFETIVO]]),""),"")</f>
        <v>2.3888888888888888</v>
      </c>
    </row>
    <row r="800" spans="1:11" s="6" customFormat="1" x14ac:dyDescent="0.3">
      <c r="A800" s="28">
        <v>46157</v>
      </c>
      <c r="B800" s="29" t="str">
        <f t="shared" si="87"/>
        <v>MAIO</v>
      </c>
      <c r="C800" s="12" t="s">
        <v>11</v>
      </c>
      <c r="D800" s="12" t="s">
        <v>12</v>
      </c>
      <c r="E800" s="30">
        <v>460</v>
      </c>
      <c r="F800" s="30">
        <v>440</v>
      </c>
      <c r="G800" s="29">
        <v>23</v>
      </c>
      <c r="H800" s="31">
        <v>23</v>
      </c>
      <c r="I800" s="29">
        <f>IFERROR(IF(T_PROD[[#This Row],[PREVISTO]]-T_PROD[[#This Row],[EFETIVO]]&lt; 0,0,T_PROD[[#This Row],[PREVISTO]]-T_PROD[[#This Row],[EFETIVO]] ),"")</f>
        <v>0</v>
      </c>
      <c r="J800" s="15">
        <f>IFERROR(IF(T_PROD[[#This Row],[META]]&gt;0,(T_PROD[[#This Row],[META]]/T_PROD[[#This Row],[PREVISTO]]),""),"")</f>
        <v>20</v>
      </c>
      <c r="K800" s="15">
        <f>IFERROR(IF(T_PROD[[#This Row],[PRODUÇÃO]]&gt;0,(T_PROD[[#This Row],[PRODUÇÃO]]/T_PROD[[#This Row],[EFETIVO]]),""),"")</f>
        <v>19.130434782608695</v>
      </c>
    </row>
    <row r="801" spans="1:11" s="6" customFormat="1" x14ac:dyDescent="0.3">
      <c r="A801" s="28">
        <v>46157</v>
      </c>
      <c r="B801" s="29" t="str">
        <f t="shared" si="87"/>
        <v>MAIO</v>
      </c>
      <c r="C801" s="12" t="s">
        <v>32</v>
      </c>
      <c r="D801" s="12" t="s">
        <v>12</v>
      </c>
      <c r="E801" s="30">
        <v>55</v>
      </c>
      <c r="F801" s="30">
        <v>65</v>
      </c>
      <c r="G801" s="29">
        <v>5</v>
      </c>
      <c r="H801" s="31">
        <v>6</v>
      </c>
      <c r="I801" s="29">
        <f>IFERROR(IF(T_PROD[[#This Row],[PREVISTO]]-T_PROD[[#This Row],[EFETIVO]]&lt; 0,0,T_PROD[[#This Row],[PREVISTO]]-T_PROD[[#This Row],[EFETIVO]] ),"")</f>
        <v>0</v>
      </c>
      <c r="J801" s="15">
        <f>IFERROR(IF(T_PROD[[#This Row],[META]]&gt;0,(T_PROD[[#This Row],[META]]/T_PROD[[#This Row],[PREVISTO]]),""),"")</f>
        <v>11</v>
      </c>
      <c r="K801" s="15">
        <f>IFERROR(IF(T_PROD[[#This Row],[PRODUÇÃO]]&gt;0,(T_PROD[[#This Row],[PRODUÇÃO]]/T_PROD[[#This Row],[EFETIVO]]),""),"")</f>
        <v>10.833333333333334</v>
      </c>
    </row>
    <row r="802" spans="1:11" s="6" customFormat="1" x14ac:dyDescent="0.3">
      <c r="A802" s="28">
        <v>46157</v>
      </c>
      <c r="B802" s="29" t="str">
        <f t="shared" si="87"/>
        <v>MAIO</v>
      </c>
      <c r="C802" s="12" t="s">
        <v>14</v>
      </c>
      <c r="D802" s="12" t="s">
        <v>12</v>
      </c>
      <c r="E802" s="30">
        <v>515</v>
      </c>
      <c r="F802" s="30">
        <v>505</v>
      </c>
      <c r="G802" s="29">
        <v>87</v>
      </c>
      <c r="H802" s="31">
        <v>84</v>
      </c>
      <c r="I802" s="29">
        <f>IFERROR(IF(T_PROD[[#This Row],[PREVISTO]]-T_PROD[[#This Row],[EFETIVO]]&lt; 0,0,T_PROD[[#This Row],[PREVISTO]]-T_PROD[[#This Row],[EFETIVO]] ),"")</f>
        <v>3</v>
      </c>
      <c r="J802" s="15">
        <f>IFERROR(IF(T_PROD[[#This Row],[META]]&gt;0,(T_PROD[[#This Row],[META]]/T_PROD[[#This Row],[PREVISTO]]),""),"")</f>
        <v>5.9195402298850572</v>
      </c>
      <c r="K802" s="15">
        <f>IFERROR(IF(T_PROD[[#This Row],[PRODUÇÃO]]&gt;0,(T_PROD[[#This Row],[PRODUÇÃO]]/T_PROD[[#This Row],[EFETIVO]]),""),"")</f>
        <v>6.0119047619047619</v>
      </c>
    </row>
    <row r="803" spans="1:11" s="6" customFormat="1" x14ac:dyDescent="0.3">
      <c r="A803" s="7"/>
      <c r="E803" s="8"/>
      <c r="F803" s="8"/>
      <c r="H803" s="9"/>
      <c r="J803" s="10"/>
      <c r="K803" s="10"/>
    </row>
    <row r="804" spans="1:11" s="6" customFormat="1" x14ac:dyDescent="0.3">
      <c r="A804" s="7"/>
      <c r="E804" s="8"/>
      <c r="F804" s="8"/>
      <c r="H804" s="9"/>
      <c r="J804" s="10"/>
      <c r="K804" s="10"/>
    </row>
    <row r="805" spans="1:11" s="6" customFormat="1" x14ac:dyDescent="0.3">
      <c r="A805" s="7"/>
      <c r="E805" s="8"/>
      <c r="F805" s="8"/>
      <c r="H805" s="9"/>
      <c r="J805" s="10"/>
      <c r="K805" s="10"/>
    </row>
    <row r="806" spans="1:11" s="6" customFormat="1" x14ac:dyDescent="0.3">
      <c r="A806" s="7"/>
      <c r="E806" s="8"/>
      <c r="F806" s="8"/>
      <c r="H806" s="9"/>
      <c r="J806" s="10"/>
      <c r="K806" s="10"/>
    </row>
    <row r="807" spans="1:11" s="6" customFormat="1" x14ac:dyDescent="0.3">
      <c r="A807" s="7"/>
      <c r="E807" s="8"/>
      <c r="F807" s="8"/>
      <c r="H807" s="9"/>
      <c r="J807" s="10"/>
      <c r="K807" s="10"/>
    </row>
    <row r="808" spans="1:11" s="6" customFormat="1" x14ac:dyDescent="0.3">
      <c r="A808" s="7"/>
      <c r="E808" s="8"/>
      <c r="F808" s="8"/>
      <c r="H808" s="9"/>
      <c r="J808" s="10"/>
      <c r="K808" s="10"/>
    </row>
    <row r="809" spans="1:11" s="6" customFormat="1" x14ac:dyDescent="0.3">
      <c r="A809" s="7"/>
      <c r="E809" s="8"/>
      <c r="F809" s="8"/>
      <c r="H809" s="9"/>
      <c r="J809" s="10"/>
      <c r="K809" s="10"/>
    </row>
    <row r="810" spans="1:11" s="6" customFormat="1" x14ac:dyDescent="0.3">
      <c r="A810" s="7"/>
      <c r="E810" s="8"/>
      <c r="F810" s="8"/>
      <c r="H810" s="9"/>
      <c r="J810" s="10"/>
      <c r="K810" s="10"/>
    </row>
    <row r="811" spans="1:11" s="6" customFormat="1" x14ac:dyDescent="0.3">
      <c r="A811" s="7"/>
      <c r="E811" s="8"/>
      <c r="F811" s="8"/>
      <c r="H811" s="9"/>
      <c r="J811" s="10"/>
      <c r="K811" s="10"/>
    </row>
    <row r="812" spans="1:11" s="6" customFormat="1" x14ac:dyDescent="0.3">
      <c r="A812" s="7"/>
      <c r="E812" s="8"/>
      <c r="F812" s="8"/>
      <c r="H812" s="9"/>
      <c r="J812" s="10"/>
      <c r="K812" s="10"/>
    </row>
    <row r="813" spans="1:11" s="6" customFormat="1" x14ac:dyDescent="0.3">
      <c r="A813" s="7"/>
      <c r="E813" s="8"/>
      <c r="F813" s="8"/>
      <c r="H813" s="9"/>
      <c r="J813" s="10"/>
      <c r="K813" s="10"/>
    </row>
    <row r="814" spans="1:11" s="6" customFormat="1" x14ac:dyDescent="0.3">
      <c r="A814" s="7"/>
      <c r="E814" s="8"/>
      <c r="F814" s="8"/>
      <c r="H814" s="9"/>
      <c r="J814" s="10"/>
      <c r="K814" s="10"/>
    </row>
    <row r="815" spans="1:11" s="6" customFormat="1" x14ac:dyDescent="0.3">
      <c r="A815" s="7"/>
      <c r="E815" s="8"/>
      <c r="F815" s="8"/>
      <c r="H815" s="9"/>
      <c r="J815" s="10"/>
      <c r="K815" s="10"/>
    </row>
    <row r="816" spans="1:11" s="6" customFormat="1" x14ac:dyDescent="0.3">
      <c r="A816" s="7"/>
      <c r="E816" s="8"/>
      <c r="F816" s="8"/>
      <c r="H816" s="9"/>
      <c r="J816" s="10"/>
      <c r="K816" s="10"/>
    </row>
    <row r="817" spans="1:11" s="6" customFormat="1" x14ac:dyDescent="0.3">
      <c r="A817" s="7"/>
      <c r="E817" s="8"/>
      <c r="F817" s="8"/>
      <c r="H817" s="9"/>
      <c r="J817" s="10"/>
      <c r="K817" s="10"/>
    </row>
    <row r="818" spans="1:11" s="6" customFormat="1" x14ac:dyDescent="0.3">
      <c r="A818" s="7"/>
      <c r="E818" s="8"/>
      <c r="F818" s="8"/>
      <c r="H818" s="9"/>
      <c r="J818" s="10"/>
      <c r="K818" s="10"/>
    </row>
    <row r="819" spans="1:11" s="6" customFormat="1" x14ac:dyDescent="0.3">
      <c r="A819" s="7"/>
      <c r="E819" s="8"/>
      <c r="F819" s="8"/>
      <c r="H819" s="9"/>
      <c r="J819" s="10"/>
      <c r="K819" s="10"/>
    </row>
    <row r="820" spans="1:11" s="6" customFormat="1" x14ac:dyDescent="0.3">
      <c r="A820" s="7"/>
      <c r="E820" s="8"/>
      <c r="F820" s="8"/>
      <c r="H820" s="9"/>
      <c r="J820" s="10"/>
      <c r="K820" s="10"/>
    </row>
    <row r="821" spans="1:11" s="6" customFormat="1" x14ac:dyDescent="0.3">
      <c r="A821" s="7"/>
      <c r="E821" s="8"/>
      <c r="F821" s="8"/>
      <c r="H821" s="9"/>
      <c r="J821" s="10"/>
      <c r="K821" s="10"/>
    </row>
    <row r="822" spans="1:11" s="6" customFormat="1" x14ac:dyDescent="0.3">
      <c r="A822" s="7"/>
      <c r="E822" s="8"/>
      <c r="F822" s="8"/>
      <c r="H822" s="9"/>
      <c r="J822" s="10"/>
      <c r="K822" s="10"/>
    </row>
    <row r="823" spans="1:11" s="6" customFormat="1" x14ac:dyDescent="0.3">
      <c r="A823" s="7"/>
      <c r="E823" s="8"/>
      <c r="F823" s="8"/>
      <c r="H823" s="9"/>
      <c r="J823" s="10"/>
      <c r="K823" s="10"/>
    </row>
    <row r="824" spans="1:11" s="6" customFormat="1" x14ac:dyDescent="0.3">
      <c r="A824" s="7"/>
      <c r="E824" s="8"/>
      <c r="F824" s="8"/>
      <c r="H824" s="9"/>
      <c r="J824" s="10"/>
      <c r="K824" s="10"/>
    </row>
    <row r="825" spans="1:11" s="6" customFormat="1" x14ac:dyDescent="0.3">
      <c r="A825" s="7"/>
      <c r="E825" s="8"/>
      <c r="F825" s="8"/>
      <c r="H825" s="9"/>
      <c r="J825" s="10"/>
      <c r="K825" s="10"/>
    </row>
    <row r="826" spans="1:11" s="6" customFormat="1" x14ac:dyDescent="0.3">
      <c r="A826" s="7"/>
      <c r="E826" s="8"/>
      <c r="F826" s="8"/>
      <c r="H826" s="9"/>
      <c r="J826" s="10"/>
      <c r="K826" s="10"/>
    </row>
    <row r="827" spans="1:11" s="6" customFormat="1" x14ac:dyDescent="0.3">
      <c r="A827" s="7"/>
      <c r="E827" s="8"/>
      <c r="F827" s="8"/>
      <c r="H827" s="9"/>
      <c r="J827" s="10"/>
      <c r="K827" s="10"/>
    </row>
    <row r="828" spans="1:11" s="6" customFormat="1" x14ac:dyDescent="0.3">
      <c r="A828" s="7"/>
      <c r="E828" s="8"/>
      <c r="F828" s="8"/>
      <c r="H828" s="9"/>
      <c r="J828" s="10"/>
      <c r="K828" s="10"/>
    </row>
    <row r="829" spans="1:11" s="6" customFormat="1" x14ac:dyDescent="0.3">
      <c r="A829" s="7"/>
      <c r="E829" s="8"/>
      <c r="F829" s="8"/>
      <c r="H829" s="9"/>
      <c r="J829" s="10"/>
      <c r="K829" s="10"/>
    </row>
    <row r="830" spans="1:11" s="6" customFormat="1" x14ac:dyDescent="0.3">
      <c r="A830" s="7"/>
      <c r="E830" s="8"/>
      <c r="F830" s="8"/>
      <c r="H830" s="9"/>
      <c r="J830" s="10"/>
      <c r="K830" s="10"/>
    </row>
    <row r="831" spans="1:11" s="6" customFormat="1" x14ac:dyDescent="0.3">
      <c r="A831" s="7"/>
      <c r="E831" s="8"/>
      <c r="F831" s="8"/>
      <c r="H831" s="9"/>
      <c r="J831" s="10"/>
      <c r="K831" s="10"/>
    </row>
    <row r="832" spans="1:11" s="6" customFormat="1" x14ac:dyDescent="0.3">
      <c r="A832" s="7"/>
      <c r="E832" s="8"/>
      <c r="F832" s="8"/>
      <c r="H832" s="9"/>
      <c r="J832" s="10"/>
      <c r="K832" s="10"/>
    </row>
    <row r="833" spans="1:11" s="6" customFormat="1" x14ac:dyDescent="0.3">
      <c r="A833" s="7"/>
      <c r="E833" s="8"/>
      <c r="F833" s="8"/>
      <c r="H833" s="9"/>
      <c r="J833" s="10"/>
      <c r="K833" s="10"/>
    </row>
    <row r="834" spans="1:11" s="6" customFormat="1" x14ac:dyDescent="0.3">
      <c r="A834" s="7"/>
      <c r="E834" s="8"/>
      <c r="F834" s="8"/>
      <c r="H834" s="9"/>
      <c r="J834" s="10"/>
      <c r="K834" s="10"/>
    </row>
    <row r="835" spans="1:11" s="6" customFormat="1" x14ac:dyDescent="0.3">
      <c r="A835" s="7"/>
      <c r="E835" s="8"/>
      <c r="F835" s="8"/>
      <c r="H835" s="9"/>
      <c r="J835" s="10"/>
      <c r="K835" s="10"/>
    </row>
    <row r="836" spans="1:11" s="6" customFormat="1" x14ac:dyDescent="0.3">
      <c r="A836" s="7"/>
      <c r="E836" s="8"/>
      <c r="F836" s="8"/>
      <c r="H836" s="9"/>
      <c r="J836" s="10"/>
      <c r="K836" s="10"/>
    </row>
    <row r="837" spans="1:11" s="6" customFormat="1" x14ac:dyDescent="0.3">
      <c r="A837" s="7"/>
      <c r="E837" s="8"/>
      <c r="F837" s="8"/>
      <c r="H837" s="9"/>
      <c r="J837" s="10"/>
      <c r="K837" s="10"/>
    </row>
    <row r="838" spans="1:11" s="6" customFormat="1" x14ac:dyDescent="0.3">
      <c r="A838" s="7"/>
      <c r="E838" s="8"/>
      <c r="F838" s="8"/>
      <c r="H838" s="9"/>
      <c r="J838" s="10"/>
      <c r="K838" s="10"/>
    </row>
    <row r="839" spans="1:11" s="6" customFormat="1" x14ac:dyDescent="0.3">
      <c r="A839" s="7"/>
      <c r="E839" s="8"/>
      <c r="F839" s="8"/>
      <c r="H839" s="9"/>
      <c r="J839" s="10"/>
      <c r="K839" s="10"/>
    </row>
    <row r="840" spans="1:11" s="6" customFormat="1" x14ac:dyDescent="0.3">
      <c r="A840" s="7"/>
      <c r="E840" s="8"/>
      <c r="F840" s="8"/>
      <c r="H840" s="9"/>
      <c r="J840" s="10"/>
      <c r="K840" s="10"/>
    </row>
    <row r="841" spans="1:11" s="6" customFormat="1" x14ac:dyDescent="0.3">
      <c r="A841" s="7"/>
      <c r="E841" s="8"/>
      <c r="F841" s="8"/>
      <c r="H841" s="9"/>
      <c r="J841" s="10"/>
      <c r="K841" s="10"/>
    </row>
    <row r="842" spans="1:11" s="6" customFormat="1" x14ac:dyDescent="0.3">
      <c r="A842" s="7"/>
      <c r="E842" s="8"/>
      <c r="F842" s="8"/>
      <c r="H842" s="9"/>
      <c r="J842" s="10"/>
      <c r="K842" s="10"/>
    </row>
    <row r="843" spans="1:11" s="6" customFormat="1" x14ac:dyDescent="0.3">
      <c r="A843" s="7"/>
      <c r="E843" s="8"/>
      <c r="F843" s="8"/>
      <c r="H843" s="9"/>
      <c r="J843" s="10"/>
      <c r="K843" s="10"/>
    </row>
    <row r="844" spans="1:11" s="6" customFormat="1" x14ac:dyDescent="0.3">
      <c r="A844" s="7"/>
      <c r="E844" s="8"/>
      <c r="F844" s="8"/>
      <c r="H844" s="9"/>
      <c r="J844" s="10"/>
      <c r="K844" s="10"/>
    </row>
    <row r="845" spans="1:11" s="6" customFormat="1" x14ac:dyDescent="0.3">
      <c r="A845" s="7"/>
      <c r="E845" s="8"/>
      <c r="F845" s="8"/>
      <c r="H845" s="9"/>
      <c r="J845" s="10"/>
      <c r="K845" s="10"/>
    </row>
    <row r="846" spans="1:11" s="6" customFormat="1" x14ac:dyDescent="0.3">
      <c r="A846" s="7"/>
      <c r="E846" s="8"/>
      <c r="F846" s="8"/>
      <c r="H846" s="9"/>
      <c r="J846" s="10"/>
      <c r="K846" s="10"/>
    </row>
    <row r="847" spans="1:11" s="6" customFormat="1" x14ac:dyDescent="0.3">
      <c r="A847" s="7"/>
      <c r="E847" s="8"/>
      <c r="F847" s="8"/>
      <c r="H847" s="9"/>
      <c r="J847" s="10"/>
      <c r="K847" s="10"/>
    </row>
    <row r="848" spans="1:11" s="6" customFormat="1" x14ac:dyDescent="0.3">
      <c r="A848" s="7"/>
      <c r="E848" s="8"/>
      <c r="F848" s="8"/>
      <c r="H848" s="9"/>
      <c r="J848" s="10"/>
      <c r="K848" s="10"/>
    </row>
    <row r="849" spans="1:11" s="6" customFormat="1" x14ac:dyDescent="0.3">
      <c r="A849" s="7"/>
      <c r="E849" s="8"/>
      <c r="F849" s="8"/>
      <c r="H849" s="9"/>
      <c r="J849" s="10"/>
      <c r="K849" s="10"/>
    </row>
    <row r="850" spans="1:11" s="6" customFormat="1" x14ac:dyDescent="0.3">
      <c r="A850" s="7"/>
      <c r="E850" s="8"/>
      <c r="F850" s="8"/>
      <c r="H850" s="9"/>
      <c r="J850" s="10"/>
      <c r="K850" s="10"/>
    </row>
    <row r="851" spans="1:11" s="6" customFormat="1" x14ac:dyDescent="0.3">
      <c r="A851" s="7"/>
      <c r="E851" s="8"/>
      <c r="F851" s="8"/>
      <c r="H851" s="9"/>
      <c r="J851" s="10"/>
      <c r="K851" s="10"/>
    </row>
    <row r="852" spans="1:11" s="6" customFormat="1" x14ac:dyDescent="0.3">
      <c r="A852" s="7"/>
      <c r="E852" s="8"/>
      <c r="F852" s="8"/>
      <c r="H852" s="9"/>
      <c r="J852" s="10"/>
      <c r="K852" s="10"/>
    </row>
    <row r="853" spans="1:11" s="6" customFormat="1" x14ac:dyDescent="0.3">
      <c r="A853" s="7"/>
      <c r="E853" s="8"/>
      <c r="F853" s="8"/>
      <c r="H853" s="9"/>
      <c r="J853" s="10"/>
      <c r="K853" s="10"/>
    </row>
    <row r="854" spans="1:11" s="6" customFormat="1" x14ac:dyDescent="0.3">
      <c r="A854" s="7"/>
      <c r="E854" s="8"/>
      <c r="F854" s="8"/>
      <c r="H854" s="9"/>
      <c r="J854" s="10"/>
      <c r="K854" s="10"/>
    </row>
    <row r="855" spans="1:11" s="6" customFormat="1" x14ac:dyDescent="0.3">
      <c r="A855" s="7"/>
      <c r="E855" s="8"/>
      <c r="F855" s="8"/>
      <c r="H855" s="9"/>
      <c r="J855" s="10"/>
      <c r="K855" s="10"/>
    </row>
    <row r="856" spans="1:11" s="6" customFormat="1" x14ac:dyDescent="0.3">
      <c r="A856" s="7"/>
      <c r="E856" s="8"/>
      <c r="F856" s="8"/>
      <c r="H856" s="9"/>
      <c r="J856" s="10"/>
      <c r="K856" s="10"/>
    </row>
    <row r="857" spans="1:11" s="6" customFormat="1" x14ac:dyDescent="0.3">
      <c r="A857" s="7"/>
      <c r="E857" s="8"/>
      <c r="F857" s="8"/>
      <c r="H857" s="9"/>
      <c r="J857" s="10"/>
      <c r="K857" s="10"/>
    </row>
    <row r="858" spans="1:11" s="6" customFormat="1" x14ac:dyDescent="0.3">
      <c r="A858" s="7"/>
      <c r="E858" s="8"/>
      <c r="F858" s="8"/>
      <c r="H858" s="9"/>
      <c r="J858" s="10"/>
      <c r="K858" s="10"/>
    </row>
    <row r="859" spans="1:11" s="6" customFormat="1" x14ac:dyDescent="0.3">
      <c r="A859" s="7"/>
      <c r="E859" s="8"/>
      <c r="F859" s="8"/>
      <c r="H859" s="9"/>
      <c r="J859" s="10"/>
      <c r="K859" s="10"/>
    </row>
    <row r="860" spans="1:11" s="6" customFormat="1" x14ac:dyDescent="0.3">
      <c r="A860" s="7"/>
      <c r="E860" s="8"/>
      <c r="F860" s="8"/>
      <c r="H860" s="9"/>
      <c r="J860" s="10"/>
      <c r="K860" s="10"/>
    </row>
    <row r="861" spans="1:11" s="6" customFormat="1" x14ac:dyDescent="0.3">
      <c r="A861" s="7"/>
      <c r="E861" s="8"/>
      <c r="F861" s="8"/>
      <c r="H861" s="9"/>
      <c r="J861" s="10"/>
      <c r="K861" s="10"/>
    </row>
    <row r="862" spans="1:11" s="6" customFormat="1" x14ac:dyDescent="0.3">
      <c r="A862" s="7"/>
      <c r="E862" s="8"/>
      <c r="F862" s="8"/>
      <c r="H862" s="9"/>
      <c r="J862" s="10"/>
      <c r="K862" s="10"/>
    </row>
    <row r="863" spans="1:11" s="6" customFormat="1" x14ac:dyDescent="0.3">
      <c r="A863" s="7"/>
      <c r="E863" s="8"/>
      <c r="F863" s="8"/>
      <c r="H863" s="9"/>
      <c r="J863" s="10"/>
      <c r="K863" s="10"/>
    </row>
    <row r="864" spans="1:11" s="6" customFormat="1" x14ac:dyDescent="0.3">
      <c r="A864" s="7"/>
      <c r="E864" s="8"/>
      <c r="F864" s="8"/>
      <c r="H864" s="9"/>
      <c r="J864" s="10"/>
      <c r="K864" s="10"/>
    </row>
    <row r="865" spans="1:11" s="6" customFormat="1" x14ac:dyDescent="0.3">
      <c r="A865" s="7"/>
      <c r="E865" s="8"/>
      <c r="F865" s="8"/>
      <c r="H865" s="9"/>
      <c r="J865" s="10"/>
      <c r="K865" s="10"/>
    </row>
    <row r="866" spans="1:11" s="6" customFormat="1" x14ac:dyDescent="0.3">
      <c r="A866" s="7"/>
      <c r="E866" s="8"/>
      <c r="F866" s="8"/>
      <c r="H866" s="9"/>
      <c r="J866" s="10"/>
      <c r="K866" s="10"/>
    </row>
    <row r="867" spans="1:11" s="6" customFormat="1" x14ac:dyDescent="0.3">
      <c r="A867" s="7"/>
      <c r="E867" s="8"/>
      <c r="F867" s="8"/>
      <c r="H867" s="9"/>
      <c r="J867" s="10"/>
      <c r="K867" s="10"/>
    </row>
    <row r="868" spans="1:11" s="6" customFormat="1" x14ac:dyDescent="0.3">
      <c r="A868" s="7"/>
      <c r="E868" s="8"/>
      <c r="F868" s="8"/>
      <c r="H868" s="9"/>
      <c r="J868" s="10"/>
      <c r="K868" s="10"/>
    </row>
    <row r="869" spans="1:11" s="6" customFormat="1" x14ac:dyDescent="0.3">
      <c r="A869" s="7"/>
      <c r="E869" s="8"/>
      <c r="F869" s="8"/>
      <c r="H869" s="9"/>
      <c r="J869" s="10"/>
      <c r="K869" s="10"/>
    </row>
    <row r="870" spans="1:11" s="6" customFormat="1" x14ac:dyDescent="0.3">
      <c r="A870" s="7"/>
      <c r="E870" s="8"/>
      <c r="F870" s="8"/>
      <c r="H870" s="9"/>
      <c r="J870" s="10"/>
      <c r="K870" s="10"/>
    </row>
    <row r="871" spans="1:11" s="6" customFormat="1" x14ac:dyDescent="0.3">
      <c r="A871" s="7"/>
      <c r="E871" s="8"/>
      <c r="F871" s="8"/>
      <c r="H871" s="9"/>
      <c r="J871" s="10"/>
      <c r="K871" s="10"/>
    </row>
    <row r="872" spans="1:11" s="6" customFormat="1" x14ac:dyDescent="0.3">
      <c r="A872" s="7"/>
      <c r="E872" s="8"/>
      <c r="F872" s="8"/>
      <c r="H872" s="9"/>
      <c r="J872" s="10"/>
      <c r="K872" s="10"/>
    </row>
    <row r="873" spans="1:11" s="6" customFormat="1" x14ac:dyDescent="0.3">
      <c r="A873" s="7"/>
      <c r="E873" s="8"/>
      <c r="F873" s="8"/>
      <c r="H873" s="9"/>
      <c r="J873" s="10"/>
      <c r="K873" s="10"/>
    </row>
    <row r="874" spans="1:11" s="6" customFormat="1" x14ac:dyDescent="0.3">
      <c r="A874" s="7"/>
      <c r="E874" s="8"/>
      <c r="F874" s="8"/>
      <c r="H874" s="9"/>
      <c r="J874" s="10"/>
      <c r="K874" s="10"/>
    </row>
    <row r="875" spans="1:11" s="6" customFormat="1" x14ac:dyDescent="0.3">
      <c r="A875" s="7"/>
      <c r="E875" s="8"/>
      <c r="F875" s="8"/>
      <c r="H875" s="9"/>
      <c r="J875" s="10"/>
      <c r="K875" s="10"/>
    </row>
    <row r="876" spans="1:11" s="6" customFormat="1" x14ac:dyDescent="0.3">
      <c r="A876" s="7"/>
      <c r="E876" s="8"/>
      <c r="F876" s="8"/>
      <c r="H876" s="9"/>
      <c r="J876" s="10"/>
      <c r="K876" s="10"/>
    </row>
    <row r="877" spans="1:11" s="6" customFormat="1" x14ac:dyDescent="0.3">
      <c r="A877" s="7"/>
      <c r="E877" s="8"/>
      <c r="F877" s="8"/>
      <c r="H877" s="9"/>
      <c r="J877" s="10"/>
      <c r="K877" s="10"/>
    </row>
    <row r="878" spans="1:11" s="6" customFormat="1" x14ac:dyDescent="0.3">
      <c r="A878" s="7"/>
      <c r="E878" s="8"/>
      <c r="F878" s="8"/>
      <c r="H878" s="9"/>
      <c r="J878" s="10"/>
      <c r="K878" s="10"/>
    </row>
    <row r="879" spans="1:11" s="6" customFormat="1" x14ac:dyDescent="0.3">
      <c r="A879" s="7"/>
      <c r="E879" s="8"/>
      <c r="F879" s="8"/>
      <c r="H879" s="9"/>
      <c r="J879" s="10"/>
      <c r="K879" s="10"/>
    </row>
    <row r="880" spans="1:11" s="6" customFormat="1" x14ac:dyDescent="0.3">
      <c r="A880" s="7"/>
      <c r="E880" s="8"/>
      <c r="F880" s="8"/>
      <c r="H880" s="9"/>
      <c r="J880" s="10"/>
      <c r="K880" s="10"/>
    </row>
    <row r="881" spans="1:11" s="6" customFormat="1" x14ac:dyDescent="0.3">
      <c r="A881" s="7"/>
      <c r="E881" s="8"/>
      <c r="F881" s="8"/>
      <c r="H881" s="9"/>
      <c r="J881" s="10"/>
      <c r="K881" s="10"/>
    </row>
    <row r="882" spans="1:11" s="6" customFormat="1" x14ac:dyDescent="0.3">
      <c r="A882" s="7"/>
      <c r="E882" s="8"/>
      <c r="F882" s="8"/>
      <c r="H882" s="9"/>
      <c r="J882" s="10"/>
      <c r="K882" s="10"/>
    </row>
    <row r="883" spans="1:11" s="6" customFormat="1" x14ac:dyDescent="0.3">
      <c r="A883" s="7"/>
      <c r="E883" s="8"/>
      <c r="F883" s="8"/>
      <c r="H883" s="9"/>
      <c r="J883" s="10"/>
      <c r="K883" s="10"/>
    </row>
    <row r="884" spans="1:11" s="6" customFormat="1" x14ac:dyDescent="0.3">
      <c r="A884" s="7"/>
      <c r="E884" s="8"/>
      <c r="F884" s="8"/>
      <c r="H884" s="9"/>
      <c r="J884" s="10"/>
      <c r="K884" s="10"/>
    </row>
    <row r="885" spans="1:11" s="6" customFormat="1" x14ac:dyDescent="0.3">
      <c r="A885" s="7"/>
      <c r="E885" s="8"/>
      <c r="F885" s="8"/>
      <c r="H885" s="9"/>
      <c r="J885" s="10"/>
      <c r="K885" s="10"/>
    </row>
    <row r="886" spans="1:11" s="6" customFormat="1" x14ac:dyDescent="0.3">
      <c r="A886" s="7"/>
      <c r="E886" s="8"/>
      <c r="F886" s="8"/>
      <c r="H886" s="9"/>
      <c r="J886" s="10"/>
      <c r="K886" s="10"/>
    </row>
    <row r="887" spans="1:11" s="6" customFormat="1" x14ac:dyDescent="0.3">
      <c r="A887" s="7"/>
      <c r="E887" s="8"/>
      <c r="F887" s="8"/>
      <c r="H887" s="9"/>
      <c r="J887" s="10"/>
      <c r="K887" s="10"/>
    </row>
    <row r="888" spans="1:11" s="6" customFormat="1" x14ac:dyDescent="0.3">
      <c r="A888" s="7"/>
      <c r="E888" s="8"/>
      <c r="F888" s="8"/>
      <c r="H888" s="9"/>
      <c r="J888" s="10"/>
      <c r="K888" s="10"/>
    </row>
    <row r="889" spans="1:11" s="6" customFormat="1" x14ac:dyDescent="0.3">
      <c r="A889" s="7"/>
      <c r="E889" s="8"/>
      <c r="F889" s="8"/>
      <c r="H889" s="9"/>
      <c r="J889" s="10"/>
      <c r="K889" s="10"/>
    </row>
    <row r="890" spans="1:11" s="6" customFormat="1" x14ac:dyDescent="0.3">
      <c r="A890" s="7"/>
      <c r="E890" s="8"/>
      <c r="F890" s="8"/>
      <c r="H890" s="9"/>
      <c r="J890" s="10"/>
      <c r="K890" s="10"/>
    </row>
    <row r="891" spans="1:11" s="6" customFormat="1" x14ac:dyDescent="0.3">
      <c r="A891" s="7"/>
      <c r="E891" s="8"/>
      <c r="F891" s="8"/>
      <c r="H891" s="9"/>
      <c r="J891" s="10"/>
      <c r="K891" s="10"/>
    </row>
    <row r="892" spans="1:11" s="6" customFormat="1" x14ac:dyDescent="0.3">
      <c r="A892" s="7"/>
      <c r="E892" s="8"/>
      <c r="F892" s="8"/>
      <c r="H892" s="9"/>
      <c r="J892" s="10"/>
      <c r="K892" s="10"/>
    </row>
    <row r="893" spans="1:11" s="6" customFormat="1" x14ac:dyDescent="0.3">
      <c r="A893" s="7"/>
      <c r="E893" s="8"/>
      <c r="F893" s="8"/>
      <c r="H893" s="9"/>
      <c r="J893" s="10"/>
      <c r="K893" s="10"/>
    </row>
    <row r="894" spans="1:11" s="6" customFormat="1" x14ac:dyDescent="0.3">
      <c r="A894" s="7"/>
      <c r="E894" s="8"/>
      <c r="F894" s="8"/>
      <c r="H894" s="9"/>
      <c r="J894" s="10"/>
      <c r="K894" s="10"/>
    </row>
    <row r="895" spans="1:11" s="6" customFormat="1" x14ac:dyDescent="0.3">
      <c r="A895" s="7"/>
      <c r="E895" s="8"/>
      <c r="F895" s="8"/>
      <c r="H895" s="9"/>
      <c r="J895" s="10"/>
      <c r="K895" s="10"/>
    </row>
    <row r="896" spans="1:11" s="6" customFormat="1" x14ac:dyDescent="0.3">
      <c r="A896" s="7"/>
      <c r="E896" s="8"/>
      <c r="F896" s="8"/>
      <c r="H896" s="9"/>
      <c r="J896" s="10"/>
      <c r="K896" s="10"/>
    </row>
    <row r="897" spans="1:11" s="6" customFormat="1" x14ac:dyDescent="0.3">
      <c r="A897" s="7"/>
      <c r="E897" s="8"/>
      <c r="F897" s="8"/>
      <c r="H897" s="9"/>
      <c r="J897" s="10"/>
      <c r="K897" s="10"/>
    </row>
    <row r="898" spans="1:11" s="6" customFormat="1" x14ac:dyDescent="0.3">
      <c r="A898" s="7"/>
      <c r="E898" s="8"/>
      <c r="F898" s="8"/>
      <c r="H898" s="9"/>
      <c r="J898" s="10"/>
      <c r="K898" s="10"/>
    </row>
    <row r="899" spans="1:11" s="6" customFormat="1" x14ac:dyDescent="0.3">
      <c r="A899" s="7"/>
      <c r="E899" s="8"/>
      <c r="F899" s="8"/>
      <c r="H899" s="9"/>
      <c r="J899" s="10"/>
      <c r="K899" s="10"/>
    </row>
    <row r="900" spans="1:11" s="6" customFormat="1" x14ac:dyDescent="0.3">
      <c r="A900" s="7"/>
      <c r="E900" s="8"/>
      <c r="F900" s="8"/>
      <c r="H900" s="9"/>
      <c r="J900" s="10"/>
      <c r="K900" s="10"/>
    </row>
    <row r="901" spans="1:11" s="6" customFormat="1" x14ac:dyDescent="0.3">
      <c r="A901" s="7"/>
      <c r="E901" s="8"/>
      <c r="F901" s="8"/>
      <c r="H901" s="9"/>
      <c r="J901" s="10"/>
      <c r="K901" s="10"/>
    </row>
    <row r="902" spans="1:11" s="6" customFormat="1" x14ac:dyDescent="0.3">
      <c r="A902" s="7"/>
      <c r="E902" s="8"/>
      <c r="F902" s="8"/>
      <c r="H902" s="9"/>
      <c r="J902" s="10"/>
      <c r="K902" s="10"/>
    </row>
    <row r="903" spans="1:11" s="6" customFormat="1" x14ac:dyDescent="0.3">
      <c r="A903" s="7"/>
      <c r="E903" s="8"/>
      <c r="F903" s="8"/>
      <c r="H903" s="9"/>
      <c r="J903" s="10"/>
      <c r="K903" s="10"/>
    </row>
    <row r="904" spans="1:11" s="6" customFormat="1" x14ac:dyDescent="0.3">
      <c r="A904" s="7"/>
      <c r="E904" s="8"/>
      <c r="F904" s="8"/>
      <c r="H904" s="9"/>
      <c r="J904" s="10"/>
      <c r="K904" s="10"/>
    </row>
    <row r="905" spans="1:11" s="6" customFormat="1" x14ac:dyDescent="0.3">
      <c r="A905" s="7"/>
      <c r="E905" s="8"/>
      <c r="F905" s="8"/>
      <c r="H905" s="9"/>
      <c r="J905" s="10"/>
      <c r="K905" s="10"/>
    </row>
    <row r="906" spans="1:11" s="6" customFormat="1" x14ac:dyDescent="0.3">
      <c r="A906" s="7"/>
      <c r="E906" s="8"/>
      <c r="F906" s="8"/>
      <c r="H906" s="9"/>
      <c r="J906" s="10"/>
      <c r="K906" s="10"/>
    </row>
    <row r="907" spans="1:11" s="6" customFormat="1" x14ac:dyDescent="0.3">
      <c r="A907" s="7"/>
      <c r="E907" s="8"/>
      <c r="F907" s="8"/>
      <c r="H907" s="9"/>
      <c r="J907" s="10"/>
      <c r="K907" s="10"/>
    </row>
    <row r="908" spans="1:11" s="6" customFormat="1" x14ac:dyDescent="0.3">
      <c r="A908" s="7"/>
      <c r="E908" s="8"/>
      <c r="F908" s="8"/>
      <c r="H908" s="9"/>
      <c r="J908" s="10"/>
      <c r="K908" s="10"/>
    </row>
    <row r="909" spans="1:11" s="6" customFormat="1" x14ac:dyDescent="0.3">
      <c r="A909" s="7"/>
      <c r="E909" s="8"/>
      <c r="F909" s="8"/>
      <c r="H909" s="9"/>
      <c r="J909" s="10"/>
      <c r="K909" s="10"/>
    </row>
    <row r="910" spans="1:11" s="6" customFormat="1" x14ac:dyDescent="0.3">
      <c r="A910" s="7"/>
      <c r="E910" s="8"/>
      <c r="F910" s="8"/>
      <c r="H910" s="9"/>
      <c r="J910" s="10"/>
      <c r="K910" s="10"/>
    </row>
    <row r="911" spans="1:11" s="6" customFormat="1" x14ac:dyDescent="0.3">
      <c r="A911" s="7"/>
      <c r="E911" s="8"/>
      <c r="F911" s="8"/>
      <c r="H911" s="9"/>
      <c r="J911" s="10"/>
      <c r="K911" s="10"/>
    </row>
    <row r="912" spans="1:11" s="6" customFormat="1" x14ac:dyDescent="0.3">
      <c r="A912" s="7"/>
      <c r="E912" s="8"/>
      <c r="F912" s="8"/>
      <c r="H912" s="9"/>
      <c r="J912" s="10"/>
      <c r="K912" s="10"/>
    </row>
    <row r="913" spans="1:11" s="6" customFormat="1" x14ac:dyDescent="0.3">
      <c r="A913" s="7"/>
      <c r="E913" s="8"/>
      <c r="F913" s="8"/>
      <c r="H913" s="9"/>
      <c r="J913" s="10"/>
      <c r="K913" s="10"/>
    </row>
    <row r="914" spans="1:11" s="6" customFormat="1" x14ac:dyDescent="0.3">
      <c r="A914" s="7"/>
      <c r="E914" s="8"/>
      <c r="F914" s="8"/>
      <c r="H914" s="9"/>
      <c r="J914" s="10"/>
      <c r="K914" s="10"/>
    </row>
    <row r="915" spans="1:11" s="6" customFormat="1" x14ac:dyDescent="0.3">
      <c r="A915" s="7"/>
      <c r="E915" s="8"/>
      <c r="F915" s="8"/>
      <c r="H915" s="9"/>
      <c r="J915" s="10"/>
      <c r="K915" s="10"/>
    </row>
    <row r="916" spans="1:11" s="6" customFormat="1" x14ac:dyDescent="0.3">
      <c r="A916" s="7"/>
      <c r="E916" s="8"/>
      <c r="F916" s="8"/>
      <c r="H916" s="9"/>
      <c r="J916" s="10"/>
      <c r="K916" s="10"/>
    </row>
    <row r="917" spans="1:11" s="6" customFormat="1" x14ac:dyDescent="0.3">
      <c r="A917" s="7"/>
      <c r="E917" s="8"/>
      <c r="F917" s="8"/>
      <c r="H917" s="9"/>
      <c r="J917" s="10"/>
      <c r="K917" s="10"/>
    </row>
    <row r="918" spans="1:11" s="6" customFormat="1" x14ac:dyDescent="0.3">
      <c r="A918" s="7"/>
      <c r="E918" s="8"/>
      <c r="F918" s="8"/>
      <c r="H918" s="9"/>
      <c r="J918" s="10"/>
      <c r="K918" s="10"/>
    </row>
    <row r="919" spans="1:11" s="6" customFormat="1" x14ac:dyDescent="0.3">
      <c r="A919" s="7"/>
      <c r="E919" s="8"/>
      <c r="F919" s="8"/>
      <c r="H919" s="9"/>
      <c r="J919" s="10"/>
      <c r="K919" s="10"/>
    </row>
    <row r="920" spans="1:11" s="6" customFormat="1" x14ac:dyDescent="0.3">
      <c r="A920" s="7"/>
      <c r="E920" s="8"/>
      <c r="F920" s="8"/>
      <c r="H920" s="9"/>
      <c r="J920" s="10"/>
      <c r="K920" s="10"/>
    </row>
    <row r="921" spans="1:11" s="6" customFormat="1" x14ac:dyDescent="0.3">
      <c r="A921" s="7"/>
      <c r="E921" s="8"/>
      <c r="F921" s="8"/>
      <c r="H921" s="9"/>
      <c r="J921" s="10"/>
      <c r="K921" s="10"/>
    </row>
    <row r="922" spans="1:11" s="6" customFormat="1" x14ac:dyDescent="0.3">
      <c r="A922" s="7"/>
      <c r="E922" s="8"/>
      <c r="F922" s="8"/>
      <c r="H922" s="9"/>
      <c r="J922" s="10"/>
      <c r="K922" s="10"/>
    </row>
    <row r="923" spans="1:11" s="6" customFormat="1" x14ac:dyDescent="0.3">
      <c r="A923" s="7"/>
      <c r="E923" s="8"/>
      <c r="F923" s="8"/>
      <c r="H923" s="9"/>
      <c r="J923" s="10"/>
      <c r="K923" s="10"/>
    </row>
    <row r="924" spans="1:11" s="6" customFormat="1" x14ac:dyDescent="0.3">
      <c r="A924" s="7"/>
      <c r="E924" s="8"/>
      <c r="F924" s="8"/>
      <c r="H924" s="9"/>
      <c r="J924" s="10"/>
      <c r="K924" s="10"/>
    </row>
    <row r="925" spans="1:11" s="6" customFormat="1" x14ac:dyDescent="0.3">
      <c r="A925" s="7"/>
      <c r="E925" s="8"/>
      <c r="F925" s="8"/>
      <c r="H925" s="9"/>
      <c r="J925" s="10"/>
      <c r="K925" s="10"/>
    </row>
    <row r="926" spans="1:11" s="6" customFormat="1" x14ac:dyDescent="0.3">
      <c r="A926" s="7"/>
      <c r="E926" s="8"/>
      <c r="F926" s="8"/>
      <c r="H926" s="9"/>
      <c r="J926" s="10"/>
      <c r="K926" s="10"/>
    </row>
    <row r="927" spans="1:11" s="6" customFormat="1" x14ac:dyDescent="0.3">
      <c r="A927" s="7"/>
      <c r="E927" s="8"/>
      <c r="F927" s="8"/>
      <c r="H927" s="9"/>
      <c r="J927" s="10"/>
      <c r="K927" s="10"/>
    </row>
    <row r="928" spans="1:11" s="6" customFormat="1" x14ac:dyDescent="0.3">
      <c r="A928" s="7"/>
      <c r="E928" s="8"/>
      <c r="F928" s="8"/>
      <c r="H928" s="9"/>
      <c r="J928" s="10"/>
      <c r="K928" s="10"/>
    </row>
    <row r="929" spans="1:11" s="6" customFormat="1" x14ac:dyDescent="0.3">
      <c r="A929" s="7"/>
      <c r="E929" s="8"/>
      <c r="F929" s="8"/>
      <c r="H929" s="9"/>
      <c r="J929" s="10"/>
      <c r="K929" s="10"/>
    </row>
    <row r="930" spans="1:11" s="6" customFormat="1" x14ac:dyDescent="0.3">
      <c r="A930" s="7"/>
      <c r="E930" s="8"/>
      <c r="F930" s="8"/>
      <c r="H930" s="9"/>
      <c r="J930" s="10"/>
      <c r="K930" s="10"/>
    </row>
    <row r="931" spans="1:11" s="6" customFormat="1" x14ac:dyDescent="0.3">
      <c r="A931" s="7"/>
      <c r="E931" s="8"/>
      <c r="F931" s="8"/>
      <c r="H931" s="9"/>
      <c r="J931" s="10"/>
      <c r="K931" s="10"/>
    </row>
    <row r="932" spans="1:11" s="6" customFormat="1" x14ac:dyDescent="0.3">
      <c r="A932" s="7"/>
      <c r="E932" s="8"/>
      <c r="F932" s="8"/>
      <c r="H932" s="9"/>
      <c r="J932" s="10"/>
      <c r="K932" s="10"/>
    </row>
    <row r="933" spans="1:11" s="6" customFormat="1" x14ac:dyDescent="0.3">
      <c r="A933" s="7"/>
      <c r="E933" s="8"/>
      <c r="F933" s="8"/>
      <c r="H933" s="9"/>
      <c r="J933" s="10"/>
      <c r="K933" s="10"/>
    </row>
    <row r="934" spans="1:11" s="6" customFormat="1" x14ac:dyDescent="0.3">
      <c r="A934" s="7"/>
      <c r="E934" s="8"/>
      <c r="F934" s="8"/>
      <c r="H934" s="9"/>
      <c r="J934" s="10"/>
      <c r="K934" s="10"/>
    </row>
    <row r="935" spans="1:11" s="6" customFormat="1" x14ac:dyDescent="0.3">
      <c r="A935" s="7"/>
      <c r="E935" s="8"/>
      <c r="F935" s="8"/>
      <c r="H935" s="9"/>
      <c r="J935" s="10"/>
      <c r="K935" s="10"/>
    </row>
    <row r="936" spans="1:11" s="6" customFormat="1" x14ac:dyDescent="0.3">
      <c r="A936" s="7"/>
      <c r="E936" s="8"/>
      <c r="F936" s="8"/>
      <c r="H936" s="9"/>
      <c r="J936" s="10"/>
      <c r="K936" s="10"/>
    </row>
    <row r="937" spans="1:11" s="6" customFormat="1" x14ac:dyDescent="0.3">
      <c r="A937" s="7"/>
      <c r="E937" s="8"/>
      <c r="F937" s="8"/>
      <c r="H937" s="9"/>
      <c r="J937" s="10"/>
      <c r="K937" s="10"/>
    </row>
    <row r="938" spans="1:11" s="6" customFormat="1" x14ac:dyDescent="0.3">
      <c r="A938" s="7"/>
      <c r="E938" s="8"/>
      <c r="F938" s="8"/>
      <c r="H938" s="9"/>
      <c r="J938" s="10"/>
      <c r="K938" s="10"/>
    </row>
    <row r="939" spans="1:11" s="6" customFormat="1" x14ac:dyDescent="0.3">
      <c r="A939" s="7"/>
      <c r="E939" s="8"/>
      <c r="F939" s="8"/>
      <c r="H939" s="9"/>
      <c r="J939" s="10"/>
      <c r="K939" s="10"/>
    </row>
    <row r="940" spans="1:11" s="6" customFormat="1" x14ac:dyDescent="0.3">
      <c r="A940" s="7"/>
      <c r="E940" s="8"/>
      <c r="F940" s="8"/>
      <c r="H940" s="9"/>
      <c r="J940" s="10"/>
      <c r="K940" s="10"/>
    </row>
    <row r="941" spans="1:11" s="6" customFormat="1" x14ac:dyDescent="0.3">
      <c r="A941" s="7"/>
      <c r="E941" s="8"/>
      <c r="F941" s="8"/>
      <c r="H941" s="9"/>
      <c r="J941" s="10"/>
      <c r="K941" s="10"/>
    </row>
    <row r="942" spans="1:11" s="6" customFormat="1" x14ac:dyDescent="0.3">
      <c r="A942" s="7"/>
      <c r="E942" s="8"/>
      <c r="F942" s="8"/>
      <c r="H942" s="9"/>
      <c r="J942" s="10"/>
      <c r="K942" s="10"/>
    </row>
    <row r="943" spans="1:11" s="6" customFormat="1" x14ac:dyDescent="0.3">
      <c r="A943" s="7"/>
      <c r="E943" s="8"/>
      <c r="F943" s="8"/>
      <c r="H943" s="9"/>
      <c r="J943" s="10"/>
      <c r="K943" s="10"/>
    </row>
    <row r="944" spans="1:11" s="6" customFormat="1" x14ac:dyDescent="0.3">
      <c r="A944" s="7"/>
      <c r="E944" s="8"/>
      <c r="F944" s="8"/>
      <c r="H944" s="9"/>
      <c r="J944" s="10"/>
      <c r="K944" s="10"/>
    </row>
    <row r="945" spans="1:11" s="6" customFormat="1" x14ac:dyDescent="0.3">
      <c r="A945" s="7"/>
      <c r="E945" s="8"/>
      <c r="F945" s="8"/>
      <c r="H945" s="9"/>
      <c r="J945" s="10"/>
      <c r="K945" s="10"/>
    </row>
    <row r="946" spans="1:11" s="6" customFormat="1" x14ac:dyDescent="0.3">
      <c r="A946" s="7"/>
      <c r="E946" s="8"/>
      <c r="F946" s="8"/>
      <c r="H946" s="9"/>
      <c r="J946" s="10"/>
      <c r="K946" s="10"/>
    </row>
    <row r="947" spans="1:11" s="6" customFormat="1" x14ac:dyDescent="0.3">
      <c r="A947" s="7"/>
      <c r="E947" s="8"/>
      <c r="F947" s="8"/>
      <c r="H947" s="9"/>
      <c r="J947" s="10"/>
      <c r="K947" s="10"/>
    </row>
    <row r="948" spans="1:11" s="6" customFormat="1" x14ac:dyDescent="0.3">
      <c r="A948" s="7"/>
      <c r="E948" s="8"/>
      <c r="F948" s="8"/>
      <c r="H948" s="9"/>
      <c r="J948" s="10"/>
      <c r="K948" s="10"/>
    </row>
    <row r="949" spans="1:11" s="6" customFormat="1" x14ac:dyDescent="0.3">
      <c r="A949" s="7"/>
      <c r="E949" s="8"/>
      <c r="F949" s="8"/>
      <c r="H949" s="9"/>
      <c r="J949" s="10"/>
      <c r="K949" s="10"/>
    </row>
    <row r="950" spans="1:11" s="6" customFormat="1" x14ac:dyDescent="0.3">
      <c r="A950" s="7"/>
      <c r="E950" s="8"/>
      <c r="F950" s="8"/>
      <c r="H950" s="9"/>
      <c r="J950" s="10"/>
      <c r="K950" s="10"/>
    </row>
    <row r="951" spans="1:11" s="6" customFormat="1" x14ac:dyDescent="0.3">
      <c r="A951" s="7"/>
      <c r="E951" s="8"/>
      <c r="F951" s="8"/>
      <c r="H951" s="9"/>
      <c r="J951" s="10"/>
      <c r="K951" s="10"/>
    </row>
    <row r="952" spans="1:11" s="6" customFormat="1" x14ac:dyDescent="0.3">
      <c r="A952" s="7"/>
      <c r="E952" s="8"/>
      <c r="F952" s="8"/>
      <c r="H952" s="9"/>
      <c r="J952" s="10"/>
      <c r="K952" s="10"/>
    </row>
    <row r="953" spans="1:11" s="6" customFormat="1" x14ac:dyDescent="0.3">
      <c r="A953" s="7"/>
      <c r="E953" s="8"/>
      <c r="F953" s="8"/>
      <c r="H953" s="9"/>
      <c r="J953" s="10"/>
      <c r="K953" s="10"/>
    </row>
    <row r="954" spans="1:11" s="6" customFormat="1" x14ac:dyDescent="0.3">
      <c r="A954" s="7"/>
      <c r="E954" s="8"/>
      <c r="F954" s="8"/>
      <c r="H954" s="9"/>
      <c r="J954" s="10"/>
      <c r="K954" s="10"/>
    </row>
    <row r="955" spans="1:11" s="6" customFormat="1" x14ac:dyDescent="0.3">
      <c r="A955" s="7"/>
      <c r="E955" s="8"/>
      <c r="F955" s="8"/>
      <c r="H955" s="9"/>
      <c r="J955" s="10"/>
      <c r="K955" s="10"/>
    </row>
    <row r="956" spans="1:11" s="6" customFormat="1" x14ac:dyDescent="0.3">
      <c r="A956" s="7"/>
      <c r="E956" s="8"/>
      <c r="F956" s="8"/>
      <c r="H956" s="9"/>
      <c r="J956" s="10"/>
      <c r="K956" s="10"/>
    </row>
    <row r="957" spans="1:11" s="6" customFormat="1" x14ac:dyDescent="0.3">
      <c r="A957" s="7"/>
      <c r="E957" s="8"/>
      <c r="F957" s="8"/>
      <c r="H957" s="9"/>
      <c r="J957" s="10"/>
      <c r="K957" s="10"/>
    </row>
    <row r="958" spans="1:11" s="6" customFormat="1" x14ac:dyDescent="0.3">
      <c r="A958" s="7"/>
      <c r="E958" s="8"/>
      <c r="F958" s="8"/>
      <c r="H958" s="9"/>
      <c r="J958" s="10"/>
      <c r="K958" s="10"/>
    </row>
    <row r="959" spans="1:11" s="6" customFormat="1" x14ac:dyDescent="0.3">
      <c r="A959" s="7"/>
      <c r="E959" s="8"/>
      <c r="F959" s="8"/>
      <c r="H959" s="9"/>
      <c r="J959" s="10"/>
      <c r="K959" s="10"/>
    </row>
    <row r="960" spans="1:11" s="6" customFormat="1" x14ac:dyDescent="0.3">
      <c r="A960" s="7"/>
      <c r="E960" s="8"/>
      <c r="F960" s="8"/>
      <c r="H960" s="9"/>
      <c r="J960" s="10"/>
      <c r="K960" s="10"/>
    </row>
    <row r="961" spans="1:11" s="6" customFormat="1" x14ac:dyDescent="0.3">
      <c r="A961" s="7"/>
      <c r="E961" s="8"/>
      <c r="F961" s="8"/>
      <c r="H961" s="9"/>
      <c r="J961" s="10"/>
      <c r="K961" s="10"/>
    </row>
    <row r="962" spans="1:11" s="6" customFormat="1" x14ac:dyDescent="0.3">
      <c r="A962" s="7"/>
      <c r="E962" s="8"/>
      <c r="F962" s="8"/>
      <c r="H962" s="9"/>
      <c r="J962" s="10"/>
      <c r="K962" s="10"/>
    </row>
    <row r="963" spans="1:11" s="6" customFormat="1" x14ac:dyDescent="0.3">
      <c r="A963" s="7"/>
      <c r="E963" s="8"/>
      <c r="F963" s="8"/>
      <c r="H963" s="9"/>
      <c r="J963" s="10"/>
      <c r="K963" s="10"/>
    </row>
    <row r="964" spans="1:11" s="6" customFormat="1" x14ac:dyDescent="0.3">
      <c r="A964" s="7"/>
      <c r="E964" s="8"/>
      <c r="F964" s="8"/>
      <c r="H964" s="9"/>
      <c r="J964" s="10"/>
      <c r="K964" s="10"/>
    </row>
    <row r="965" spans="1:11" s="6" customFormat="1" x14ac:dyDescent="0.3">
      <c r="A965" s="7"/>
      <c r="E965" s="8"/>
      <c r="F965" s="8"/>
      <c r="H965" s="9"/>
      <c r="J965" s="10"/>
      <c r="K965" s="10"/>
    </row>
    <row r="966" spans="1:11" s="6" customFormat="1" x14ac:dyDescent="0.3">
      <c r="A966" s="7"/>
      <c r="E966" s="8"/>
      <c r="F966" s="8"/>
      <c r="H966" s="9"/>
      <c r="J966" s="10"/>
      <c r="K966" s="10"/>
    </row>
    <row r="967" spans="1:11" s="6" customFormat="1" x14ac:dyDescent="0.3">
      <c r="A967" s="7"/>
      <c r="E967" s="8"/>
      <c r="F967" s="8"/>
      <c r="H967" s="9"/>
      <c r="J967" s="10"/>
      <c r="K967" s="10"/>
    </row>
    <row r="968" spans="1:11" s="6" customFormat="1" x14ac:dyDescent="0.3">
      <c r="A968" s="7"/>
      <c r="E968" s="8"/>
      <c r="F968" s="8"/>
      <c r="H968" s="9"/>
      <c r="J968" s="10"/>
      <c r="K968" s="10"/>
    </row>
    <row r="969" spans="1:11" s="6" customFormat="1" x14ac:dyDescent="0.3">
      <c r="A969" s="7"/>
      <c r="E969" s="8"/>
      <c r="F969" s="8"/>
      <c r="H969" s="9"/>
      <c r="J969" s="10"/>
      <c r="K969" s="10"/>
    </row>
    <row r="970" spans="1:11" s="6" customFormat="1" x14ac:dyDescent="0.3">
      <c r="A970" s="7"/>
      <c r="E970" s="8"/>
      <c r="F970" s="8"/>
      <c r="H970" s="9"/>
      <c r="J970" s="10"/>
      <c r="K970" s="10"/>
    </row>
    <row r="971" spans="1:11" s="6" customFormat="1" x14ac:dyDescent="0.3">
      <c r="A971" s="7"/>
      <c r="E971" s="8"/>
      <c r="F971" s="8"/>
      <c r="H971" s="9"/>
      <c r="J971" s="10"/>
      <c r="K971" s="10"/>
    </row>
    <row r="972" spans="1:11" s="6" customFormat="1" x14ac:dyDescent="0.3">
      <c r="A972" s="7"/>
      <c r="E972" s="8"/>
      <c r="F972" s="8"/>
      <c r="H972" s="9"/>
      <c r="J972" s="10"/>
      <c r="K972" s="10"/>
    </row>
    <row r="973" spans="1:11" s="6" customFormat="1" x14ac:dyDescent="0.3">
      <c r="A973" s="7"/>
      <c r="E973" s="8"/>
      <c r="F973" s="8"/>
      <c r="H973" s="9"/>
      <c r="J973" s="10"/>
      <c r="K973" s="10"/>
    </row>
    <row r="974" spans="1:11" s="6" customFormat="1" x14ac:dyDescent="0.3">
      <c r="A974" s="7"/>
      <c r="E974" s="8"/>
      <c r="F974" s="8"/>
      <c r="H974" s="9"/>
      <c r="J974" s="10"/>
      <c r="K974" s="10"/>
    </row>
    <row r="975" spans="1:11" s="6" customFormat="1" x14ac:dyDescent="0.3">
      <c r="A975" s="7"/>
      <c r="E975" s="8"/>
      <c r="F975" s="8"/>
      <c r="H975" s="9"/>
      <c r="J975" s="10"/>
      <c r="K975" s="10"/>
    </row>
    <row r="976" spans="1:11" s="6" customFormat="1" x14ac:dyDescent="0.3">
      <c r="A976" s="7"/>
      <c r="E976" s="8"/>
      <c r="F976" s="8"/>
      <c r="H976" s="9"/>
      <c r="J976" s="10"/>
      <c r="K976" s="10"/>
    </row>
    <row r="977" spans="1:11" s="6" customFormat="1" x14ac:dyDescent="0.3">
      <c r="A977" s="7"/>
      <c r="E977" s="8"/>
      <c r="F977" s="8"/>
      <c r="H977" s="9"/>
      <c r="J977" s="10"/>
      <c r="K977" s="10"/>
    </row>
    <row r="978" spans="1:11" s="6" customFormat="1" x14ac:dyDescent="0.3">
      <c r="A978" s="7"/>
      <c r="E978" s="8"/>
      <c r="F978" s="8"/>
      <c r="H978" s="9"/>
      <c r="J978" s="10"/>
      <c r="K978" s="10"/>
    </row>
    <row r="979" spans="1:11" s="6" customFormat="1" x14ac:dyDescent="0.3">
      <c r="A979" s="7"/>
      <c r="E979" s="8"/>
      <c r="F979" s="8"/>
      <c r="H979" s="9"/>
      <c r="J979" s="10"/>
      <c r="K979" s="10"/>
    </row>
    <row r="980" spans="1:11" s="6" customFormat="1" x14ac:dyDescent="0.3">
      <c r="A980" s="7"/>
      <c r="E980" s="8"/>
      <c r="F980" s="8"/>
      <c r="H980" s="9"/>
      <c r="J980" s="10"/>
      <c r="K980" s="10"/>
    </row>
    <row r="981" spans="1:11" s="6" customFormat="1" x14ac:dyDescent="0.3">
      <c r="A981" s="7"/>
      <c r="E981" s="8"/>
      <c r="F981" s="8"/>
      <c r="H981" s="9"/>
      <c r="J981" s="10"/>
      <c r="K981" s="10"/>
    </row>
    <row r="982" spans="1:11" s="6" customFormat="1" x14ac:dyDescent="0.3">
      <c r="A982" s="7"/>
      <c r="E982" s="8"/>
      <c r="F982" s="8"/>
      <c r="H982" s="9"/>
      <c r="J982" s="10"/>
      <c r="K982" s="10"/>
    </row>
    <row r="983" spans="1:11" s="6" customFormat="1" x14ac:dyDescent="0.3">
      <c r="A983" s="7"/>
      <c r="E983" s="8"/>
      <c r="F983" s="8"/>
      <c r="H983" s="9"/>
      <c r="J983" s="10"/>
      <c r="K983" s="10"/>
    </row>
    <row r="984" spans="1:11" s="6" customFormat="1" x14ac:dyDescent="0.3">
      <c r="A984" s="7"/>
      <c r="E984" s="8"/>
      <c r="F984" s="8"/>
      <c r="H984" s="9"/>
      <c r="J984" s="10"/>
      <c r="K984" s="10"/>
    </row>
    <row r="985" spans="1:11" s="6" customFormat="1" x14ac:dyDescent="0.3">
      <c r="A985" s="7"/>
      <c r="E985" s="8"/>
      <c r="F985" s="8"/>
      <c r="H985" s="9"/>
      <c r="J985" s="10"/>
      <c r="K985" s="10"/>
    </row>
    <row r="986" spans="1:11" s="6" customFormat="1" x14ac:dyDescent="0.3">
      <c r="A986" s="7"/>
      <c r="E986" s="8"/>
      <c r="F986" s="8"/>
      <c r="H986" s="9"/>
      <c r="J986" s="10"/>
      <c r="K986" s="10"/>
    </row>
    <row r="987" spans="1:11" s="6" customFormat="1" x14ac:dyDescent="0.3">
      <c r="A987" s="7"/>
      <c r="E987" s="8"/>
      <c r="F987" s="8"/>
      <c r="H987" s="9"/>
      <c r="J987" s="10"/>
      <c r="K987" s="10"/>
    </row>
    <row r="988" spans="1:11" s="6" customFormat="1" x14ac:dyDescent="0.3">
      <c r="A988" s="7"/>
      <c r="E988" s="8"/>
      <c r="F988" s="8"/>
      <c r="H988" s="9"/>
      <c r="J988" s="10"/>
      <c r="K988" s="10"/>
    </row>
    <row r="989" spans="1:11" s="6" customFormat="1" x14ac:dyDescent="0.3">
      <c r="A989" s="7"/>
      <c r="E989" s="8"/>
      <c r="F989" s="8"/>
      <c r="H989" s="9"/>
      <c r="J989" s="10"/>
      <c r="K989" s="10"/>
    </row>
    <row r="990" spans="1:11" s="6" customFormat="1" x14ac:dyDescent="0.3">
      <c r="A990" s="7"/>
      <c r="E990" s="8"/>
      <c r="F990" s="8"/>
      <c r="H990" s="9"/>
      <c r="J990" s="10"/>
      <c r="K990" s="10"/>
    </row>
    <row r="991" spans="1:11" s="6" customFormat="1" x14ac:dyDescent="0.3">
      <c r="A991" s="7"/>
      <c r="E991" s="8"/>
      <c r="F991" s="8"/>
      <c r="H991" s="9"/>
      <c r="J991" s="10"/>
      <c r="K991" s="10"/>
    </row>
    <row r="992" spans="1:11" s="6" customFormat="1" x14ac:dyDescent="0.3">
      <c r="A992" s="7"/>
      <c r="E992" s="8"/>
      <c r="F992" s="8"/>
      <c r="H992" s="9"/>
      <c r="J992" s="10"/>
      <c r="K992" s="10"/>
    </row>
    <row r="993" spans="1:11" s="6" customFormat="1" x14ac:dyDescent="0.3">
      <c r="A993" s="7"/>
      <c r="E993" s="8"/>
      <c r="F993" s="8"/>
      <c r="H993" s="9"/>
      <c r="J993" s="10"/>
      <c r="K993" s="10"/>
    </row>
    <row r="994" spans="1:11" s="6" customFormat="1" x14ac:dyDescent="0.3">
      <c r="A994" s="7"/>
      <c r="E994" s="8"/>
      <c r="F994" s="8"/>
      <c r="H994" s="9"/>
      <c r="J994" s="10"/>
      <c r="K994" s="10"/>
    </row>
    <row r="995" spans="1:11" s="6" customFormat="1" x14ac:dyDescent="0.3">
      <c r="A995" s="7"/>
      <c r="E995" s="8"/>
      <c r="F995" s="8"/>
      <c r="H995" s="9"/>
      <c r="J995" s="10"/>
      <c r="K995" s="10"/>
    </row>
    <row r="996" spans="1:11" s="6" customFormat="1" x14ac:dyDescent="0.3">
      <c r="A996" s="7"/>
      <c r="E996" s="8"/>
      <c r="F996" s="8"/>
      <c r="H996" s="9"/>
      <c r="J996" s="10"/>
      <c r="K996" s="10"/>
    </row>
    <row r="997" spans="1:11" s="6" customFormat="1" x14ac:dyDescent="0.3">
      <c r="A997" s="7"/>
      <c r="E997" s="8"/>
      <c r="F997" s="8"/>
      <c r="H997" s="9"/>
      <c r="J997" s="10"/>
      <c r="K997" s="10"/>
    </row>
    <row r="998" spans="1:11" s="6" customFormat="1" x14ac:dyDescent="0.3">
      <c r="A998" s="7"/>
      <c r="E998" s="8"/>
      <c r="F998" s="8"/>
      <c r="H998" s="9"/>
      <c r="J998" s="10"/>
      <c r="K998" s="10"/>
    </row>
    <row r="999" spans="1:11" s="6" customFormat="1" x14ac:dyDescent="0.3">
      <c r="A999" s="7"/>
      <c r="E999" s="8"/>
      <c r="F999" s="8"/>
      <c r="H999" s="9"/>
      <c r="J999" s="10"/>
      <c r="K999" s="10"/>
    </row>
    <row r="1000" spans="1:11" s="6" customFormat="1" x14ac:dyDescent="0.3">
      <c r="A1000" s="7"/>
      <c r="E1000" s="8"/>
      <c r="F1000" s="8"/>
      <c r="H1000" s="9"/>
      <c r="J1000" s="10"/>
      <c r="K1000" s="10"/>
    </row>
    <row r="1001" spans="1:11" s="6" customFormat="1" x14ac:dyDescent="0.3">
      <c r="A1001" s="7"/>
      <c r="E1001" s="8"/>
      <c r="F1001" s="8"/>
      <c r="H1001" s="9"/>
      <c r="J1001" s="10"/>
      <c r="K1001" s="10"/>
    </row>
    <row r="1002" spans="1:11" s="6" customFormat="1" x14ac:dyDescent="0.3">
      <c r="A1002" s="7"/>
      <c r="E1002" s="8"/>
      <c r="F1002" s="8"/>
      <c r="H1002" s="9"/>
      <c r="J1002" s="10"/>
      <c r="K1002" s="10"/>
    </row>
    <row r="1003" spans="1:11" s="6" customFormat="1" x14ac:dyDescent="0.3">
      <c r="A1003" s="7"/>
      <c r="E1003" s="8"/>
      <c r="F1003" s="8"/>
      <c r="H1003" s="9"/>
      <c r="J1003" s="10"/>
      <c r="K1003" s="10"/>
    </row>
    <row r="1004" spans="1:11" s="6" customFormat="1" x14ac:dyDescent="0.3">
      <c r="A1004" s="7"/>
      <c r="E1004" s="8"/>
      <c r="F1004" s="8"/>
      <c r="H1004" s="9"/>
      <c r="J1004" s="10"/>
      <c r="K1004" s="10"/>
    </row>
    <row r="1005" spans="1:11" s="6" customFormat="1" x14ac:dyDescent="0.3">
      <c r="A1005" s="7"/>
      <c r="E1005" s="8"/>
      <c r="F1005" s="8"/>
      <c r="H1005" s="9"/>
      <c r="J1005" s="10"/>
      <c r="K1005" s="10"/>
    </row>
    <row r="1006" spans="1:11" s="6" customFormat="1" x14ac:dyDescent="0.3">
      <c r="A1006" s="7"/>
      <c r="E1006" s="8"/>
      <c r="F1006" s="8"/>
      <c r="H1006" s="9"/>
      <c r="J1006" s="10"/>
      <c r="K1006" s="10"/>
    </row>
    <row r="1007" spans="1:11" x14ac:dyDescent="0.3">
      <c r="A1007" s="7"/>
      <c r="B1007" s="6"/>
      <c r="C1007" s="6"/>
      <c r="D1007" s="6"/>
      <c r="E1007" s="8"/>
      <c r="F1007" s="8"/>
      <c r="G1007" s="6"/>
      <c r="H1007" s="9"/>
      <c r="I1007" s="6"/>
      <c r="J1007" s="10"/>
      <c r="K1007" s="10"/>
    </row>
    <row r="1008" spans="1:11" x14ac:dyDescent="0.3">
      <c r="A1008" s="7"/>
      <c r="B1008" s="6"/>
      <c r="C1008" s="6"/>
      <c r="D1008" s="6"/>
      <c r="E1008" s="8"/>
      <c r="F1008" s="8"/>
      <c r="G1008" s="6"/>
      <c r="H1008" s="9"/>
      <c r="I1008" s="6"/>
      <c r="J1008" s="10"/>
      <c r="K1008" s="10"/>
    </row>
    <row r="1009" spans="1:11" x14ac:dyDescent="0.3">
      <c r="A1009" s="7"/>
      <c r="B1009" s="6"/>
      <c r="C1009" s="6"/>
      <c r="D1009" s="6"/>
      <c r="E1009" s="8"/>
      <c r="F1009" s="8"/>
      <c r="G1009" s="6"/>
      <c r="H1009" s="9"/>
      <c r="I1009" s="6"/>
      <c r="J1009" s="10"/>
      <c r="K1009" s="10"/>
    </row>
    <row r="1010" spans="1:11" x14ac:dyDescent="0.3">
      <c r="A1010" s="7"/>
      <c r="B1010" s="6"/>
      <c r="C1010" s="6"/>
      <c r="D1010" s="6"/>
      <c r="E1010" s="8"/>
      <c r="F1010" s="8"/>
      <c r="G1010" s="6"/>
      <c r="H1010" s="9"/>
      <c r="I1010" s="6"/>
      <c r="J1010" s="10"/>
      <c r="K1010" s="10"/>
    </row>
    <row r="1011" spans="1:11" x14ac:dyDescent="0.3">
      <c r="A1011" s="7"/>
      <c r="B1011" s="6"/>
      <c r="C1011" s="6"/>
      <c r="D1011" s="6"/>
      <c r="E1011" s="8"/>
      <c r="F1011" s="8"/>
      <c r="G1011" s="6"/>
      <c r="H1011" s="9"/>
      <c r="I1011" s="6"/>
      <c r="J1011" s="10"/>
      <c r="K1011" s="10"/>
    </row>
    <row r="1012" spans="1:11" x14ac:dyDescent="0.3">
      <c r="A1012" s="7"/>
      <c r="B1012" s="6"/>
      <c r="C1012" s="6"/>
      <c r="D1012" s="6"/>
      <c r="E1012" s="8"/>
      <c r="F1012" s="8"/>
      <c r="G1012" s="6"/>
      <c r="H1012" s="9"/>
      <c r="I1012" s="6"/>
      <c r="J1012" s="10"/>
      <c r="K1012" s="10"/>
    </row>
    <row r="1013" spans="1:11" x14ac:dyDescent="0.3">
      <c r="A1013" s="7"/>
      <c r="B1013" s="6"/>
      <c r="C1013" s="6"/>
      <c r="D1013" s="6"/>
      <c r="E1013" s="8"/>
      <c r="F1013" s="8"/>
      <c r="G1013" s="6"/>
      <c r="H1013" s="9"/>
      <c r="I1013" s="6"/>
      <c r="J1013" s="10"/>
      <c r="K1013" s="10"/>
    </row>
    <row r="1014" spans="1:11" x14ac:dyDescent="0.3">
      <c r="A1014" s="7"/>
      <c r="B1014" s="6"/>
      <c r="C1014" s="6"/>
      <c r="D1014" s="6"/>
      <c r="E1014" s="8"/>
      <c r="F1014" s="8"/>
      <c r="G1014" s="6"/>
      <c r="H1014" s="9"/>
      <c r="I1014" s="6"/>
      <c r="J1014" s="10"/>
      <c r="K1014" s="10"/>
    </row>
    <row r="1015" spans="1:11" x14ac:dyDescent="0.3">
      <c r="A1015" s="7"/>
      <c r="B1015" s="6"/>
      <c r="C1015" s="6"/>
      <c r="D1015" s="6"/>
      <c r="E1015" s="8"/>
      <c r="F1015" s="8"/>
      <c r="G1015" s="6"/>
      <c r="H1015" s="9"/>
      <c r="I1015" s="6"/>
      <c r="J1015" s="10"/>
      <c r="K1015" s="10"/>
    </row>
    <row r="1016" spans="1:11" x14ac:dyDescent="0.3">
      <c r="A1016" s="7"/>
      <c r="B1016" s="6"/>
      <c r="C1016" s="6"/>
      <c r="D1016" s="6"/>
      <c r="E1016" s="8"/>
      <c r="F1016" s="8"/>
      <c r="G1016" s="6"/>
      <c r="H1016" s="9"/>
      <c r="I1016" s="6"/>
      <c r="J1016" s="10"/>
      <c r="K1016" s="10"/>
    </row>
    <row r="1017" spans="1:11" x14ac:dyDescent="0.3">
      <c r="A1017" s="7"/>
      <c r="B1017" s="6"/>
      <c r="C1017" s="6"/>
      <c r="D1017" s="6"/>
      <c r="E1017" s="8"/>
      <c r="F1017" s="8"/>
      <c r="G1017" s="6"/>
      <c r="H1017" s="9"/>
      <c r="I1017" s="6"/>
      <c r="J1017" s="10"/>
      <c r="K1017" s="10"/>
    </row>
    <row r="1018" spans="1:11" x14ac:dyDescent="0.3">
      <c r="A1018" s="7"/>
      <c r="B1018" s="6"/>
      <c r="C1018" s="6"/>
      <c r="D1018" s="6"/>
      <c r="E1018" s="8"/>
      <c r="F1018" s="8"/>
      <c r="G1018" s="6"/>
      <c r="H1018" s="9"/>
      <c r="I1018" s="6"/>
      <c r="J1018" s="10"/>
      <c r="K1018" s="10"/>
    </row>
    <row r="1019" spans="1:11" x14ac:dyDescent="0.3">
      <c r="A1019" s="7"/>
      <c r="B1019" s="6"/>
      <c r="C1019" s="6"/>
      <c r="D1019" s="6"/>
      <c r="E1019" s="8"/>
      <c r="F1019" s="8"/>
      <c r="G1019" s="6"/>
      <c r="H1019" s="9"/>
      <c r="I1019" s="6"/>
      <c r="J1019" s="10"/>
      <c r="K1019" s="10"/>
    </row>
    <row r="1020" spans="1:11" x14ac:dyDescent="0.3">
      <c r="A1020" s="7"/>
      <c r="B1020" s="6"/>
      <c r="C1020" s="6"/>
      <c r="D1020" s="6"/>
      <c r="E1020" s="8"/>
      <c r="F1020" s="8"/>
      <c r="G1020" s="6"/>
      <c r="H1020" s="9"/>
      <c r="I1020" s="6"/>
      <c r="J1020" s="10"/>
      <c r="K1020" s="1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H28"/>
  <sheetViews>
    <sheetView workbookViewId="0">
      <selection activeCell="L14" sqref="L14"/>
    </sheetView>
  </sheetViews>
  <sheetFormatPr defaultRowHeight="14.4" x14ac:dyDescent="0.3"/>
  <cols>
    <col min="1" max="1" width="21.5546875" bestFit="1" customWidth="1"/>
  </cols>
  <sheetData>
    <row r="1" spans="1:8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25</v>
      </c>
      <c r="F1" s="22" t="s">
        <v>26</v>
      </c>
      <c r="G1" s="22" t="s">
        <v>27</v>
      </c>
      <c r="H1" s="22" t="s">
        <v>28</v>
      </c>
    </row>
    <row r="2" spans="1:8" x14ac:dyDescent="0.3">
      <c r="A2" s="23" t="s">
        <v>19</v>
      </c>
      <c r="B2" s="24">
        <v>460</v>
      </c>
      <c r="C2" s="24">
        <v>610</v>
      </c>
      <c r="D2" s="25">
        <v>660</v>
      </c>
      <c r="E2" s="24">
        <f t="shared" ref="E2:E28" si="0">AVERAGE(B2:D2)</f>
        <v>576.66666666666663</v>
      </c>
      <c r="F2" s="24">
        <f t="shared" ref="F2:F28" si="1">MAX(B2:D2)</f>
        <v>660</v>
      </c>
      <c r="G2" s="26">
        <v>0</v>
      </c>
      <c r="H2" s="25">
        <v>0</v>
      </c>
    </row>
    <row r="3" spans="1:8" x14ac:dyDescent="0.3">
      <c r="A3" s="23" t="s">
        <v>19</v>
      </c>
      <c r="B3" s="24">
        <v>125</v>
      </c>
      <c r="C3" s="24">
        <v>125</v>
      </c>
      <c r="D3" s="25">
        <v>125</v>
      </c>
      <c r="E3" s="24">
        <f t="shared" si="0"/>
        <v>125</v>
      </c>
      <c r="F3" s="24">
        <f t="shared" si="1"/>
        <v>125</v>
      </c>
      <c r="G3" s="26">
        <v>53.166666666666664</v>
      </c>
      <c r="H3" s="25">
        <v>209</v>
      </c>
    </row>
    <row r="4" spans="1:8" x14ac:dyDescent="0.3">
      <c r="A4" s="27" t="s">
        <v>11</v>
      </c>
      <c r="B4" s="24">
        <v>8010</v>
      </c>
      <c r="C4" s="24">
        <v>8510</v>
      </c>
      <c r="D4" s="25">
        <v>9510</v>
      </c>
      <c r="E4" s="24">
        <f t="shared" si="0"/>
        <v>8676.6666666666661</v>
      </c>
      <c r="F4" s="24">
        <f t="shared" si="1"/>
        <v>9510</v>
      </c>
      <c r="G4" s="26">
        <v>7759.083333333333</v>
      </c>
      <c r="H4" s="25">
        <v>11340</v>
      </c>
    </row>
    <row r="5" spans="1:8" x14ac:dyDescent="0.3">
      <c r="A5" s="27" t="s">
        <v>11</v>
      </c>
      <c r="B5" s="24">
        <v>1010</v>
      </c>
      <c r="C5" s="24">
        <v>1360</v>
      </c>
      <c r="D5" s="25">
        <v>1660</v>
      </c>
      <c r="E5" s="24">
        <f t="shared" si="0"/>
        <v>1343.3333333333333</v>
      </c>
      <c r="F5" s="24">
        <f t="shared" si="1"/>
        <v>1660</v>
      </c>
      <c r="G5" s="26">
        <v>1251.9166666666667</v>
      </c>
      <c r="H5" s="25">
        <v>2513</v>
      </c>
    </row>
    <row r="6" spans="1:8" x14ac:dyDescent="0.3">
      <c r="A6" s="27" t="s">
        <v>11</v>
      </c>
      <c r="B6" s="24">
        <v>560</v>
      </c>
      <c r="C6" s="24">
        <v>560</v>
      </c>
      <c r="D6" s="25">
        <v>660</v>
      </c>
      <c r="E6" s="24">
        <f t="shared" si="0"/>
        <v>593.33333333333337</v>
      </c>
      <c r="F6" s="24">
        <f t="shared" si="1"/>
        <v>660</v>
      </c>
      <c r="G6" s="26">
        <v>612.91666666666663</v>
      </c>
      <c r="H6" s="25">
        <v>994</v>
      </c>
    </row>
    <row r="7" spans="1:8" x14ac:dyDescent="0.3">
      <c r="A7" s="27" t="s">
        <v>18</v>
      </c>
      <c r="B7" s="24">
        <v>150</v>
      </c>
      <c r="C7" s="24">
        <v>150</v>
      </c>
      <c r="D7" s="25">
        <v>250</v>
      </c>
      <c r="E7" s="24">
        <f t="shared" si="0"/>
        <v>183.33333333333334</v>
      </c>
      <c r="F7" s="24">
        <f t="shared" si="1"/>
        <v>250</v>
      </c>
      <c r="G7" s="26">
        <v>236.33333333333334</v>
      </c>
      <c r="H7" s="25">
        <v>1048</v>
      </c>
    </row>
    <row r="8" spans="1:8" x14ac:dyDescent="0.3">
      <c r="A8" s="27" t="s">
        <v>11</v>
      </c>
      <c r="B8" s="24">
        <v>310</v>
      </c>
      <c r="C8" s="24">
        <v>310</v>
      </c>
      <c r="D8" s="25">
        <v>510</v>
      </c>
      <c r="E8" s="24">
        <f t="shared" si="0"/>
        <v>376.66666666666669</v>
      </c>
      <c r="F8" s="24">
        <f t="shared" si="1"/>
        <v>510</v>
      </c>
      <c r="G8" s="26">
        <v>677.41666666666663</v>
      </c>
      <c r="H8" s="25">
        <v>3582</v>
      </c>
    </row>
    <row r="9" spans="1:8" x14ac:dyDescent="0.3">
      <c r="A9" s="27" t="s">
        <v>16</v>
      </c>
      <c r="B9" s="24">
        <v>65</v>
      </c>
      <c r="C9" s="24">
        <v>65</v>
      </c>
      <c r="D9" s="25">
        <v>75</v>
      </c>
      <c r="E9" s="24">
        <f t="shared" si="0"/>
        <v>68.333333333333329</v>
      </c>
      <c r="F9" s="24">
        <f t="shared" si="1"/>
        <v>75</v>
      </c>
      <c r="G9" s="26">
        <v>39.916666666666664</v>
      </c>
      <c r="H9" s="25">
        <v>54</v>
      </c>
    </row>
    <row r="10" spans="1:8" x14ac:dyDescent="0.3">
      <c r="A10" s="27" t="s">
        <v>16</v>
      </c>
      <c r="B10" s="24">
        <v>2335</v>
      </c>
      <c r="C10" s="24">
        <v>2385</v>
      </c>
      <c r="D10" s="25">
        <v>2720</v>
      </c>
      <c r="E10" s="24">
        <f t="shared" si="0"/>
        <v>2480</v>
      </c>
      <c r="F10" s="24">
        <f t="shared" si="1"/>
        <v>2720</v>
      </c>
      <c r="G10" s="26">
        <v>2112.25</v>
      </c>
      <c r="H10" s="25">
        <v>3278</v>
      </c>
    </row>
    <row r="11" spans="1:8" x14ac:dyDescent="0.3">
      <c r="A11" s="27" t="s">
        <v>16</v>
      </c>
      <c r="B11" s="24">
        <v>825</v>
      </c>
      <c r="C11" s="24">
        <v>945</v>
      </c>
      <c r="D11" s="25">
        <v>1045</v>
      </c>
      <c r="E11" s="24">
        <f t="shared" si="0"/>
        <v>938.33333333333337</v>
      </c>
      <c r="F11" s="24">
        <f t="shared" si="1"/>
        <v>1045</v>
      </c>
      <c r="G11" s="26">
        <v>817.58333333333337</v>
      </c>
      <c r="H11" s="25">
        <v>2636</v>
      </c>
    </row>
    <row r="12" spans="1:8" x14ac:dyDescent="0.3">
      <c r="A12" s="23" t="s">
        <v>15</v>
      </c>
      <c r="B12" s="24">
        <v>103</v>
      </c>
      <c r="C12" s="24">
        <v>113</v>
      </c>
      <c r="D12" s="25">
        <v>123</v>
      </c>
      <c r="E12" s="24">
        <f t="shared" si="0"/>
        <v>113</v>
      </c>
      <c r="F12" s="24">
        <f t="shared" si="1"/>
        <v>123</v>
      </c>
      <c r="G12" s="26">
        <v>108.25</v>
      </c>
      <c r="H12" s="25">
        <v>185</v>
      </c>
    </row>
    <row r="13" spans="1:8" x14ac:dyDescent="0.3">
      <c r="A13" s="23" t="s">
        <v>15</v>
      </c>
      <c r="B13" s="24">
        <v>135</v>
      </c>
      <c r="C13" s="24">
        <v>210</v>
      </c>
      <c r="D13" s="25">
        <v>180</v>
      </c>
      <c r="E13" s="24">
        <f t="shared" si="0"/>
        <v>175</v>
      </c>
      <c r="F13" s="24">
        <f t="shared" si="1"/>
        <v>210</v>
      </c>
      <c r="G13" s="26">
        <v>174.33333333333334</v>
      </c>
      <c r="H13" s="25">
        <v>396</v>
      </c>
    </row>
    <row r="14" spans="1:8" x14ac:dyDescent="0.3">
      <c r="A14" s="23" t="s">
        <v>15</v>
      </c>
      <c r="B14" s="24">
        <v>80</v>
      </c>
      <c r="C14" s="24">
        <v>80</v>
      </c>
      <c r="D14" s="25">
        <v>100</v>
      </c>
      <c r="E14" s="24">
        <f t="shared" si="0"/>
        <v>86.666666666666671</v>
      </c>
      <c r="F14" s="24">
        <f t="shared" si="1"/>
        <v>100</v>
      </c>
      <c r="G14" s="26">
        <v>93.916666666666671</v>
      </c>
      <c r="H14" s="25">
        <v>206</v>
      </c>
    </row>
    <row r="15" spans="1:8" x14ac:dyDescent="0.3">
      <c r="A15" s="23" t="s">
        <v>15</v>
      </c>
      <c r="B15" s="24">
        <v>90</v>
      </c>
      <c r="C15" s="24">
        <v>100</v>
      </c>
      <c r="D15" s="25">
        <v>145</v>
      </c>
      <c r="E15" s="24">
        <f t="shared" si="0"/>
        <v>111.66666666666667</v>
      </c>
      <c r="F15" s="24">
        <f t="shared" si="1"/>
        <v>145</v>
      </c>
      <c r="G15" s="26">
        <v>128.58333333333334</v>
      </c>
      <c r="H15" s="25">
        <v>252</v>
      </c>
    </row>
    <row r="16" spans="1:8" x14ac:dyDescent="0.3">
      <c r="A16" s="23" t="s">
        <v>15</v>
      </c>
      <c r="B16" s="24">
        <v>165</v>
      </c>
      <c r="C16" s="24">
        <v>175</v>
      </c>
      <c r="D16" s="25">
        <v>175</v>
      </c>
      <c r="E16" s="24">
        <f t="shared" si="0"/>
        <v>171.66666666666666</v>
      </c>
      <c r="F16" s="24">
        <f t="shared" si="1"/>
        <v>175</v>
      </c>
      <c r="G16" s="26">
        <v>200.25</v>
      </c>
      <c r="H16" s="25">
        <v>337</v>
      </c>
    </row>
    <row r="17" spans="1:8" x14ac:dyDescent="0.3">
      <c r="A17" s="23" t="s">
        <v>19</v>
      </c>
      <c r="B17" s="24">
        <v>140</v>
      </c>
      <c r="C17" s="24">
        <v>50</v>
      </c>
      <c r="D17" s="25">
        <v>50</v>
      </c>
      <c r="E17" s="24">
        <f t="shared" si="0"/>
        <v>80</v>
      </c>
      <c r="F17" s="24">
        <f t="shared" si="1"/>
        <v>140</v>
      </c>
      <c r="G17" s="26">
        <v>95</v>
      </c>
      <c r="H17" s="25">
        <v>157</v>
      </c>
    </row>
    <row r="18" spans="1:8" x14ac:dyDescent="0.3">
      <c r="A18" s="27" t="s">
        <v>18</v>
      </c>
      <c r="B18" s="24">
        <v>150</v>
      </c>
      <c r="C18" s="24">
        <v>300</v>
      </c>
      <c r="D18" s="25">
        <v>400</v>
      </c>
      <c r="E18" s="24">
        <f t="shared" si="0"/>
        <v>283.33333333333331</v>
      </c>
      <c r="F18" s="24">
        <f t="shared" si="1"/>
        <v>400</v>
      </c>
      <c r="G18" s="26">
        <v>0</v>
      </c>
      <c r="H18" s="25">
        <v>0</v>
      </c>
    </row>
    <row r="19" spans="1:8" x14ac:dyDescent="0.3">
      <c r="A19" s="27" t="s">
        <v>18</v>
      </c>
      <c r="B19" s="24">
        <v>640</v>
      </c>
      <c r="C19" s="24">
        <v>850</v>
      </c>
      <c r="D19" s="25">
        <v>1050</v>
      </c>
      <c r="E19" s="24">
        <f t="shared" si="0"/>
        <v>846.66666666666663</v>
      </c>
      <c r="F19" s="24">
        <f t="shared" si="1"/>
        <v>1050</v>
      </c>
      <c r="G19" s="26">
        <v>984.83333333333337</v>
      </c>
      <c r="H19" s="25">
        <v>1854</v>
      </c>
    </row>
    <row r="20" spans="1:8" x14ac:dyDescent="0.3">
      <c r="A20" s="23" t="s">
        <v>17</v>
      </c>
      <c r="B20" s="24">
        <v>115</v>
      </c>
      <c r="C20" s="24">
        <v>195</v>
      </c>
      <c r="D20" s="25">
        <v>235</v>
      </c>
      <c r="E20" s="24">
        <f t="shared" si="0"/>
        <v>181.66666666666666</v>
      </c>
      <c r="F20" s="24">
        <f t="shared" si="1"/>
        <v>235</v>
      </c>
      <c r="G20" s="26">
        <v>0</v>
      </c>
      <c r="H20" s="25">
        <v>0</v>
      </c>
    </row>
    <row r="21" spans="1:8" x14ac:dyDescent="0.3">
      <c r="A21" s="23" t="s">
        <v>17</v>
      </c>
      <c r="B21" s="24">
        <v>175</v>
      </c>
      <c r="C21" s="24">
        <v>315</v>
      </c>
      <c r="D21" s="25">
        <v>365</v>
      </c>
      <c r="E21" s="24">
        <f t="shared" si="0"/>
        <v>285</v>
      </c>
      <c r="F21" s="24">
        <f t="shared" si="1"/>
        <v>365</v>
      </c>
      <c r="G21" s="26">
        <v>0</v>
      </c>
      <c r="H21" s="25">
        <v>0</v>
      </c>
    </row>
    <row r="22" spans="1:8" x14ac:dyDescent="0.3">
      <c r="A22" s="23" t="s">
        <v>17</v>
      </c>
      <c r="B22" s="24">
        <v>120</v>
      </c>
      <c r="C22" s="24">
        <v>135</v>
      </c>
      <c r="D22" s="25">
        <v>140</v>
      </c>
      <c r="E22" s="24">
        <f t="shared" si="0"/>
        <v>131.66666666666666</v>
      </c>
      <c r="F22" s="24">
        <f t="shared" si="1"/>
        <v>140</v>
      </c>
      <c r="G22" s="26">
        <v>114.08333333333333</v>
      </c>
      <c r="H22" s="25">
        <v>163</v>
      </c>
    </row>
    <row r="23" spans="1:8" x14ac:dyDescent="0.3">
      <c r="A23" s="23" t="s">
        <v>17</v>
      </c>
      <c r="B23" s="24">
        <v>200</v>
      </c>
      <c r="C23" s="24">
        <v>280</v>
      </c>
      <c r="D23" s="25">
        <v>235</v>
      </c>
      <c r="E23" s="24">
        <f t="shared" si="0"/>
        <v>238.33333333333334</v>
      </c>
      <c r="F23" s="24">
        <f t="shared" si="1"/>
        <v>280</v>
      </c>
      <c r="G23" s="26">
        <v>229.58333333333334</v>
      </c>
      <c r="H23" s="25">
        <v>427</v>
      </c>
    </row>
    <row r="24" spans="1:8" x14ac:dyDescent="0.3">
      <c r="A24" s="23" t="s">
        <v>13</v>
      </c>
      <c r="B24" s="24">
        <v>530</v>
      </c>
      <c r="C24" s="24">
        <v>530</v>
      </c>
      <c r="D24" s="25">
        <v>530</v>
      </c>
      <c r="E24" s="24">
        <f t="shared" si="0"/>
        <v>530</v>
      </c>
      <c r="F24" s="24">
        <f t="shared" si="1"/>
        <v>530</v>
      </c>
      <c r="G24" s="26">
        <v>148.16666666666666</v>
      </c>
      <c r="H24" s="25">
        <v>773</v>
      </c>
    </row>
    <row r="25" spans="1:8" x14ac:dyDescent="0.3">
      <c r="A25" s="23" t="s">
        <v>13</v>
      </c>
      <c r="B25" s="24">
        <v>70</v>
      </c>
      <c r="C25" s="24">
        <v>70</v>
      </c>
      <c r="D25" s="25">
        <v>120</v>
      </c>
      <c r="E25" s="24">
        <f t="shared" si="0"/>
        <v>86.666666666666671</v>
      </c>
      <c r="F25" s="24">
        <f t="shared" si="1"/>
        <v>120</v>
      </c>
      <c r="G25" s="26">
        <v>28.916666666666668</v>
      </c>
      <c r="H25" s="25">
        <v>265</v>
      </c>
    </row>
    <row r="26" spans="1:8" x14ac:dyDescent="0.3">
      <c r="A26" s="23" t="s">
        <v>19</v>
      </c>
      <c r="B26" s="24">
        <v>0</v>
      </c>
      <c r="C26" s="24">
        <v>0</v>
      </c>
      <c r="D26" s="25">
        <v>0</v>
      </c>
      <c r="E26" s="24">
        <f t="shared" si="0"/>
        <v>0</v>
      </c>
      <c r="F26" s="24">
        <f t="shared" si="1"/>
        <v>0</v>
      </c>
      <c r="G26" s="26">
        <v>0</v>
      </c>
      <c r="H26" s="25">
        <v>0</v>
      </c>
    </row>
    <row r="27" spans="1:8" x14ac:dyDescent="0.3">
      <c r="A27" s="23" t="s">
        <v>19</v>
      </c>
      <c r="B27" s="24">
        <v>45</v>
      </c>
      <c r="C27" s="24">
        <v>45</v>
      </c>
      <c r="D27" s="25">
        <v>45</v>
      </c>
      <c r="E27" s="24">
        <f t="shared" si="0"/>
        <v>45</v>
      </c>
      <c r="F27" s="24">
        <f t="shared" si="1"/>
        <v>45</v>
      </c>
      <c r="G27" s="26">
        <v>0</v>
      </c>
      <c r="H27" s="25">
        <v>0</v>
      </c>
    </row>
    <row r="28" spans="1:8" x14ac:dyDescent="0.3">
      <c r="A28" s="23" t="s">
        <v>19</v>
      </c>
      <c r="B28" s="24">
        <v>340</v>
      </c>
      <c r="C28" s="24">
        <v>440</v>
      </c>
      <c r="D28" s="25">
        <v>490</v>
      </c>
      <c r="E28" s="24">
        <f t="shared" si="0"/>
        <v>423.33333333333331</v>
      </c>
      <c r="F28" s="24">
        <f t="shared" si="1"/>
        <v>490</v>
      </c>
      <c r="G28" s="26">
        <v>0</v>
      </c>
      <c r="H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G8"/>
  <sheetViews>
    <sheetView workbookViewId="0">
      <selection activeCell="F2" sqref="F2"/>
    </sheetView>
  </sheetViews>
  <sheetFormatPr defaultRowHeight="14.4" x14ac:dyDescent="0.3"/>
  <cols>
    <col min="1" max="1" width="21.5546875" bestFit="1" customWidth="1"/>
  </cols>
  <sheetData>
    <row r="1" spans="1:7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35</v>
      </c>
      <c r="G1" s="22" t="s">
        <v>31</v>
      </c>
    </row>
    <row r="2" spans="1:7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1405</v>
      </c>
      <c r="F2" s="24">
        <v>316</v>
      </c>
      <c r="G2" s="24">
        <f>SUM(B2:F2)</f>
        <v>5635</v>
      </c>
    </row>
    <row r="3" spans="1:7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v>11373</v>
      </c>
      <c r="F3" s="24">
        <f>61+49+374+62+2829+162</f>
        <v>3537</v>
      </c>
      <c r="G3" s="24">
        <f t="shared" ref="G3:G8" si="0">SUM(B3:F3)</f>
        <v>37539</v>
      </c>
    </row>
    <row r="4" spans="1:7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30+1+58+16+11</f>
        <v>116</v>
      </c>
      <c r="F4" s="24">
        <f>4+22</f>
        <v>26</v>
      </c>
      <c r="G4" s="24">
        <f t="shared" si="0"/>
        <v>1821</v>
      </c>
    </row>
    <row r="5" spans="1:7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1014+1846+97+5+31+215+1</f>
        <v>3209</v>
      </c>
      <c r="F5" s="24">
        <f>136+173+31+1+8+67+1</f>
        <v>417</v>
      </c>
      <c r="G5" s="24">
        <f t="shared" si="0"/>
        <v>12863</v>
      </c>
    </row>
    <row r="6" spans="1:7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396+166+39+161</f>
        <v>762</v>
      </c>
      <c r="F6" s="24">
        <f>54+53+11+20</f>
        <v>138</v>
      </c>
      <c r="G6" s="24">
        <f t="shared" si="0"/>
        <v>3420</v>
      </c>
    </row>
    <row r="7" spans="1:7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2559</v>
      </c>
      <c r="F7" s="24">
        <v>351</v>
      </c>
      <c r="G7" s="24">
        <f t="shared" si="0"/>
        <v>5006</v>
      </c>
    </row>
    <row r="8" spans="1:7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23</v>
      </c>
      <c r="F8" s="24">
        <v>514</v>
      </c>
      <c r="G8" s="24">
        <f t="shared" si="0"/>
        <v>1658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2026-05-18T15:03:22Z</dcterms:modified>
</cp:coreProperties>
</file>