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Dashboard\"/>
    </mc:Choice>
  </mc:AlternateContent>
  <xr:revisionPtr revIDLastSave="0" documentId="13_ncr:1_{1C6E6305-9C74-4DA1-95BC-390B69A3763E}" xr6:coauthVersionLast="47" xr6:coauthVersionMax="47" xr10:uidLastSave="{00000000-0000-0000-0000-000000000000}"/>
  <bookViews>
    <workbookView xWindow="28680" yWindow="-120" windowWidth="20730" windowHeight="11040" activeTab="2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LANC.!$A$1:$K$469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" i="3" l="1"/>
  <c r="D5" i="3"/>
  <c r="D4" i="3"/>
  <c r="D3" i="3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E3" i="3" s="1"/>
  <c r="E8" i="3"/>
  <c r="E4" i="3"/>
  <c r="E5" i="3"/>
  <c r="E6" i="3"/>
  <c r="E7" i="3"/>
  <c r="E2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<sst xmlns="http://schemas.openxmlformats.org/spreadsheetml/2006/main" count="994" uniqueCount="34">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</sst>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469" totalsRowShown="0" headerRowDxfId="13" dataDxfId="12" tableBorderDxfId="11">
  <autoFilter ref="A1:K469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zoomScale="70" zoomScaleNormal="70" zoomScaleSheetLayoutView="70" workbookViewId="0">
      <pane ySplit="1" topLeftCell="A443" activePane="bottomLeft" state="frozen"/>
      <selection pane="bottomLeft" activeCell="H463" sqref="H463"/>
    </sheetView>
  </sheetViews>
  <sheetFormatPr defaultColWidth="9.109375" defaultRowHeight="14.4" x14ac:dyDescent="0.3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33">
        <v>46094</v>
      </c>
      <c r="B443" s="34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35">
        <v>53</v>
      </c>
      <c r="G443" s="12">
        <v>4</v>
      </c>
      <c r="H443" s="36">
        <v>5</v>
      </c>
      <c r="I443" s="34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33">
        <v>46094</v>
      </c>
      <c r="B444" s="34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35">
        <v>217</v>
      </c>
      <c r="G444" s="12">
        <v>6</v>
      </c>
      <c r="H444" s="36">
        <v>7</v>
      </c>
      <c r="I444" s="34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33">
        <v>46094</v>
      </c>
      <c r="B445" s="34" t="str">
        <f t="shared" si="48"/>
        <v>MARÇO</v>
      </c>
      <c r="C445" s="12" t="s">
        <v>17</v>
      </c>
      <c r="D445" s="12" t="s">
        <v>12</v>
      </c>
      <c r="E445" s="13">
        <v>128</v>
      </c>
      <c r="F445" s="35">
        <v>81</v>
      </c>
      <c r="G445" s="12">
        <v>8</v>
      </c>
      <c r="H445" s="36">
        <v>7</v>
      </c>
      <c r="I445" s="34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33">
        <v>46094</v>
      </c>
      <c r="B446" s="34" t="str">
        <f t="shared" si="48"/>
        <v>MARÇO</v>
      </c>
      <c r="C446" s="12" t="s">
        <v>18</v>
      </c>
      <c r="D446" s="12" t="s">
        <v>12</v>
      </c>
      <c r="E446" s="13">
        <v>100</v>
      </c>
      <c r="F446" s="35">
        <v>10</v>
      </c>
      <c r="G446" s="12">
        <v>4</v>
      </c>
      <c r="H446" s="36">
        <v>6</v>
      </c>
      <c r="I446" s="34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33">
        <v>46094</v>
      </c>
      <c r="B447" s="34" t="str">
        <f t="shared" si="48"/>
        <v>MARÇO</v>
      </c>
      <c r="C447" s="12" t="s">
        <v>19</v>
      </c>
      <c r="D447" s="12" t="s">
        <v>12</v>
      </c>
      <c r="E447" s="13">
        <v>100</v>
      </c>
      <c r="F447" s="35">
        <v>0</v>
      </c>
      <c r="G447" s="12">
        <v>11</v>
      </c>
      <c r="H447" s="36">
        <v>0</v>
      </c>
      <c r="I447" s="34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33">
        <v>46094</v>
      </c>
      <c r="B448" s="34" t="str">
        <f t="shared" si="48"/>
        <v>MARÇO</v>
      </c>
      <c r="C448" s="12" t="s">
        <v>20</v>
      </c>
      <c r="D448" s="12" t="s">
        <v>12</v>
      </c>
      <c r="E448" s="13">
        <v>486</v>
      </c>
      <c r="F448" s="35">
        <v>361</v>
      </c>
      <c r="G448" s="12">
        <v>92</v>
      </c>
      <c r="H448" s="36">
        <v>90</v>
      </c>
      <c r="I448" s="34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33">
        <v>46094</v>
      </c>
      <c r="B449" s="34" t="str">
        <f t="shared" si="48"/>
        <v>MARÇO</v>
      </c>
      <c r="C449" s="12" t="s">
        <v>11</v>
      </c>
      <c r="D449" s="12" t="s">
        <v>12</v>
      </c>
      <c r="E449" s="13">
        <v>0</v>
      </c>
      <c r="F449" s="35">
        <v>0</v>
      </c>
      <c r="G449" s="12">
        <v>0</v>
      </c>
      <c r="H449" s="36">
        <v>0</v>
      </c>
      <c r="I449" s="34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33">
        <v>46094</v>
      </c>
      <c r="B450" s="34" t="str">
        <f t="shared" si="48"/>
        <v>MARÇO</v>
      </c>
      <c r="C450" s="6" t="s">
        <v>32</v>
      </c>
      <c r="D450" s="12" t="s">
        <v>12</v>
      </c>
      <c r="E450" s="13">
        <v>150</v>
      </c>
      <c r="F450" s="35">
        <v>104</v>
      </c>
      <c r="G450" s="12">
        <v>15</v>
      </c>
      <c r="H450" s="36">
        <v>15</v>
      </c>
      <c r="I450" s="34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33">
        <v>46094</v>
      </c>
      <c r="B451" s="34" t="str">
        <f t="shared" si="48"/>
        <v>MARÇO</v>
      </c>
      <c r="C451" s="12" t="s">
        <v>14</v>
      </c>
      <c r="D451" s="12" t="s">
        <v>12</v>
      </c>
      <c r="E451" s="13">
        <v>150</v>
      </c>
      <c r="F451" s="35">
        <v>104</v>
      </c>
      <c r="G451" s="12">
        <v>84</v>
      </c>
      <c r="H451" s="36">
        <v>78</v>
      </c>
      <c r="I451" s="34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33">
        <v>46097</v>
      </c>
      <c r="B452" s="34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35">
        <v>63</v>
      </c>
      <c r="G452" s="12">
        <v>4</v>
      </c>
      <c r="H452" s="36">
        <v>4</v>
      </c>
      <c r="I452" s="34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33">
        <v>46097</v>
      </c>
      <c r="B453" s="34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35">
        <v>213</v>
      </c>
      <c r="G453" s="12">
        <v>6</v>
      </c>
      <c r="H453" s="36">
        <v>6</v>
      </c>
      <c r="I453" s="34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33">
        <v>46097</v>
      </c>
      <c r="B454" s="34" t="str">
        <f t="shared" si="49"/>
        <v>MARÇO</v>
      </c>
      <c r="C454" s="12" t="s">
        <v>17</v>
      </c>
      <c r="D454" s="12" t="s">
        <v>12</v>
      </c>
      <c r="E454" s="13">
        <v>128</v>
      </c>
      <c r="F454" s="35">
        <v>91</v>
      </c>
      <c r="G454" s="12">
        <v>8</v>
      </c>
      <c r="H454" s="36">
        <v>6</v>
      </c>
      <c r="I454" s="34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33">
        <v>46097</v>
      </c>
      <c r="B455" s="34" t="str">
        <f t="shared" si="49"/>
        <v>MARÇO</v>
      </c>
      <c r="C455" s="12" t="s">
        <v>18</v>
      </c>
      <c r="D455" s="12" t="s">
        <v>12</v>
      </c>
      <c r="E455" s="13">
        <v>100</v>
      </c>
      <c r="F455" s="35">
        <v>20</v>
      </c>
      <c r="G455" s="12">
        <v>4</v>
      </c>
      <c r="H455" s="36">
        <v>5</v>
      </c>
      <c r="I455" s="34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33">
        <v>46097</v>
      </c>
      <c r="B456" s="34" t="str">
        <f t="shared" si="49"/>
        <v>MARÇO</v>
      </c>
      <c r="C456" s="12" t="s">
        <v>19</v>
      </c>
      <c r="D456" s="12" t="s">
        <v>12</v>
      </c>
      <c r="E456" s="13">
        <v>100</v>
      </c>
      <c r="F456" s="35">
        <v>0</v>
      </c>
      <c r="G456" s="12">
        <v>11</v>
      </c>
      <c r="H456" s="36">
        <v>0</v>
      </c>
      <c r="I456" s="34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33">
        <v>46097</v>
      </c>
      <c r="B457" s="34" t="str">
        <f t="shared" si="49"/>
        <v>MARÇO</v>
      </c>
      <c r="C457" s="12" t="s">
        <v>20</v>
      </c>
      <c r="D457" s="12" t="s">
        <v>12</v>
      </c>
      <c r="E457" s="13">
        <v>486</v>
      </c>
      <c r="F457" s="35">
        <v>387</v>
      </c>
      <c r="G457" s="12">
        <v>92</v>
      </c>
      <c r="H457" s="36">
        <v>91</v>
      </c>
      <c r="I457" s="34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33">
        <v>46097</v>
      </c>
      <c r="B458" s="34" t="str">
        <f t="shared" si="49"/>
        <v>MARÇO</v>
      </c>
      <c r="C458" s="12" t="s">
        <v>11</v>
      </c>
      <c r="D458" s="12" t="s">
        <v>12</v>
      </c>
      <c r="E458" s="13">
        <v>0</v>
      </c>
      <c r="F458" s="35">
        <v>0</v>
      </c>
      <c r="G458" s="12">
        <v>0</v>
      </c>
      <c r="H458" s="36">
        <v>0</v>
      </c>
      <c r="I458" s="34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33">
        <v>46097</v>
      </c>
      <c r="B459" s="34" t="str">
        <f t="shared" si="49"/>
        <v>MARÇO</v>
      </c>
      <c r="C459" s="6" t="s">
        <v>32</v>
      </c>
      <c r="D459" s="12" t="s">
        <v>12</v>
      </c>
      <c r="E459" s="13">
        <v>150</v>
      </c>
      <c r="F459" s="35">
        <v>172</v>
      </c>
      <c r="G459" s="12">
        <v>15</v>
      </c>
      <c r="H459" s="36">
        <v>17</v>
      </c>
      <c r="I459" s="34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33">
        <v>46097</v>
      </c>
      <c r="B460" s="34" t="str">
        <f t="shared" si="49"/>
        <v>MARÇO</v>
      </c>
      <c r="C460" s="12" t="s">
        <v>14</v>
      </c>
      <c r="D460" s="12" t="s">
        <v>12</v>
      </c>
      <c r="E460" s="13">
        <v>150</v>
      </c>
      <c r="F460" s="35">
        <v>172</v>
      </c>
      <c r="G460" s="12">
        <v>84</v>
      </c>
      <c r="H460" s="36">
        <v>77</v>
      </c>
      <c r="I460" s="34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33">
        <v>46098</v>
      </c>
      <c r="B461" s="34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35">
        <v>75</v>
      </c>
      <c r="G461" s="12">
        <v>4</v>
      </c>
      <c r="H461" s="36">
        <v>5</v>
      </c>
      <c r="I461" s="34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33">
        <v>46098</v>
      </c>
      <c r="B462" s="34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35">
        <v>194</v>
      </c>
      <c r="G462" s="12">
        <v>6</v>
      </c>
      <c r="H462" s="36">
        <v>7</v>
      </c>
      <c r="I462" s="34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33">
        <v>46098</v>
      </c>
      <c r="B463" s="34" t="str">
        <f t="shared" si="50"/>
        <v>MARÇO</v>
      </c>
      <c r="C463" s="12" t="s">
        <v>17</v>
      </c>
      <c r="D463" s="12" t="s">
        <v>12</v>
      </c>
      <c r="E463" s="13">
        <v>128</v>
      </c>
      <c r="F463" s="35">
        <v>93</v>
      </c>
      <c r="G463" s="12">
        <v>8</v>
      </c>
      <c r="H463" s="36">
        <v>6</v>
      </c>
      <c r="I463" s="34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33">
        <v>46098</v>
      </c>
      <c r="B464" s="34" t="str">
        <f t="shared" si="50"/>
        <v>MARÇO</v>
      </c>
      <c r="C464" s="12" t="s">
        <v>18</v>
      </c>
      <c r="D464" s="12" t="s">
        <v>12</v>
      </c>
      <c r="E464" s="13">
        <v>100</v>
      </c>
      <c r="F464" s="35">
        <v>16</v>
      </c>
      <c r="G464" s="12">
        <v>4</v>
      </c>
      <c r="H464" s="36">
        <v>5</v>
      </c>
      <c r="I464" s="34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33">
        <v>46098</v>
      </c>
      <c r="B465" s="34" t="str">
        <f t="shared" si="50"/>
        <v>MARÇO</v>
      </c>
      <c r="C465" s="12" t="s">
        <v>19</v>
      </c>
      <c r="D465" s="12" t="s">
        <v>12</v>
      </c>
      <c r="E465" s="13">
        <v>100</v>
      </c>
      <c r="F465" s="35">
        <v>0</v>
      </c>
      <c r="G465" s="12">
        <v>11</v>
      </c>
      <c r="H465" s="36">
        <v>0</v>
      </c>
      <c r="I465" s="34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33">
        <v>46098</v>
      </c>
      <c r="B466" s="34" t="str">
        <f t="shared" si="50"/>
        <v>MARÇO</v>
      </c>
      <c r="C466" s="12" t="s">
        <v>20</v>
      </c>
      <c r="D466" s="12" t="s">
        <v>12</v>
      </c>
      <c r="E466" s="13">
        <v>486</v>
      </c>
      <c r="F466" s="35">
        <v>303</v>
      </c>
      <c r="G466" s="12">
        <v>92</v>
      </c>
      <c r="H466" s="36">
        <v>91</v>
      </c>
      <c r="I466" s="34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33">
        <v>46098</v>
      </c>
      <c r="B467" s="34" t="str">
        <f t="shared" si="50"/>
        <v>MARÇO</v>
      </c>
      <c r="C467" s="12" t="s">
        <v>11</v>
      </c>
      <c r="D467" s="12" t="s">
        <v>12</v>
      </c>
      <c r="E467" s="13">
        <v>500</v>
      </c>
      <c r="F467" s="35">
        <v>484</v>
      </c>
      <c r="G467" s="12">
        <v>26</v>
      </c>
      <c r="H467" s="36">
        <v>25</v>
      </c>
      <c r="I467" s="34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33">
        <v>46098</v>
      </c>
      <c r="B468" s="34" t="str">
        <f t="shared" si="50"/>
        <v>MARÇO</v>
      </c>
      <c r="C468" s="6" t="s">
        <v>32</v>
      </c>
      <c r="D468" s="12" t="s">
        <v>12</v>
      </c>
      <c r="E468" s="13">
        <v>150</v>
      </c>
      <c r="F468" s="35">
        <v>134</v>
      </c>
      <c r="G468" s="12">
        <v>15</v>
      </c>
      <c r="H468" s="36">
        <v>15</v>
      </c>
      <c r="I468" s="34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33">
        <v>46098</v>
      </c>
      <c r="B469" s="34" t="str">
        <f t="shared" si="50"/>
        <v>MARÇO</v>
      </c>
      <c r="C469" s="12" t="s">
        <v>14</v>
      </c>
      <c r="D469" s="12" t="s">
        <v>12</v>
      </c>
      <c r="E469" s="13">
        <v>650</v>
      </c>
      <c r="F469" s="35">
        <v>618</v>
      </c>
      <c r="G469" s="12">
        <v>84</v>
      </c>
      <c r="H469" s="36">
        <v>75</v>
      </c>
      <c r="I469" s="34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6"/>
      <c r="B470" s="17"/>
      <c r="C470" s="17"/>
      <c r="D470" s="17"/>
      <c r="E470" s="18"/>
      <c r="F470" s="18"/>
      <c r="G470" s="17"/>
      <c r="H470" s="19"/>
      <c r="I470" s="17"/>
      <c r="J470" s="20"/>
      <c r="K470" s="20"/>
    </row>
    <row r="471" spans="1:11" s="6" customFormat="1" x14ac:dyDescent="0.3">
      <c r="A471" s="16"/>
      <c r="B471" s="17"/>
      <c r="C471" s="17"/>
      <c r="D471" s="17"/>
      <c r="E471" s="18"/>
      <c r="F471" s="18"/>
      <c r="G471" s="17"/>
      <c r="H471" s="19"/>
      <c r="I471" s="17"/>
      <c r="J471" s="20"/>
      <c r="K471" s="20"/>
    </row>
    <row r="472" spans="1:11" s="6" customFormat="1" x14ac:dyDescent="0.3">
      <c r="A472" s="16"/>
      <c r="B472" s="17"/>
      <c r="C472" s="17"/>
      <c r="D472" s="17"/>
      <c r="E472" s="18"/>
      <c r="F472" s="18"/>
      <c r="G472" s="17"/>
      <c r="H472" s="19"/>
      <c r="I472" s="17"/>
      <c r="J472" s="20"/>
      <c r="K472" s="20"/>
    </row>
    <row r="473" spans="1:11" s="6" customFormat="1" x14ac:dyDescent="0.3">
      <c r="A473" s="16"/>
      <c r="B473" s="17"/>
      <c r="C473" s="17"/>
      <c r="D473" s="17"/>
      <c r="E473" s="18"/>
      <c r="F473" s="18"/>
      <c r="G473" s="17"/>
      <c r="H473" s="19"/>
      <c r="I473" s="17"/>
      <c r="J473" s="20"/>
      <c r="K473" s="20"/>
    </row>
    <row r="474" spans="1:11" s="6" customFormat="1" x14ac:dyDescent="0.3">
      <c r="A474" s="16"/>
      <c r="B474" s="17"/>
      <c r="C474" s="17"/>
      <c r="D474" s="17"/>
      <c r="E474" s="18"/>
      <c r="F474" s="18"/>
      <c r="G474" s="17"/>
      <c r="H474" s="19"/>
      <c r="I474" s="17"/>
      <c r="J474" s="20"/>
      <c r="K474" s="20"/>
    </row>
    <row r="475" spans="1:11" s="6" customFormat="1" x14ac:dyDescent="0.3">
      <c r="A475" s="16"/>
      <c r="B475" s="17"/>
      <c r="C475" s="17"/>
      <c r="D475" s="17"/>
      <c r="E475" s="18"/>
      <c r="F475" s="18"/>
      <c r="G475" s="17"/>
      <c r="H475" s="19"/>
      <c r="I475" s="17"/>
      <c r="J475" s="20"/>
      <c r="K475" s="20"/>
    </row>
    <row r="476" spans="1:11" s="6" customFormat="1" x14ac:dyDescent="0.3">
      <c r="A476" s="16"/>
      <c r="B476" s="17"/>
      <c r="C476" s="17"/>
      <c r="D476" s="17"/>
      <c r="E476" s="18"/>
      <c r="F476" s="18"/>
      <c r="G476" s="17"/>
      <c r="H476" s="19"/>
      <c r="I476" s="17"/>
      <c r="J476" s="20"/>
      <c r="K476" s="20"/>
    </row>
    <row r="477" spans="1:11" s="6" customFormat="1" x14ac:dyDescent="0.3">
      <c r="A477" s="16"/>
      <c r="B477" s="17"/>
      <c r="C477" s="17"/>
      <c r="D477" s="17"/>
      <c r="E477" s="18"/>
      <c r="F477" s="18"/>
      <c r="G477" s="17"/>
      <c r="H477" s="19"/>
      <c r="I477" s="17"/>
      <c r="J477" s="20"/>
      <c r="K477" s="20"/>
    </row>
    <row r="478" spans="1:11" s="6" customFormat="1" x14ac:dyDescent="0.3">
      <c r="A478" s="16"/>
      <c r="B478" s="17"/>
      <c r="C478" s="17"/>
      <c r="D478" s="17"/>
      <c r="E478" s="18"/>
      <c r="F478" s="18"/>
      <c r="G478" s="17"/>
      <c r="H478" s="19"/>
      <c r="I478" s="17"/>
      <c r="J478" s="20"/>
      <c r="K478" s="20"/>
    </row>
    <row r="479" spans="1:11" s="6" customFormat="1" x14ac:dyDescent="0.3">
      <c r="A479" s="16"/>
      <c r="B479" s="17"/>
      <c r="C479" s="17"/>
      <c r="D479" s="17"/>
      <c r="E479" s="18"/>
      <c r="F479" s="18"/>
      <c r="G479" s="17"/>
      <c r="H479" s="19"/>
      <c r="I479" s="17"/>
      <c r="J479" s="20"/>
      <c r="K479" s="20"/>
    </row>
    <row r="480" spans="1:11" s="6" customFormat="1" x14ac:dyDescent="0.3">
      <c r="A480" s="16"/>
      <c r="B480" s="17"/>
      <c r="C480" s="17"/>
      <c r="D480" s="17"/>
      <c r="E480" s="18"/>
      <c r="F480" s="18"/>
      <c r="G480" s="17"/>
      <c r="H480" s="19"/>
      <c r="I480" s="17"/>
      <c r="J480" s="20"/>
      <c r="K480" s="20"/>
    </row>
    <row r="481" spans="1:11" s="6" customFormat="1" x14ac:dyDescent="0.3">
      <c r="A481" s="16"/>
      <c r="B481" s="17"/>
      <c r="C481" s="17"/>
      <c r="D481" s="17"/>
      <c r="E481" s="18"/>
      <c r="F481" s="18"/>
      <c r="G481" s="17"/>
      <c r="H481" s="19"/>
      <c r="I481" s="17"/>
      <c r="J481" s="20"/>
      <c r="K481" s="20"/>
    </row>
    <row r="482" spans="1:11" s="6" customFormat="1" x14ac:dyDescent="0.3">
      <c r="A482" s="16"/>
      <c r="B482" s="17"/>
      <c r="C482" s="17"/>
      <c r="D482" s="17"/>
      <c r="E482" s="18"/>
      <c r="F482" s="18"/>
      <c r="G482" s="17"/>
      <c r="H482" s="19"/>
      <c r="I482" s="17"/>
      <c r="J482" s="20"/>
      <c r="K482" s="20"/>
    </row>
    <row r="483" spans="1:11" s="6" customFormat="1" x14ac:dyDescent="0.3">
      <c r="A483" s="16"/>
      <c r="B483" s="17"/>
      <c r="C483" s="17"/>
      <c r="D483" s="17"/>
      <c r="E483" s="18"/>
      <c r="F483" s="18"/>
      <c r="G483" s="17"/>
      <c r="H483" s="19"/>
      <c r="I483" s="17"/>
      <c r="J483" s="20"/>
      <c r="K483" s="20"/>
    </row>
    <row r="484" spans="1:11" s="6" customFormat="1" x14ac:dyDescent="0.3">
      <c r="A484" s="16"/>
      <c r="B484" s="17"/>
      <c r="C484" s="17"/>
      <c r="D484" s="17"/>
      <c r="E484" s="18"/>
      <c r="F484" s="18"/>
      <c r="G484" s="17"/>
      <c r="H484" s="19"/>
      <c r="I484" s="17"/>
      <c r="J484" s="20"/>
      <c r="K484" s="20"/>
    </row>
    <row r="485" spans="1:11" s="6" customFormat="1" x14ac:dyDescent="0.3">
      <c r="A485" s="16"/>
      <c r="B485" s="17"/>
      <c r="C485" s="17"/>
      <c r="D485" s="17"/>
      <c r="E485" s="18"/>
      <c r="F485" s="18"/>
      <c r="G485" s="17"/>
      <c r="H485" s="19"/>
      <c r="I485" s="17"/>
      <c r="J485" s="20"/>
      <c r="K485" s="20"/>
    </row>
    <row r="486" spans="1:11" s="6" customFormat="1" x14ac:dyDescent="0.3">
      <c r="A486" s="16"/>
      <c r="B486" s="17"/>
      <c r="C486" s="17"/>
      <c r="D486" s="17"/>
      <c r="E486" s="18"/>
      <c r="F486" s="18"/>
      <c r="G486" s="17"/>
      <c r="H486" s="19"/>
      <c r="I486" s="17"/>
      <c r="J486" s="20"/>
      <c r="K486" s="20"/>
    </row>
    <row r="487" spans="1:11" s="6" customFormat="1" x14ac:dyDescent="0.3">
      <c r="A487" s="7"/>
      <c r="E487" s="8"/>
      <c r="F487" s="8"/>
      <c r="H487" s="9"/>
      <c r="J487" s="10"/>
      <c r="K487" s="10"/>
    </row>
    <row r="488" spans="1:11" s="6" customFormat="1" x14ac:dyDescent="0.3">
      <c r="A488" s="7"/>
      <c r="E488" s="8"/>
      <c r="F488" s="8"/>
      <c r="H488" s="9"/>
      <c r="J488" s="10"/>
      <c r="K488" s="10"/>
    </row>
    <row r="489" spans="1:11" s="6" customFormat="1" x14ac:dyDescent="0.3">
      <c r="A489" s="7"/>
      <c r="E489" s="8"/>
      <c r="F489" s="8"/>
      <c r="H489" s="9"/>
      <c r="J489" s="10"/>
      <c r="K489" s="10"/>
    </row>
    <row r="490" spans="1:11" s="6" customFormat="1" x14ac:dyDescent="0.3">
      <c r="A490" s="7"/>
      <c r="E490" s="8"/>
      <c r="F490" s="8"/>
      <c r="H490" s="9"/>
      <c r="J490" s="10"/>
      <c r="K490" s="10"/>
    </row>
    <row r="491" spans="1:11" s="6" customFormat="1" x14ac:dyDescent="0.3">
      <c r="A491" s="7"/>
      <c r="E491" s="8"/>
      <c r="F491" s="8"/>
      <c r="H491" s="9"/>
      <c r="J491" s="10"/>
      <c r="K491" s="10"/>
    </row>
    <row r="492" spans="1:11" s="6" customFormat="1" x14ac:dyDescent="0.3">
      <c r="A492" s="7"/>
      <c r="E492" s="8"/>
      <c r="F492" s="8"/>
      <c r="H492" s="9"/>
      <c r="J492" s="10"/>
      <c r="K492" s="10"/>
    </row>
    <row r="493" spans="1:11" s="6" customFormat="1" x14ac:dyDescent="0.3">
      <c r="A493" s="7"/>
      <c r="E493" s="8"/>
      <c r="F493" s="8"/>
      <c r="H493" s="9"/>
      <c r="J493" s="10"/>
      <c r="K493" s="10"/>
    </row>
    <row r="494" spans="1:11" s="6" customFormat="1" x14ac:dyDescent="0.3">
      <c r="A494" s="7"/>
      <c r="E494" s="8"/>
      <c r="F494" s="8"/>
      <c r="H494" s="9"/>
      <c r="J494" s="10"/>
      <c r="K494" s="10"/>
    </row>
    <row r="495" spans="1:11" s="6" customFormat="1" x14ac:dyDescent="0.3">
      <c r="A495" s="7"/>
      <c r="E495" s="8"/>
      <c r="F495" s="8"/>
      <c r="H495" s="9"/>
      <c r="J495" s="10"/>
      <c r="K495" s="10"/>
    </row>
    <row r="496" spans="1:11" s="6" customFormat="1" x14ac:dyDescent="0.3">
      <c r="A496" s="7"/>
      <c r="E496" s="8"/>
      <c r="F496" s="8"/>
      <c r="H496" s="9"/>
      <c r="J496" s="10"/>
      <c r="K496" s="10"/>
    </row>
    <row r="497" spans="1:11" s="6" customFormat="1" x14ac:dyDescent="0.3">
      <c r="A497" s="7"/>
      <c r="E497" s="8"/>
      <c r="F497" s="8"/>
      <c r="H497" s="9"/>
      <c r="J497" s="10"/>
      <c r="K497" s="10"/>
    </row>
    <row r="498" spans="1:11" s="6" customFormat="1" x14ac:dyDescent="0.3">
      <c r="A498" s="7"/>
      <c r="E498" s="8"/>
      <c r="F498" s="8"/>
      <c r="H498" s="9"/>
      <c r="J498" s="10"/>
      <c r="K498" s="10"/>
    </row>
    <row r="499" spans="1:11" s="6" customFormat="1" x14ac:dyDescent="0.3">
      <c r="A499" s="7"/>
      <c r="E499" s="8"/>
      <c r="F499" s="8"/>
      <c r="H499" s="9"/>
      <c r="J499" s="10"/>
      <c r="K499" s="10"/>
    </row>
    <row r="500" spans="1:11" s="6" customFormat="1" x14ac:dyDescent="0.3">
      <c r="A500" s="7"/>
      <c r="E500" s="8"/>
      <c r="F500" s="8"/>
      <c r="H500" s="9"/>
      <c r="J500" s="10"/>
      <c r="K500" s="10"/>
    </row>
    <row r="501" spans="1:11" s="6" customFormat="1" x14ac:dyDescent="0.3">
      <c r="A501" s="7"/>
      <c r="E501" s="8"/>
      <c r="F501" s="8"/>
      <c r="H501" s="9"/>
      <c r="J501" s="10"/>
      <c r="K501" s="10"/>
    </row>
    <row r="502" spans="1:11" s="6" customFormat="1" x14ac:dyDescent="0.3">
      <c r="A502" s="7"/>
      <c r="E502" s="8"/>
      <c r="F502" s="8"/>
      <c r="H502" s="9"/>
      <c r="J502" s="10"/>
      <c r="K502" s="10"/>
    </row>
    <row r="503" spans="1:11" s="6" customFormat="1" x14ac:dyDescent="0.3">
      <c r="A503" s="7"/>
      <c r="E503" s="8"/>
      <c r="F503" s="8"/>
      <c r="H503" s="9"/>
      <c r="J503" s="10"/>
      <c r="K503" s="10"/>
    </row>
    <row r="504" spans="1:11" s="6" customFormat="1" x14ac:dyDescent="0.3">
      <c r="A504" s="7"/>
      <c r="E504" s="8"/>
      <c r="F504" s="8"/>
      <c r="H504" s="9"/>
      <c r="J504" s="10"/>
      <c r="K504" s="10"/>
    </row>
    <row r="505" spans="1:11" s="6" customFormat="1" x14ac:dyDescent="0.3">
      <c r="A505" s="7"/>
      <c r="E505" s="8"/>
      <c r="F505" s="8"/>
      <c r="H505" s="9"/>
      <c r="J505" s="10"/>
      <c r="K505" s="10"/>
    </row>
    <row r="506" spans="1:11" s="6" customFormat="1" x14ac:dyDescent="0.3">
      <c r="A506" s="7"/>
      <c r="E506" s="8"/>
      <c r="F506" s="8"/>
      <c r="H506" s="9"/>
      <c r="J506" s="10"/>
      <c r="K506" s="10"/>
    </row>
    <row r="507" spans="1:11" s="6" customFormat="1" x14ac:dyDescent="0.3">
      <c r="A507" s="7"/>
      <c r="E507" s="8"/>
      <c r="F507" s="8"/>
      <c r="H507" s="9"/>
      <c r="J507" s="10"/>
      <c r="K507" s="10"/>
    </row>
    <row r="508" spans="1:11" s="6" customFormat="1" x14ac:dyDescent="0.3">
      <c r="A508" s="7"/>
      <c r="E508" s="8"/>
      <c r="F508" s="8"/>
      <c r="H508" s="9"/>
      <c r="J508" s="10"/>
      <c r="K508" s="10"/>
    </row>
    <row r="509" spans="1:11" s="6" customFormat="1" x14ac:dyDescent="0.3">
      <c r="A509" s="7"/>
      <c r="E509" s="8"/>
      <c r="F509" s="8"/>
      <c r="H509" s="9"/>
      <c r="J509" s="10"/>
      <c r="K509" s="10"/>
    </row>
    <row r="510" spans="1:11" s="6" customFormat="1" x14ac:dyDescent="0.3">
      <c r="A510" s="7"/>
      <c r="E510" s="8"/>
      <c r="F510" s="8"/>
      <c r="H510" s="9"/>
      <c r="J510" s="10"/>
      <c r="K510" s="10"/>
    </row>
    <row r="511" spans="1:11" s="6" customFormat="1" x14ac:dyDescent="0.3">
      <c r="A511" s="7"/>
      <c r="E511" s="8"/>
      <c r="F511" s="8"/>
      <c r="H511" s="9"/>
      <c r="J511" s="10"/>
      <c r="K511" s="10"/>
    </row>
    <row r="512" spans="1:11" s="6" customFormat="1" x14ac:dyDescent="0.3">
      <c r="A512" s="7"/>
      <c r="E512" s="8"/>
      <c r="F512" s="8"/>
      <c r="H512" s="9"/>
      <c r="J512" s="10"/>
      <c r="K512" s="10"/>
    </row>
    <row r="513" spans="1:11" s="6" customFormat="1" x14ac:dyDescent="0.3">
      <c r="A513" s="7"/>
      <c r="E513" s="8"/>
      <c r="F513" s="8"/>
      <c r="H513" s="9"/>
      <c r="J513" s="10"/>
      <c r="K513" s="10"/>
    </row>
    <row r="514" spans="1:11" s="6" customFormat="1" x14ac:dyDescent="0.3">
      <c r="A514" s="7"/>
      <c r="E514" s="8"/>
      <c r="F514" s="8"/>
      <c r="H514" s="9"/>
      <c r="J514" s="10"/>
      <c r="K514" s="10"/>
    </row>
    <row r="515" spans="1:11" s="6" customFormat="1" x14ac:dyDescent="0.3">
      <c r="A515" s="7"/>
      <c r="E515" s="8"/>
      <c r="F515" s="8"/>
      <c r="H515" s="9"/>
      <c r="J515" s="10"/>
      <c r="K515" s="10"/>
    </row>
    <row r="516" spans="1:11" s="6" customFormat="1" x14ac:dyDescent="0.3">
      <c r="A516" s="7"/>
      <c r="E516" s="8"/>
      <c r="F516" s="8"/>
      <c r="H516" s="9"/>
      <c r="J516" s="10"/>
      <c r="K516" s="10"/>
    </row>
    <row r="517" spans="1:11" s="6" customFormat="1" x14ac:dyDescent="0.3">
      <c r="A517" s="7"/>
      <c r="E517" s="8"/>
      <c r="F517" s="8"/>
      <c r="H517" s="9"/>
      <c r="J517" s="10"/>
      <c r="K517" s="10"/>
    </row>
    <row r="518" spans="1:11" s="6" customFormat="1" x14ac:dyDescent="0.3">
      <c r="A518" s="7"/>
      <c r="E518" s="8"/>
      <c r="F518" s="8"/>
      <c r="H518" s="9"/>
      <c r="J518" s="10"/>
      <c r="K518" s="10"/>
    </row>
    <row r="519" spans="1:11" s="6" customFormat="1" x14ac:dyDescent="0.3">
      <c r="A519" s="7"/>
      <c r="E519" s="8"/>
      <c r="F519" s="8"/>
      <c r="H519" s="9"/>
      <c r="J519" s="10"/>
      <c r="K519" s="10"/>
    </row>
    <row r="520" spans="1:11" s="6" customFormat="1" x14ac:dyDescent="0.3">
      <c r="A520" s="7"/>
      <c r="E520" s="8"/>
      <c r="F520" s="8"/>
      <c r="H520" s="9"/>
      <c r="J520" s="10"/>
      <c r="K520" s="10"/>
    </row>
    <row r="521" spans="1:11" s="6" customFormat="1" x14ac:dyDescent="0.3">
      <c r="A521" s="7"/>
      <c r="E521" s="8"/>
      <c r="F521" s="8"/>
      <c r="H521" s="9"/>
      <c r="J521" s="10"/>
      <c r="K521" s="10"/>
    </row>
    <row r="522" spans="1:11" s="6" customFormat="1" x14ac:dyDescent="0.3">
      <c r="A522" s="7"/>
      <c r="E522" s="8"/>
      <c r="F522" s="8"/>
      <c r="H522" s="9"/>
      <c r="J522" s="10"/>
      <c r="K522" s="10"/>
    </row>
    <row r="523" spans="1:11" s="6" customFormat="1" x14ac:dyDescent="0.3">
      <c r="A523" s="7"/>
      <c r="E523" s="8"/>
      <c r="F523" s="8"/>
      <c r="H523" s="9"/>
      <c r="J523" s="10"/>
      <c r="K523" s="10"/>
    </row>
    <row r="524" spans="1:11" s="6" customFormat="1" x14ac:dyDescent="0.3">
      <c r="A524" s="7"/>
      <c r="E524" s="8"/>
      <c r="F524" s="8"/>
      <c r="H524" s="9"/>
      <c r="J524" s="10"/>
      <c r="K524" s="10"/>
    </row>
    <row r="525" spans="1:11" s="6" customFormat="1" x14ac:dyDescent="0.3">
      <c r="A525" s="7"/>
      <c r="E525" s="8"/>
      <c r="F525" s="8"/>
      <c r="H525" s="9"/>
      <c r="J525" s="10"/>
      <c r="K525" s="10"/>
    </row>
    <row r="526" spans="1:11" s="6" customFormat="1" x14ac:dyDescent="0.3">
      <c r="A526" s="7"/>
      <c r="E526" s="8"/>
      <c r="F526" s="8"/>
      <c r="H526" s="9"/>
      <c r="J526" s="10"/>
      <c r="K526" s="10"/>
    </row>
    <row r="527" spans="1:11" s="6" customFormat="1" x14ac:dyDescent="0.3">
      <c r="A527" s="7"/>
      <c r="E527" s="8"/>
      <c r="F527" s="8"/>
      <c r="H527" s="9"/>
      <c r="J527" s="10"/>
      <c r="K527" s="10"/>
    </row>
    <row r="528" spans="1:11" s="6" customFormat="1" x14ac:dyDescent="0.3">
      <c r="A528" s="7"/>
      <c r="E528" s="8"/>
      <c r="F528" s="8"/>
      <c r="H528" s="9"/>
      <c r="J528" s="10"/>
      <c r="K528" s="10"/>
    </row>
    <row r="529" spans="1:11" s="6" customFormat="1" x14ac:dyDescent="0.3">
      <c r="A529" s="7"/>
      <c r="E529" s="8"/>
      <c r="F529" s="8"/>
      <c r="H529" s="9"/>
      <c r="J529" s="10"/>
      <c r="K529" s="10"/>
    </row>
    <row r="530" spans="1:11" s="6" customFormat="1" x14ac:dyDescent="0.3">
      <c r="A530" s="7"/>
      <c r="E530" s="8"/>
      <c r="F530" s="8"/>
      <c r="H530" s="9"/>
      <c r="J530" s="10"/>
      <c r="K530" s="10"/>
    </row>
    <row r="531" spans="1:11" s="6" customFormat="1" x14ac:dyDescent="0.3">
      <c r="A531" s="7"/>
      <c r="E531" s="8"/>
      <c r="F531" s="8"/>
      <c r="H531" s="9"/>
      <c r="J531" s="10"/>
      <c r="K531" s="10"/>
    </row>
    <row r="532" spans="1:11" s="6" customFormat="1" x14ac:dyDescent="0.3">
      <c r="A532" s="7"/>
      <c r="E532" s="8"/>
      <c r="F532" s="8"/>
      <c r="H532" s="9"/>
      <c r="J532" s="10"/>
      <c r="K532" s="10"/>
    </row>
    <row r="533" spans="1:11" s="6" customFormat="1" x14ac:dyDescent="0.3">
      <c r="A533" s="7"/>
      <c r="E533" s="8"/>
      <c r="F533" s="8"/>
      <c r="H533" s="9"/>
      <c r="J533" s="10"/>
      <c r="K533" s="10"/>
    </row>
    <row r="534" spans="1:11" s="6" customFormat="1" x14ac:dyDescent="0.3">
      <c r="A534" s="7"/>
      <c r="E534" s="8"/>
      <c r="F534" s="8"/>
      <c r="H534" s="9"/>
      <c r="J534" s="10"/>
      <c r="K534" s="10"/>
    </row>
    <row r="535" spans="1:11" s="6" customFormat="1" x14ac:dyDescent="0.3">
      <c r="A535" s="7"/>
      <c r="E535" s="8"/>
      <c r="F535" s="8"/>
      <c r="H535" s="9"/>
      <c r="J535" s="10"/>
      <c r="K535" s="10"/>
    </row>
    <row r="536" spans="1:11" s="6" customFormat="1" x14ac:dyDescent="0.3">
      <c r="A536" s="7"/>
      <c r="E536" s="8"/>
      <c r="F536" s="8"/>
      <c r="H536" s="9"/>
      <c r="J536" s="10"/>
      <c r="K536" s="10"/>
    </row>
    <row r="537" spans="1:11" s="6" customFormat="1" x14ac:dyDescent="0.3">
      <c r="A537" s="7"/>
      <c r="E537" s="8"/>
      <c r="F537" s="8"/>
      <c r="H537" s="9"/>
      <c r="J537" s="10"/>
      <c r="K537" s="10"/>
    </row>
    <row r="538" spans="1:11" s="6" customFormat="1" x14ac:dyDescent="0.3">
      <c r="A538" s="7"/>
      <c r="E538" s="8"/>
      <c r="F538" s="8"/>
      <c r="H538" s="9"/>
      <c r="J538" s="10"/>
      <c r="K538" s="10"/>
    </row>
    <row r="539" spans="1:11" s="6" customFormat="1" x14ac:dyDescent="0.3">
      <c r="A539" s="7"/>
      <c r="E539" s="8"/>
      <c r="F539" s="8"/>
      <c r="H539" s="9"/>
      <c r="J539" s="10"/>
      <c r="K539" s="10"/>
    </row>
    <row r="540" spans="1:11" s="6" customFormat="1" x14ac:dyDescent="0.3">
      <c r="A540" s="7"/>
      <c r="E540" s="8"/>
      <c r="F540" s="8"/>
      <c r="H540" s="9"/>
      <c r="J540" s="10"/>
      <c r="K540" s="10"/>
    </row>
    <row r="541" spans="1:11" s="6" customFormat="1" x14ac:dyDescent="0.3">
      <c r="A541" s="7"/>
      <c r="E541" s="8"/>
      <c r="F541" s="8"/>
      <c r="H541" s="9"/>
      <c r="J541" s="10"/>
      <c r="K541" s="10"/>
    </row>
    <row r="542" spans="1:11" s="6" customFormat="1" x14ac:dyDescent="0.3">
      <c r="A542" s="7"/>
      <c r="E542" s="8"/>
      <c r="F542" s="8"/>
      <c r="H542" s="9"/>
      <c r="J542" s="10"/>
      <c r="K542" s="10"/>
    </row>
    <row r="543" spans="1:11" s="6" customFormat="1" x14ac:dyDescent="0.3">
      <c r="A543" s="7"/>
      <c r="E543" s="8"/>
      <c r="F543" s="8"/>
      <c r="H543" s="9"/>
      <c r="J543" s="10"/>
      <c r="K543" s="10"/>
    </row>
    <row r="544" spans="1:11" s="6" customFormat="1" x14ac:dyDescent="0.3">
      <c r="A544" s="7"/>
      <c r="E544" s="8"/>
      <c r="F544" s="8"/>
      <c r="H544" s="9"/>
      <c r="J544" s="10"/>
      <c r="K544" s="10"/>
    </row>
    <row r="545" spans="1:11" s="6" customFormat="1" x14ac:dyDescent="0.3">
      <c r="A545" s="7"/>
      <c r="E545" s="8"/>
      <c r="F545" s="8"/>
      <c r="H545" s="9"/>
      <c r="J545" s="10"/>
      <c r="K545" s="10"/>
    </row>
    <row r="546" spans="1:11" s="6" customFormat="1" x14ac:dyDescent="0.3">
      <c r="A546" s="7"/>
      <c r="E546" s="8"/>
      <c r="F546" s="8"/>
      <c r="H546" s="9"/>
      <c r="J546" s="10"/>
      <c r="K546" s="10"/>
    </row>
    <row r="547" spans="1:11" s="6" customFormat="1" x14ac:dyDescent="0.3">
      <c r="A547" s="7"/>
      <c r="E547" s="8"/>
      <c r="F547" s="8"/>
      <c r="H547" s="9"/>
      <c r="J547" s="10"/>
      <c r="K547" s="10"/>
    </row>
    <row r="548" spans="1:11" s="6" customFormat="1" x14ac:dyDescent="0.3">
      <c r="A548" s="7"/>
      <c r="E548" s="8"/>
      <c r="F548" s="8"/>
      <c r="H548" s="9"/>
      <c r="J548" s="10"/>
      <c r="K548" s="10"/>
    </row>
    <row r="549" spans="1:11" s="6" customFormat="1" x14ac:dyDescent="0.3">
      <c r="A549" s="7"/>
      <c r="E549" s="8"/>
      <c r="F549" s="8"/>
      <c r="H549" s="9"/>
      <c r="J549" s="10"/>
      <c r="K549" s="10"/>
    </row>
    <row r="550" spans="1:11" s="6" customFormat="1" x14ac:dyDescent="0.3">
      <c r="A550" s="7"/>
      <c r="E550" s="8"/>
      <c r="F550" s="8"/>
      <c r="H550" s="9"/>
      <c r="J550" s="10"/>
      <c r="K550" s="10"/>
    </row>
    <row r="551" spans="1:11" s="6" customFormat="1" x14ac:dyDescent="0.3">
      <c r="A551" s="7"/>
      <c r="E551" s="8"/>
      <c r="F551" s="8"/>
      <c r="H551" s="9"/>
      <c r="J551" s="10"/>
      <c r="K551" s="10"/>
    </row>
    <row r="552" spans="1:11" s="6" customFormat="1" x14ac:dyDescent="0.3">
      <c r="A552" s="7"/>
      <c r="E552" s="8"/>
      <c r="F552" s="8"/>
      <c r="H552" s="9"/>
      <c r="J552" s="10"/>
      <c r="K552" s="10"/>
    </row>
    <row r="553" spans="1:11" s="6" customFormat="1" x14ac:dyDescent="0.3">
      <c r="A553" s="7"/>
      <c r="E553" s="8"/>
      <c r="F553" s="8"/>
      <c r="H553" s="9"/>
      <c r="J553" s="10"/>
      <c r="K553" s="10"/>
    </row>
    <row r="554" spans="1:11" s="6" customFormat="1" x14ac:dyDescent="0.3">
      <c r="A554" s="7"/>
      <c r="E554" s="8"/>
      <c r="F554" s="8"/>
      <c r="H554" s="9"/>
      <c r="J554" s="10"/>
      <c r="K554" s="10"/>
    </row>
    <row r="555" spans="1:11" s="6" customFormat="1" x14ac:dyDescent="0.3">
      <c r="A555" s="7"/>
      <c r="E555" s="8"/>
      <c r="F555" s="8"/>
      <c r="H555" s="9"/>
      <c r="J555" s="10"/>
      <c r="K555" s="10"/>
    </row>
    <row r="556" spans="1:11" s="6" customFormat="1" x14ac:dyDescent="0.3">
      <c r="A556" s="7"/>
      <c r="E556" s="8"/>
      <c r="F556" s="8"/>
      <c r="H556" s="9"/>
      <c r="J556" s="10"/>
      <c r="K556" s="10"/>
    </row>
    <row r="557" spans="1:11" s="6" customFormat="1" x14ac:dyDescent="0.3">
      <c r="A557" s="7"/>
      <c r="E557" s="8"/>
      <c r="F557" s="8"/>
      <c r="H557" s="9"/>
      <c r="J557" s="10"/>
      <c r="K557" s="10"/>
    </row>
    <row r="558" spans="1:11" s="6" customFormat="1" x14ac:dyDescent="0.3">
      <c r="A558" s="7"/>
      <c r="E558" s="8"/>
      <c r="F558" s="8"/>
      <c r="H558" s="9"/>
      <c r="J558" s="10"/>
      <c r="K558" s="10"/>
    </row>
    <row r="559" spans="1:11" s="6" customFormat="1" x14ac:dyDescent="0.3">
      <c r="A559" s="7"/>
      <c r="E559" s="8"/>
      <c r="F559" s="8"/>
      <c r="H559" s="9"/>
      <c r="J559" s="10"/>
      <c r="K559" s="10"/>
    </row>
    <row r="560" spans="1:11" s="6" customFormat="1" x14ac:dyDescent="0.3">
      <c r="A560" s="7"/>
      <c r="E560" s="8"/>
      <c r="F560" s="8"/>
      <c r="H560" s="9"/>
      <c r="J560" s="10"/>
      <c r="K560" s="10"/>
    </row>
    <row r="561" spans="1:11" s="6" customFormat="1" x14ac:dyDescent="0.3">
      <c r="A561" s="7"/>
      <c r="E561" s="8"/>
      <c r="F561" s="8"/>
      <c r="H561" s="9"/>
      <c r="J561" s="10"/>
      <c r="K561" s="10"/>
    </row>
    <row r="562" spans="1:11" s="6" customFormat="1" x14ac:dyDescent="0.3">
      <c r="A562" s="7"/>
      <c r="E562" s="8"/>
      <c r="F562" s="8"/>
      <c r="H562" s="9"/>
      <c r="J562" s="10"/>
      <c r="K562" s="10"/>
    </row>
    <row r="563" spans="1:11" s="6" customFormat="1" x14ac:dyDescent="0.3">
      <c r="A563" s="7"/>
      <c r="E563" s="8"/>
      <c r="F563" s="8"/>
      <c r="H563" s="9"/>
      <c r="J563" s="10"/>
      <c r="K563" s="10"/>
    </row>
    <row r="564" spans="1:11" s="6" customFormat="1" x14ac:dyDescent="0.3">
      <c r="A564" s="7"/>
      <c r="E564" s="8"/>
      <c r="F564" s="8"/>
      <c r="H564" s="9"/>
      <c r="J564" s="10"/>
      <c r="K564" s="10"/>
    </row>
    <row r="565" spans="1:11" s="6" customFormat="1" x14ac:dyDescent="0.3">
      <c r="A565" s="7"/>
      <c r="E565" s="8"/>
      <c r="F565" s="8"/>
      <c r="H565" s="9"/>
      <c r="J565" s="10"/>
      <c r="K565" s="10"/>
    </row>
    <row r="566" spans="1:11" s="6" customFormat="1" x14ac:dyDescent="0.3">
      <c r="A566" s="7"/>
      <c r="E566" s="8"/>
      <c r="F566" s="8"/>
      <c r="H566" s="9"/>
      <c r="J566" s="10"/>
      <c r="K566" s="10"/>
    </row>
    <row r="567" spans="1:11" s="6" customFormat="1" x14ac:dyDescent="0.3">
      <c r="A567" s="7"/>
      <c r="E567" s="8"/>
      <c r="F567" s="8"/>
      <c r="H567" s="9"/>
      <c r="J567" s="10"/>
      <c r="K567" s="10"/>
    </row>
    <row r="568" spans="1:11" s="6" customFormat="1" x14ac:dyDescent="0.3">
      <c r="A568" s="7"/>
      <c r="E568" s="8"/>
      <c r="F568" s="8"/>
      <c r="H568" s="9"/>
      <c r="J568" s="10"/>
      <c r="K568" s="10"/>
    </row>
    <row r="569" spans="1:11" s="6" customFormat="1" x14ac:dyDescent="0.3">
      <c r="A569" s="7"/>
      <c r="E569" s="8"/>
      <c r="F569" s="8"/>
      <c r="H569" s="9"/>
      <c r="J569" s="10"/>
      <c r="K569" s="10"/>
    </row>
    <row r="570" spans="1:11" s="6" customFormat="1" x14ac:dyDescent="0.3">
      <c r="A570" s="7"/>
      <c r="E570" s="8"/>
      <c r="F570" s="8"/>
      <c r="H570" s="9"/>
      <c r="J570" s="10"/>
      <c r="K570" s="10"/>
    </row>
    <row r="571" spans="1:11" s="6" customFormat="1" x14ac:dyDescent="0.3">
      <c r="A571" s="7"/>
      <c r="E571" s="8"/>
      <c r="F571" s="8"/>
      <c r="H571" s="9"/>
      <c r="J571" s="10"/>
      <c r="K571" s="10"/>
    </row>
    <row r="572" spans="1:11" s="6" customFormat="1" x14ac:dyDescent="0.3">
      <c r="A572" s="7"/>
      <c r="E572" s="8"/>
      <c r="F572" s="8"/>
      <c r="H572" s="9"/>
      <c r="J572" s="10"/>
      <c r="K572" s="10"/>
    </row>
    <row r="573" spans="1:11" s="6" customFormat="1" x14ac:dyDescent="0.3">
      <c r="A573" s="7"/>
      <c r="E573" s="8"/>
      <c r="F573" s="8"/>
      <c r="H573" s="9"/>
      <c r="J573" s="10"/>
      <c r="K573" s="10"/>
    </row>
    <row r="574" spans="1:11" s="6" customFormat="1" x14ac:dyDescent="0.3">
      <c r="A574" s="7"/>
      <c r="E574" s="8"/>
      <c r="F574" s="8"/>
      <c r="H574" s="9"/>
      <c r="J574" s="10"/>
      <c r="K574" s="10"/>
    </row>
    <row r="575" spans="1:11" s="6" customFormat="1" x14ac:dyDescent="0.3">
      <c r="A575" s="7"/>
      <c r="E575" s="8"/>
      <c r="F575" s="8"/>
      <c r="H575" s="9"/>
      <c r="J575" s="10"/>
      <c r="K575" s="10"/>
    </row>
    <row r="576" spans="1:11" s="6" customFormat="1" x14ac:dyDescent="0.3">
      <c r="A576" s="7"/>
      <c r="E576" s="8"/>
      <c r="F576" s="8"/>
      <c r="H576" s="9"/>
      <c r="J576" s="10"/>
      <c r="K576" s="10"/>
    </row>
    <row r="577" spans="1:11" s="6" customFormat="1" x14ac:dyDescent="0.3">
      <c r="A577" s="7"/>
      <c r="E577" s="8"/>
      <c r="F577" s="8"/>
      <c r="H577" s="9"/>
      <c r="J577" s="10"/>
      <c r="K577" s="10"/>
    </row>
    <row r="578" spans="1:11" s="6" customFormat="1" x14ac:dyDescent="0.3">
      <c r="A578" s="7"/>
      <c r="E578" s="8"/>
      <c r="F578" s="8"/>
      <c r="H578" s="9"/>
      <c r="J578" s="10"/>
      <c r="K578" s="10"/>
    </row>
    <row r="579" spans="1:11" s="6" customFormat="1" x14ac:dyDescent="0.3">
      <c r="A579" s="7"/>
      <c r="E579" s="8"/>
      <c r="F579" s="8"/>
      <c r="H579" s="9"/>
      <c r="J579" s="10"/>
      <c r="K579" s="10"/>
    </row>
    <row r="580" spans="1:11" s="6" customFormat="1" x14ac:dyDescent="0.3">
      <c r="A580" s="7"/>
      <c r="E580" s="8"/>
      <c r="F580" s="8"/>
      <c r="H580" s="9"/>
      <c r="J580" s="10"/>
      <c r="K580" s="10"/>
    </row>
    <row r="581" spans="1:11" s="6" customFormat="1" x14ac:dyDescent="0.3">
      <c r="A581" s="7"/>
      <c r="E581" s="8"/>
      <c r="F581" s="8"/>
      <c r="H581" s="9"/>
      <c r="J581" s="10"/>
      <c r="K581" s="10"/>
    </row>
    <row r="582" spans="1:11" s="6" customFormat="1" x14ac:dyDescent="0.3">
      <c r="A582" s="7"/>
      <c r="E582" s="8"/>
      <c r="F582" s="8"/>
      <c r="H582" s="9"/>
      <c r="J582" s="10"/>
      <c r="K582" s="10"/>
    </row>
    <row r="583" spans="1:11" s="6" customFormat="1" x14ac:dyDescent="0.3">
      <c r="A583" s="7"/>
      <c r="E583" s="8"/>
      <c r="F583" s="8"/>
      <c r="H583" s="9"/>
      <c r="J583" s="10"/>
      <c r="K583" s="10"/>
    </row>
    <row r="584" spans="1:11" s="6" customFormat="1" x14ac:dyDescent="0.3">
      <c r="A584" s="7"/>
      <c r="E584" s="8"/>
      <c r="F584" s="8"/>
      <c r="H584" s="9"/>
      <c r="J584" s="10"/>
      <c r="K584" s="10"/>
    </row>
    <row r="585" spans="1:11" s="6" customFormat="1" x14ac:dyDescent="0.3">
      <c r="A585" s="7"/>
      <c r="E585" s="8"/>
      <c r="F585" s="8"/>
      <c r="H585" s="9"/>
      <c r="J585" s="10"/>
      <c r="K585" s="10"/>
    </row>
    <row r="586" spans="1:11" s="6" customFormat="1" x14ac:dyDescent="0.3">
      <c r="A586" s="7"/>
      <c r="E586" s="8"/>
      <c r="F586" s="8"/>
      <c r="H586" s="9"/>
      <c r="J586" s="10"/>
      <c r="K586" s="10"/>
    </row>
    <row r="587" spans="1:11" s="6" customFormat="1" x14ac:dyDescent="0.3">
      <c r="A587" s="7"/>
      <c r="E587" s="8"/>
      <c r="F587" s="8"/>
      <c r="H587" s="9"/>
      <c r="J587" s="10"/>
      <c r="K587" s="10"/>
    </row>
    <row r="588" spans="1:11" s="6" customFormat="1" x14ac:dyDescent="0.3">
      <c r="A588" s="7"/>
      <c r="E588" s="8"/>
      <c r="F588" s="8"/>
      <c r="H588" s="9"/>
      <c r="J588" s="10"/>
      <c r="K588" s="10"/>
    </row>
    <row r="589" spans="1:11" s="6" customFormat="1" x14ac:dyDescent="0.3">
      <c r="A589" s="7"/>
      <c r="E589" s="8"/>
      <c r="F589" s="8"/>
      <c r="H589" s="9"/>
      <c r="J589" s="10"/>
      <c r="K589" s="10"/>
    </row>
    <row r="590" spans="1:11" s="6" customFormat="1" x14ac:dyDescent="0.3">
      <c r="A590" s="7"/>
      <c r="E590" s="8"/>
      <c r="F590" s="8"/>
      <c r="H590" s="9"/>
      <c r="J590" s="10"/>
      <c r="K590" s="10"/>
    </row>
    <row r="591" spans="1:11" s="6" customFormat="1" x14ac:dyDescent="0.3">
      <c r="A591" s="7"/>
      <c r="E591" s="8"/>
      <c r="F591" s="8"/>
      <c r="H591" s="9"/>
      <c r="J591" s="10"/>
      <c r="K591" s="10"/>
    </row>
    <row r="592" spans="1:11" s="6" customFormat="1" x14ac:dyDescent="0.3">
      <c r="A592" s="7"/>
      <c r="E592" s="8"/>
      <c r="F592" s="8"/>
      <c r="H592" s="9"/>
      <c r="J592" s="10"/>
      <c r="K592" s="10"/>
    </row>
    <row r="593" spans="1:11" s="6" customFormat="1" x14ac:dyDescent="0.3">
      <c r="A593" s="7"/>
      <c r="E593" s="8"/>
      <c r="F593" s="8"/>
      <c r="H593" s="9"/>
      <c r="J593" s="10"/>
      <c r="K593" s="10"/>
    </row>
    <row r="594" spans="1:11" s="6" customFormat="1" x14ac:dyDescent="0.3">
      <c r="A594" s="7"/>
      <c r="E594" s="8"/>
      <c r="F594" s="8"/>
      <c r="H594" s="9"/>
      <c r="J594" s="10"/>
      <c r="K594" s="10"/>
    </row>
    <row r="595" spans="1:11" s="6" customFormat="1" x14ac:dyDescent="0.3">
      <c r="A595" s="7"/>
      <c r="E595" s="8"/>
      <c r="F595" s="8"/>
      <c r="H595" s="9"/>
      <c r="J595" s="10"/>
      <c r="K595" s="10"/>
    </row>
    <row r="596" spans="1:11" s="6" customFormat="1" x14ac:dyDescent="0.3">
      <c r="A596" s="7"/>
      <c r="E596" s="8"/>
      <c r="F596" s="8"/>
      <c r="H596" s="9"/>
      <c r="J596" s="10"/>
      <c r="K596" s="10"/>
    </row>
    <row r="597" spans="1:11" s="6" customFormat="1" x14ac:dyDescent="0.3">
      <c r="A597" s="7"/>
      <c r="E597" s="8"/>
      <c r="F597" s="8"/>
      <c r="H597" s="9"/>
      <c r="J597" s="10"/>
      <c r="K597" s="10"/>
    </row>
    <row r="598" spans="1:11" s="6" customFormat="1" x14ac:dyDescent="0.3">
      <c r="A598" s="7"/>
      <c r="E598" s="8"/>
      <c r="F598" s="8"/>
      <c r="H598" s="9"/>
      <c r="J598" s="10"/>
      <c r="K598" s="10"/>
    </row>
    <row r="599" spans="1:11" s="6" customFormat="1" x14ac:dyDescent="0.3">
      <c r="A599" s="7"/>
      <c r="E599" s="8"/>
      <c r="F599" s="8"/>
      <c r="H599" s="9"/>
      <c r="J599" s="10"/>
      <c r="K599" s="10"/>
    </row>
    <row r="600" spans="1:11" s="6" customFormat="1" x14ac:dyDescent="0.3">
      <c r="A600" s="7"/>
      <c r="E600" s="8"/>
      <c r="F600" s="8"/>
      <c r="H600" s="9"/>
      <c r="J600" s="10"/>
      <c r="K600" s="10"/>
    </row>
    <row r="601" spans="1:11" s="6" customFormat="1" x14ac:dyDescent="0.3">
      <c r="A601" s="7"/>
      <c r="E601" s="8"/>
      <c r="F601" s="8"/>
      <c r="H601" s="9"/>
      <c r="J601" s="10"/>
      <c r="K601" s="10"/>
    </row>
    <row r="602" spans="1:11" s="6" customFormat="1" x14ac:dyDescent="0.3">
      <c r="A602" s="7"/>
      <c r="E602" s="8"/>
      <c r="F602" s="8"/>
      <c r="H602" s="9"/>
      <c r="J602" s="10"/>
      <c r="K602" s="10"/>
    </row>
    <row r="603" spans="1:11" s="6" customFormat="1" x14ac:dyDescent="0.3">
      <c r="A603" s="7"/>
      <c r="E603" s="8"/>
      <c r="F603" s="8"/>
      <c r="H603" s="9"/>
      <c r="J603" s="10"/>
      <c r="K603" s="10"/>
    </row>
    <row r="604" spans="1:11" s="6" customFormat="1" x14ac:dyDescent="0.3">
      <c r="A604" s="7"/>
      <c r="E604" s="8"/>
      <c r="F604" s="8"/>
      <c r="H604" s="9"/>
      <c r="J604" s="10"/>
      <c r="K604" s="10"/>
    </row>
    <row r="605" spans="1:11" s="6" customFormat="1" x14ac:dyDescent="0.3">
      <c r="A605" s="7"/>
      <c r="E605" s="8"/>
      <c r="F605" s="8"/>
      <c r="H605" s="9"/>
      <c r="J605" s="10"/>
      <c r="K605" s="10"/>
    </row>
    <row r="606" spans="1:11" s="6" customFormat="1" x14ac:dyDescent="0.3">
      <c r="A606" s="7"/>
      <c r="E606" s="8"/>
      <c r="F606" s="8"/>
      <c r="H606" s="9"/>
      <c r="J606" s="10"/>
      <c r="K606" s="10"/>
    </row>
    <row r="607" spans="1:11" s="6" customFormat="1" x14ac:dyDescent="0.3">
      <c r="A607" s="7"/>
      <c r="E607" s="8"/>
      <c r="F607" s="8"/>
      <c r="H607" s="9"/>
      <c r="J607" s="10"/>
      <c r="K607" s="10"/>
    </row>
    <row r="608" spans="1:11" s="6" customFormat="1" x14ac:dyDescent="0.3">
      <c r="A608" s="7"/>
      <c r="E608" s="8"/>
      <c r="F608" s="8"/>
      <c r="H608" s="9"/>
      <c r="J608" s="10"/>
      <c r="K608" s="10"/>
    </row>
    <row r="609" spans="1:11" s="6" customFormat="1" x14ac:dyDescent="0.3">
      <c r="A609" s="7"/>
      <c r="E609" s="8"/>
      <c r="F609" s="8"/>
      <c r="H609" s="9"/>
      <c r="J609" s="10"/>
      <c r="K609" s="10"/>
    </row>
    <row r="610" spans="1:11" s="6" customFormat="1" x14ac:dyDescent="0.3">
      <c r="A610" s="7"/>
      <c r="E610" s="8"/>
      <c r="F610" s="8"/>
      <c r="H610" s="9"/>
      <c r="J610" s="10"/>
      <c r="K610" s="10"/>
    </row>
    <row r="611" spans="1:11" s="6" customFormat="1" x14ac:dyDescent="0.3">
      <c r="A611" s="7"/>
      <c r="E611" s="8"/>
      <c r="F611" s="8"/>
      <c r="H611" s="9"/>
      <c r="J611" s="10"/>
      <c r="K611" s="10"/>
    </row>
    <row r="612" spans="1:11" s="6" customFormat="1" x14ac:dyDescent="0.3">
      <c r="A612" s="7"/>
      <c r="E612" s="8"/>
      <c r="F612" s="8"/>
      <c r="H612" s="9"/>
      <c r="J612" s="10"/>
      <c r="K612" s="10"/>
    </row>
    <row r="613" spans="1:11" s="6" customFormat="1" x14ac:dyDescent="0.3">
      <c r="A613" s="7"/>
      <c r="E613" s="8"/>
      <c r="F613" s="8"/>
      <c r="H613" s="9"/>
      <c r="J613" s="10"/>
      <c r="K613" s="10"/>
    </row>
    <row r="614" spans="1:11" s="6" customFormat="1" x14ac:dyDescent="0.3">
      <c r="A614" s="7"/>
      <c r="E614" s="8"/>
      <c r="F614" s="8"/>
      <c r="H614" s="9"/>
      <c r="J614" s="10"/>
      <c r="K614" s="10"/>
    </row>
    <row r="615" spans="1:11" s="6" customFormat="1" x14ac:dyDescent="0.3">
      <c r="A615" s="7"/>
      <c r="E615" s="8"/>
      <c r="F615" s="8"/>
      <c r="H615" s="9"/>
      <c r="J615" s="10"/>
      <c r="K615" s="10"/>
    </row>
    <row r="616" spans="1:11" s="6" customFormat="1" x14ac:dyDescent="0.3">
      <c r="A616" s="7"/>
      <c r="E616" s="8"/>
      <c r="F616" s="8"/>
      <c r="H616" s="9"/>
      <c r="J616" s="10"/>
      <c r="K616" s="10"/>
    </row>
    <row r="617" spans="1:11" s="6" customFormat="1" x14ac:dyDescent="0.3">
      <c r="A617" s="7"/>
      <c r="E617" s="8"/>
      <c r="F617" s="8"/>
      <c r="H617" s="9"/>
      <c r="J617" s="10"/>
      <c r="K617" s="10"/>
    </row>
    <row r="618" spans="1:11" s="6" customFormat="1" x14ac:dyDescent="0.3">
      <c r="A618" s="7"/>
      <c r="E618" s="8"/>
      <c r="F618" s="8"/>
      <c r="H618" s="9"/>
      <c r="J618" s="10"/>
      <c r="K618" s="10"/>
    </row>
    <row r="619" spans="1:11" s="6" customFormat="1" x14ac:dyDescent="0.3">
      <c r="A619" s="7"/>
      <c r="E619" s="8"/>
      <c r="F619" s="8"/>
      <c r="H619" s="9"/>
      <c r="J619" s="10"/>
      <c r="K619" s="10"/>
    </row>
    <row r="620" spans="1:11" s="6" customFormat="1" x14ac:dyDescent="0.3">
      <c r="A620" s="7"/>
      <c r="E620" s="8"/>
      <c r="F620" s="8"/>
      <c r="H620" s="9"/>
      <c r="J620" s="10"/>
      <c r="K620" s="10"/>
    </row>
    <row r="621" spans="1:11" s="6" customFormat="1" x14ac:dyDescent="0.3">
      <c r="A621" s="7"/>
      <c r="E621" s="8"/>
      <c r="F621" s="8"/>
      <c r="H621" s="9"/>
      <c r="J621" s="10"/>
      <c r="K621" s="10"/>
    </row>
    <row r="622" spans="1:11" s="6" customFormat="1" x14ac:dyDescent="0.3">
      <c r="A622" s="7"/>
      <c r="E622" s="8"/>
      <c r="F622" s="8"/>
      <c r="H622" s="9"/>
      <c r="J622" s="10"/>
      <c r="K622" s="10"/>
    </row>
    <row r="623" spans="1:11" s="6" customFormat="1" x14ac:dyDescent="0.3">
      <c r="A623" s="7"/>
      <c r="E623" s="8"/>
      <c r="F623" s="8"/>
      <c r="H623" s="9"/>
      <c r="J623" s="10"/>
      <c r="K623" s="10"/>
    </row>
    <row r="624" spans="1:11" s="6" customFormat="1" x14ac:dyDescent="0.3">
      <c r="A624" s="7"/>
      <c r="E624" s="8"/>
      <c r="F624" s="8"/>
      <c r="H624" s="9"/>
      <c r="J624" s="10"/>
      <c r="K624" s="10"/>
    </row>
    <row r="625" spans="1:11" s="6" customFormat="1" x14ac:dyDescent="0.3">
      <c r="A625" s="7"/>
      <c r="E625" s="8"/>
      <c r="F625" s="8"/>
      <c r="H625" s="9"/>
      <c r="J625" s="10"/>
      <c r="K625" s="10"/>
    </row>
    <row r="626" spans="1:11" s="6" customFormat="1" x14ac:dyDescent="0.3">
      <c r="A626" s="7"/>
      <c r="E626" s="8"/>
      <c r="F626" s="8"/>
      <c r="H626" s="9"/>
      <c r="J626" s="10"/>
      <c r="K626" s="10"/>
    </row>
    <row r="627" spans="1:11" s="6" customFormat="1" x14ac:dyDescent="0.3">
      <c r="A627" s="7"/>
      <c r="E627" s="8"/>
      <c r="F627" s="8"/>
      <c r="H627" s="9"/>
      <c r="J627" s="10"/>
      <c r="K627" s="10"/>
    </row>
    <row r="628" spans="1:11" s="6" customFormat="1" x14ac:dyDescent="0.3">
      <c r="A628" s="7"/>
      <c r="E628" s="8"/>
      <c r="F628" s="8"/>
      <c r="H628" s="9"/>
      <c r="J628" s="10"/>
      <c r="K628" s="10"/>
    </row>
    <row r="629" spans="1:11" s="6" customFormat="1" x14ac:dyDescent="0.3">
      <c r="A629" s="7"/>
      <c r="E629" s="8"/>
      <c r="F629" s="8"/>
      <c r="H629" s="9"/>
      <c r="J629" s="10"/>
      <c r="K629" s="10"/>
    </row>
    <row r="630" spans="1:11" s="6" customFormat="1" x14ac:dyDescent="0.3">
      <c r="A630" s="7"/>
      <c r="E630" s="8"/>
      <c r="F630" s="8"/>
      <c r="H630" s="9"/>
      <c r="J630" s="10"/>
      <c r="K630" s="10"/>
    </row>
    <row r="631" spans="1:11" s="6" customFormat="1" x14ac:dyDescent="0.3">
      <c r="A631" s="7"/>
      <c r="E631" s="8"/>
      <c r="F631" s="8"/>
      <c r="H631" s="9"/>
      <c r="J631" s="10"/>
      <c r="K631" s="10"/>
    </row>
    <row r="632" spans="1:11" s="6" customFormat="1" x14ac:dyDescent="0.3">
      <c r="A632" s="7"/>
      <c r="E632" s="8"/>
      <c r="F632" s="8"/>
      <c r="H632" s="9"/>
      <c r="J632" s="10"/>
      <c r="K632" s="10"/>
    </row>
    <row r="633" spans="1:11" s="6" customFormat="1" x14ac:dyDescent="0.3">
      <c r="A633" s="7"/>
      <c r="E633" s="8"/>
      <c r="F633" s="8"/>
      <c r="H633" s="9"/>
      <c r="J633" s="10"/>
      <c r="K633" s="10"/>
    </row>
    <row r="634" spans="1:11" s="6" customFormat="1" x14ac:dyDescent="0.3">
      <c r="A634" s="7"/>
      <c r="E634" s="8"/>
      <c r="F634" s="8"/>
      <c r="H634" s="9"/>
      <c r="J634" s="10"/>
      <c r="K634" s="10"/>
    </row>
    <row r="635" spans="1:11" s="6" customFormat="1" x14ac:dyDescent="0.3">
      <c r="A635" s="7"/>
      <c r="E635" s="8"/>
      <c r="F635" s="8"/>
      <c r="H635" s="9"/>
      <c r="J635" s="10"/>
      <c r="K635" s="10"/>
    </row>
    <row r="636" spans="1:11" s="6" customFormat="1" x14ac:dyDescent="0.3">
      <c r="A636" s="7"/>
      <c r="E636" s="8"/>
      <c r="F636" s="8"/>
      <c r="H636" s="9"/>
      <c r="J636" s="10"/>
      <c r="K636" s="10"/>
    </row>
    <row r="637" spans="1:11" s="6" customFormat="1" x14ac:dyDescent="0.3">
      <c r="A637" s="7"/>
      <c r="E637" s="8"/>
      <c r="F637" s="8"/>
      <c r="H637" s="9"/>
      <c r="J637" s="10"/>
      <c r="K637" s="10"/>
    </row>
    <row r="638" spans="1:11" s="6" customFormat="1" x14ac:dyDescent="0.3">
      <c r="A638" s="7"/>
      <c r="E638" s="8"/>
      <c r="F638" s="8"/>
      <c r="H638" s="9"/>
      <c r="J638" s="10"/>
      <c r="K638" s="10"/>
    </row>
    <row r="639" spans="1:11" s="6" customFormat="1" x14ac:dyDescent="0.3">
      <c r="A639" s="7"/>
      <c r="E639" s="8"/>
      <c r="F639" s="8"/>
      <c r="H639" s="9"/>
      <c r="J639" s="10"/>
      <c r="K639" s="10"/>
    </row>
    <row r="640" spans="1:11" s="6" customFormat="1" x14ac:dyDescent="0.3">
      <c r="A640" s="7"/>
      <c r="E640" s="8"/>
      <c r="F640" s="8"/>
      <c r="H640" s="9"/>
      <c r="J640" s="10"/>
      <c r="K640" s="10"/>
    </row>
    <row r="641" spans="1:11" s="6" customFormat="1" x14ac:dyDescent="0.3">
      <c r="A641" s="7"/>
      <c r="E641" s="8"/>
      <c r="F641" s="8"/>
      <c r="H641" s="9"/>
      <c r="J641" s="10"/>
      <c r="K641" s="10"/>
    </row>
    <row r="642" spans="1:11" s="6" customFormat="1" x14ac:dyDescent="0.3">
      <c r="A642" s="7"/>
      <c r="E642" s="8"/>
      <c r="F642" s="8"/>
      <c r="H642" s="9"/>
      <c r="J642" s="10"/>
      <c r="K642" s="10"/>
    </row>
    <row r="643" spans="1:11" s="6" customFormat="1" x14ac:dyDescent="0.3">
      <c r="A643" s="7"/>
      <c r="E643" s="8"/>
      <c r="F643" s="8"/>
      <c r="H643" s="9"/>
      <c r="J643" s="10"/>
      <c r="K643" s="10"/>
    </row>
    <row r="644" spans="1:11" s="6" customFormat="1" x14ac:dyDescent="0.3">
      <c r="A644" s="7"/>
      <c r="E644" s="8"/>
      <c r="F644" s="8"/>
      <c r="H644" s="9"/>
      <c r="J644" s="10"/>
      <c r="K644" s="10"/>
    </row>
    <row r="645" spans="1:11" s="6" customFormat="1" x14ac:dyDescent="0.3">
      <c r="A645" s="7"/>
      <c r="E645" s="8"/>
      <c r="F645" s="8"/>
      <c r="H645" s="9"/>
      <c r="J645" s="10"/>
      <c r="K645" s="10"/>
    </row>
    <row r="646" spans="1:11" s="6" customFormat="1" x14ac:dyDescent="0.3">
      <c r="A646" s="7"/>
      <c r="E646" s="8"/>
      <c r="F646" s="8"/>
      <c r="H646" s="9"/>
      <c r="J646" s="10"/>
      <c r="K646" s="10"/>
    </row>
    <row r="647" spans="1:11" s="6" customFormat="1" x14ac:dyDescent="0.3">
      <c r="A647" s="7"/>
      <c r="E647" s="8"/>
      <c r="F647" s="8"/>
      <c r="H647" s="9"/>
      <c r="J647" s="10"/>
      <c r="K647" s="10"/>
    </row>
    <row r="648" spans="1:11" s="6" customFormat="1" x14ac:dyDescent="0.3">
      <c r="A648" s="7"/>
      <c r="E648" s="8"/>
      <c r="F648" s="8"/>
      <c r="H648" s="9"/>
      <c r="J648" s="10"/>
      <c r="K648" s="10"/>
    </row>
    <row r="649" spans="1:11" s="6" customFormat="1" x14ac:dyDescent="0.3">
      <c r="A649" s="7"/>
      <c r="E649" s="8"/>
      <c r="F649" s="8"/>
      <c r="H649" s="9"/>
      <c r="J649" s="10"/>
      <c r="K649" s="10"/>
    </row>
    <row r="650" spans="1:11" s="6" customFormat="1" x14ac:dyDescent="0.3">
      <c r="A650" s="7"/>
      <c r="E650" s="8"/>
      <c r="F650" s="8"/>
      <c r="H650" s="9"/>
      <c r="J650" s="10"/>
      <c r="K650" s="10"/>
    </row>
    <row r="651" spans="1:11" s="6" customFormat="1" x14ac:dyDescent="0.3">
      <c r="A651" s="7"/>
      <c r="E651" s="8"/>
      <c r="F651" s="8"/>
      <c r="H651" s="9"/>
      <c r="J651" s="10"/>
      <c r="K651" s="10"/>
    </row>
    <row r="652" spans="1:11" s="6" customFormat="1" x14ac:dyDescent="0.3">
      <c r="A652" s="7"/>
      <c r="E652" s="8"/>
      <c r="F652" s="8"/>
      <c r="H652" s="9"/>
      <c r="J652" s="10"/>
      <c r="K652" s="10"/>
    </row>
    <row r="653" spans="1:11" s="6" customFormat="1" x14ac:dyDescent="0.3">
      <c r="A653" s="7"/>
      <c r="E653" s="8"/>
      <c r="F653" s="8"/>
      <c r="H653" s="9"/>
      <c r="J653" s="10"/>
      <c r="K653" s="10"/>
    </row>
    <row r="654" spans="1:11" s="6" customFormat="1" x14ac:dyDescent="0.3">
      <c r="A654" s="7"/>
      <c r="E654" s="8"/>
      <c r="F654" s="8"/>
      <c r="H654" s="9"/>
      <c r="J654" s="10"/>
      <c r="K654" s="10"/>
    </row>
    <row r="655" spans="1:11" s="6" customFormat="1" x14ac:dyDescent="0.3">
      <c r="A655" s="7"/>
      <c r="E655" s="8"/>
      <c r="F655" s="8"/>
      <c r="H655" s="9"/>
      <c r="J655" s="10"/>
      <c r="K655" s="10"/>
    </row>
    <row r="656" spans="1:11" s="6" customFormat="1" x14ac:dyDescent="0.3">
      <c r="A656" s="7"/>
      <c r="E656" s="8"/>
      <c r="F656" s="8"/>
      <c r="H656" s="9"/>
      <c r="J656" s="10"/>
      <c r="K656" s="10"/>
    </row>
    <row r="657" spans="1:11" s="6" customFormat="1" x14ac:dyDescent="0.3">
      <c r="A657" s="7"/>
      <c r="E657" s="8"/>
      <c r="F657" s="8"/>
      <c r="H657" s="9"/>
      <c r="J657" s="10"/>
      <c r="K657" s="10"/>
    </row>
    <row r="658" spans="1:11" s="6" customFormat="1" x14ac:dyDescent="0.3">
      <c r="A658" s="7"/>
      <c r="E658" s="8"/>
      <c r="F658" s="8"/>
      <c r="H658" s="9"/>
      <c r="J658" s="10"/>
      <c r="K658" s="10"/>
    </row>
    <row r="659" spans="1:11" s="6" customFormat="1" x14ac:dyDescent="0.3">
      <c r="A659" s="7"/>
      <c r="E659" s="8"/>
      <c r="F659" s="8"/>
      <c r="H659" s="9"/>
      <c r="J659" s="10"/>
      <c r="K659" s="10"/>
    </row>
    <row r="660" spans="1:11" s="6" customFormat="1" x14ac:dyDescent="0.3">
      <c r="A660" s="7"/>
      <c r="E660" s="8"/>
      <c r="F660" s="8"/>
      <c r="H660" s="9"/>
      <c r="J660" s="10"/>
      <c r="K660" s="10"/>
    </row>
    <row r="661" spans="1:11" s="6" customFormat="1" x14ac:dyDescent="0.3">
      <c r="A661" s="7"/>
      <c r="E661" s="8"/>
      <c r="F661" s="8"/>
      <c r="H661" s="9"/>
      <c r="J661" s="10"/>
      <c r="K661" s="10"/>
    </row>
    <row r="662" spans="1:11" s="6" customFormat="1" x14ac:dyDescent="0.3">
      <c r="A662" s="7"/>
      <c r="E662" s="8"/>
      <c r="F662" s="8"/>
      <c r="H662" s="9"/>
      <c r="J662" s="10"/>
      <c r="K662" s="10"/>
    </row>
    <row r="663" spans="1:11" s="6" customFormat="1" x14ac:dyDescent="0.3">
      <c r="A663" s="7"/>
      <c r="E663" s="8"/>
      <c r="F663" s="8"/>
      <c r="H663" s="9"/>
      <c r="J663" s="10"/>
      <c r="K663" s="10"/>
    </row>
    <row r="664" spans="1:11" s="6" customFormat="1" x14ac:dyDescent="0.3">
      <c r="A664" s="7"/>
      <c r="E664" s="8"/>
      <c r="F664" s="8"/>
      <c r="H664" s="9"/>
      <c r="J664" s="10"/>
      <c r="K664" s="10"/>
    </row>
    <row r="665" spans="1:11" s="6" customFormat="1" x14ac:dyDescent="0.3">
      <c r="A665" s="7"/>
      <c r="E665" s="8"/>
      <c r="F665" s="8"/>
      <c r="H665" s="9"/>
      <c r="J665" s="10"/>
      <c r="K665" s="10"/>
    </row>
    <row r="666" spans="1:11" s="6" customFormat="1" x14ac:dyDescent="0.3">
      <c r="A666" s="7"/>
      <c r="E666" s="8"/>
      <c r="F666" s="8"/>
      <c r="H666" s="9"/>
      <c r="J666" s="10"/>
      <c r="K666" s="10"/>
    </row>
    <row r="667" spans="1:11" s="6" customFormat="1" x14ac:dyDescent="0.3">
      <c r="A667" s="7"/>
      <c r="E667" s="8"/>
      <c r="F667" s="8"/>
      <c r="H667" s="9"/>
      <c r="J667" s="10"/>
      <c r="K667" s="10"/>
    </row>
    <row r="668" spans="1:11" s="6" customFormat="1" x14ac:dyDescent="0.3">
      <c r="A668" s="7"/>
      <c r="E668" s="8"/>
      <c r="F668" s="8"/>
      <c r="H668" s="9"/>
      <c r="J668" s="10"/>
      <c r="K668" s="10"/>
    </row>
    <row r="669" spans="1:11" s="6" customFormat="1" x14ac:dyDescent="0.3">
      <c r="A669" s="7"/>
      <c r="E669" s="8"/>
      <c r="F669" s="8"/>
      <c r="H669" s="9"/>
      <c r="J669" s="10"/>
      <c r="K669" s="10"/>
    </row>
    <row r="670" spans="1:11" s="6" customFormat="1" x14ac:dyDescent="0.3">
      <c r="A670" s="7"/>
      <c r="E670" s="8"/>
      <c r="F670" s="8"/>
      <c r="H670" s="9"/>
      <c r="J670" s="10"/>
      <c r="K670" s="10"/>
    </row>
    <row r="671" spans="1:11" s="6" customFormat="1" x14ac:dyDescent="0.3">
      <c r="A671" s="7"/>
      <c r="E671" s="8"/>
      <c r="F671" s="8"/>
      <c r="H671" s="9"/>
      <c r="J671" s="10"/>
      <c r="K671" s="10"/>
    </row>
    <row r="672" spans="1:11" s="6" customFormat="1" x14ac:dyDescent="0.3">
      <c r="A672" s="7"/>
      <c r="E672" s="8"/>
      <c r="F672" s="8"/>
      <c r="H672" s="9"/>
      <c r="J672" s="10"/>
      <c r="K672" s="10"/>
    </row>
    <row r="673" spans="1:11" s="6" customFormat="1" x14ac:dyDescent="0.3">
      <c r="A673" s="7"/>
      <c r="E673" s="8"/>
      <c r="F673" s="8"/>
      <c r="H673" s="9"/>
      <c r="J673" s="10"/>
      <c r="K673" s="10"/>
    </row>
    <row r="674" spans="1:11" s="6" customFormat="1" x14ac:dyDescent="0.3">
      <c r="A674" s="7"/>
      <c r="E674" s="8"/>
      <c r="F674" s="8"/>
      <c r="H674" s="9"/>
      <c r="J674" s="10"/>
      <c r="K674" s="10"/>
    </row>
    <row r="675" spans="1:11" s="6" customFormat="1" x14ac:dyDescent="0.3">
      <c r="A675" s="7"/>
      <c r="E675" s="8"/>
      <c r="F675" s="8"/>
      <c r="H675" s="9"/>
      <c r="J675" s="10"/>
      <c r="K675" s="10"/>
    </row>
    <row r="676" spans="1:11" s="6" customFormat="1" x14ac:dyDescent="0.3">
      <c r="A676" s="7"/>
      <c r="E676" s="8"/>
      <c r="F676" s="8"/>
      <c r="H676" s="9"/>
      <c r="J676" s="10"/>
      <c r="K676" s="10"/>
    </row>
    <row r="677" spans="1:11" s="6" customFormat="1" x14ac:dyDescent="0.3">
      <c r="A677" s="7"/>
      <c r="E677" s="8"/>
      <c r="F677" s="8"/>
      <c r="H677" s="9"/>
      <c r="J677" s="10"/>
      <c r="K677" s="10"/>
    </row>
    <row r="678" spans="1:11" s="6" customFormat="1" x14ac:dyDescent="0.3">
      <c r="A678" s="7"/>
      <c r="E678" s="8"/>
      <c r="F678" s="8"/>
      <c r="H678" s="9"/>
      <c r="J678" s="10"/>
      <c r="K678" s="10"/>
    </row>
    <row r="679" spans="1:11" s="6" customFormat="1" x14ac:dyDescent="0.3">
      <c r="A679" s="7"/>
      <c r="E679" s="8"/>
      <c r="F679" s="8"/>
      <c r="H679" s="9"/>
      <c r="J679" s="10"/>
      <c r="K679" s="10"/>
    </row>
    <row r="680" spans="1:11" s="6" customFormat="1" x14ac:dyDescent="0.3">
      <c r="A680" s="7"/>
      <c r="E680" s="8"/>
      <c r="F680" s="8"/>
      <c r="H680" s="9"/>
      <c r="J680" s="10"/>
      <c r="K680" s="10"/>
    </row>
    <row r="681" spans="1:11" s="6" customFormat="1" x14ac:dyDescent="0.3">
      <c r="A681" s="7"/>
      <c r="E681" s="8"/>
      <c r="F681" s="8"/>
      <c r="H681" s="9"/>
      <c r="J681" s="10"/>
      <c r="K681" s="10"/>
    </row>
    <row r="682" spans="1:11" s="6" customFormat="1" x14ac:dyDescent="0.3">
      <c r="A682" s="7"/>
      <c r="E682" s="8"/>
      <c r="F682" s="8"/>
      <c r="H682" s="9"/>
      <c r="J682" s="10"/>
      <c r="K682" s="10"/>
    </row>
    <row r="683" spans="1:11" s="6" customFormat="1" x14ac:dyDescent="0.3">
      <c r="A683" s="7"/>
      <c r="E683" s="8"/>
      <c r="F683" s="8"/>
      <c r="H683" s="9"/>
      <c r="J683" s="10"/>
      <c r="K683" s="10"/>
    </row>
    <row r="684" spans="1:11" s="6" customFormat="1" x14ac:dyDescent="0.3">
      <c r="A684" s="7"/>
      <c r="E684" s="8"/>
      <c r="F684" s="8"/>
      <c r="H684" s="9"/>
      <c r="J684" s="10"/>
      <c r="K684" s="10"/>
    </row>
    <row r="685" spans="1:11" s="6" customFormat="1" x14ac:dyDescent="0.3">
      <c r="A685" s="7"/>
      <c r="E685" s="8"/>
      <c r="F685" s="8"/>
      <c r="H685" s="9"/>
      <c r="J685" s="10"/>
      <c r="K685" s="10"/>
    </row>
    <row r="686" spans="1:11" s="6" customFormat="1" x14ac:dyDescent="0.3">
      <c r="A686" s="7"/>
      <c r="E686" s="8"/>
      <c r="F686" s="8"/>
      <c r="H686" s="9"/>
      <c r="J686" s="10"/>
      <c r="K686" s="10"/>
    </row>
    <row r="687" spans="1:11" s="6" customFormat="1" x14ac:dyDescent="0.3">
      <c r="A687" s="7"/>
      <c r="E687" s="8"/>
      <c r="F687" s="8"/>
      <c r="H687" s="9"/>
      <c r="J687" s="10"/>
      <c r="K687" s="10"/>
    </row>
    <row r="688" spans="1:11" s="6" customFormat="1" x14ac:dyDescent="0.3">
      <c r="A688" s="7"/>
      <c r="E688" s="8"/>
      <c r="F688" s="8"/>
      <c r="H688" s="9"/>
      <c r="J688" s="10"/>
      <c r="K688" s="10"/>
    </row>
    <row r="689" spans="1:11" s="6" customFormat="1" x14ac:dyDescent="0.3">
      <c r="A689" s="7"/>
      <c r="E689" s="8"/>
      <c r="F689" s="8"/>
      <c r="H689" s="9"/>
      <c r="J689" s="10"/>
      <c r="K689" s="10"/>
    </row>
    <row r="690" spans="1:11" s="6" customFormat="1" x14ac:dyDescent="0.3">
      <c r="A690" s="7"/>
      <c r="E690" s="8"/>
      <c r="F690" s="8"/>
      <c r="H690" s="9"/>
      <c r="J690" s="10"/>
      <c r="K690" s="10"/>
    </row>
    <row r="691" spans="1:11" s="6" customFormat="1" x14ac:dyDescent="0.3">
      <c r="A691" s="7"/>
      <c r="E691" s="8"/>
      <c r="F691" s="8"/>
      <c r="H691" s="9"/>
      <c r="J691" s="10"/>
      <c r="K691" s="10"/>
    </row>
    <row r="692" spans="1:11" s="6" customFormat="1" x14ac:dyDescent="0.3">
      <c r="A692" s="7"/>
      <c r="E692" s="8"/>
      <c r="F692" s="8"/>
      <c r="H692" s="9"/>
      <c r="J692" s="10"/>
      <c r="K692" s="10"/>
    </row>
    <row r="693" spans="1:11" s="6" customFormat="1" x14ac:dyDescent="0.3">
      <c r="A693" s="7"/>
      <c r="E693" s="8"/>
      <c r="F693" s="8"/>
      <c r="H693" s="9"/>
      <c r="J693" s="10"/>
      <c r="K693" s="10"/>
    </row>
    <row r="694" spans="1:11" s="6" customFormat="1" x14ac:dyDescent="0.3">
      <c r="A694" s="7"/>
      <c r="E694" s="8"/>
      <c r="F694" s="8"/>
      <c r="H694" s="9"/>
      <c r="J694" s="10"/>
      <c r="K694" s="10"/>
    </row>
    <row r="695" spans="1:11" s="6" customFormat="1" x14ac:dyDescent="0.3">
      <c r="A695" s="7"/>
      <c r="E695" s="8"/>
      <c r="F695" s="8"/>
      <c r="H695" s="9"/>
      <c r="J695" s="10"/>
      <c r="K695" s="10"/>
    </row>
    <row r="696" spans="1:11" s="6" customFormat="1" x14ac:dyDescent="0.3">
      <c r="A696" s="7"/>
      <c r="E696" s="8"/>
      <c r="F696" s="8"/>
      <c r="H696" s="9"/>
      <c r="J696" s="10"/>
      <c r="K696" s="10"/>
    </row>
    <row r="697" spans="1:11" s="6" customFormat="1" x14ac:dyDescent="0.3">
      <c r="A697" s="7"/>
      <c r="E697" s="8"/>
      <c r="F697" s="8"/>
      <c r="H697" s="9"/>
      <c r="J697" s="10"/>
      <c r="K697" s="10"/>
    </row>
    <row r="698" spans="1:11" s="6" customFormat="1" x14ac:dyDescent="0.3">
      <c r="A698" s="7"/>
      <c r="E698" s="8"/>
      <c r="F698" s="8"/>
      <c r="H698" s="9"/>
      <c r="J698" s="10"/>
      <c r="K698" s="10"/>
    </row>
    <row r="699" spans="1:11" s="6" customFormat="1" x14ac:dyDescent="0.3">
      <c r="A699" s="7"/>
      <c r="E699" s="8"/>
      <c r="F699" s="8"/>
      <c r="H699" s="9"/>
      <c r="J699" s="10"/>
      <c r="K699" s="10"/>
    </row>
    <row r="700" spans="1:11" s="6" customFormat="1" x14ac:dyDescent="0.3">
      <c r="A700" s="7"/>
      <c r="E700" s="8"/>
      <c r="F700" s="8"/>
      <c r="H700" s="9"/>
      <c r="J700" s="10"/>
      <c r="K700" s="10"/>
    </row>
    <row r="701" spans="1:11" s="6" customFormat="1" x14ac:dyDescent="0.3">
      <c r="A701" s="7"/>
      <c r="E701" s="8"/>
      <c r="F701" s="8"/>
      <c r="H701" s="9"/>
      <c r="J701" s="10"/>
      <c r="K701" s="10"/>
    </row>
    <row r="702" spans="1:11" s="6" customFormat="1" x14ac:dyDescent="0.3">
      <c r="A702" s="7"/>
      <c r="E702" s="8"/>
      <c r="F702" s="8"/>
      <c r="H702" s="9"/>
      <c r="J702" s="10"/>
      <c r="K702" s="10"/>
    </row>
    <row r="703" spans="1:11" s="6" customFormat="1" x14ac:dyDescent="0.3">
      <c r="A703" s="7"/>
      <c r="E703" s="8"/>
      <c r="F703" s="8"/>
      <c r="H703" s="9"/>
      <c r="J703" s="10"/>
      <c r="K703" s="10"/>
    </row>
    <row r="704" spans="1:11" s="6" customFormat="1" x14ac:dyDescent="0.3">
      <c r="A704" s="7"/>
      <c r="E704" s="8"/>
      <c r="F704" s="8"/>
      <c r="H704" s="9"/>
      <c r="J704" s="10"/>
      <c r="K704" s="10"/>
    </row>
    <row r="705" spans="1:11" s="6" customFormat="1" x14ac:dyDescent="0.3">
      <c r="A705" s="7"/>
      <c r="E705" s="8"/>
      <c r="F705" s="8"/>
      <c r="H705" s="9"/>
      <c r="J705" s="10"/>
      <c r="K705" s="10"/>
    </row>
    <row r="706" spans="1:11" s="6" customFormat="1" x14ac:dyDescent="0.3">
      <c r="A706" s="7"/>
      <c r="E706" s="8"/>
      <c r="F706" s="8"/>
      <c r="H706" s="9"/>
      <c r="J706" s="10"/>
      <c r="K706" s="10"/>
    </row>
    <row r="707" spans="1:11" s="6" customFormat="1" x14ac:dyDescent="0.3">
      <c r="A707" s="7"/>
      <c r="E707" s="8"/>
      <c r="F707" s="8"/>
      <c r="H707" s="9"/>
      <c r="J707" s="10"/>
      <c r="K707" s="10"/>
    </row>
    <row r="708" spans="1:11" s="6" customFormat="1" x14ac:dyDescent="0.3">
      <c r="A708" s="7"/>
      <c r="E708" s="8"/>
      <c r="F708" s="8"/>
      <c r="H708" s="9"/>
      <c r="J708" s="10"/>
      <c r="K708" s="10"/>
    </row>
    <row r="709" spans="1:11" s="6" customFormat="1" x14ac:dyDescent="0.3">
      <c r="A709" s="7"/>
      <c r="E709" s="8"/>
      <c r="F709" s="8"/>
      <c r="H709" s="9"/>
      <c r="J709" s="10"/>
      <c r="K709" s="10"/>
    </row>
    <row r="710" spans="1:11" s="6" customFormat="1" x14ac:dyDescent="0.3">
      <c r="A710" s="7"/>
      <c r="E710" s="8"/>
      <c r="F710" s="8"/>
      <c r="H710" s="9"/>
      <c r="J710" s="10"/>
      <c r="K710" s="10"/>
    </row>
    <row r="711" spans="1:11" s="6" customFormat="1" x14ac:dyDescent="0.3">
      <c r="A711" s="7"/>
      <c r="E711" s="8"/>
      <c r="F711" s="8"/>
      <c r="H711" s="9"/>
      <c r="J711" s="10"/>
      <c r="K711" s="10"/>
    </row>
    <row r="712" spans="1:11" s="6" customFormat="1" x14ac:dyDescent="0.3">
      <c r="A712" s="7"/>
      <c r="E712" s="8"/>
      <c r="F712" s="8"/>
      <c r="H712" s="9"/>
      <c r="J712" s="10"/>
      <c r="K712" s="10"/>
    </row>
    <row r="713" spans="1:11" s="6" customFormat="1" x14ac:dyDescent="0.3">
      <c r="A713" s="7"/>
      <c r="E713" s="8"/>
      <c r="F713" s="8"/>
      <c r="H713" s="9"/>
      <c r="J713" s="10"/>
      <c r="K713" s="10"/>
    </row>
    <row r="714" spans="1:11" s="6" customFormat="1" x14ac:dyDescent="0.3">
      <c r="A714" s="7"/>
      <c r="E714" s="8"/>
      <c r="F714" s="8"/>
      <c r="H714" s="9"/>
      <c r="J714" s="10"/>
      <c r="K714" s="10"/>
    </row>
    <row r="715" spans="1:11" s="6" customFormat="1" x14ac:dyDescent="0.3">
      <c r="A715" s="7"/>
      <c r="E715" s="8"/>
      <c r="F715" s="8"/>
      <c r="H715" s="9"/>
      <c r="J715" s="10"/>
      <c r="K715" s="10"/>
    </row>
    <row r="716" spans="1:11" s="6" customFormat="1" x14ac:dyDescent="0.3">
      <c r="A716" s="7"/>
      <c r="E716" s="8"/>
      <c r="F716" s="8"/>
      <c r="H716" s="9"/>
      <c r="J716" s="10"/>
      <c r="K716" s="10"/>
    </row>
    <row r="717" spans="1:11" s="6" customFormat="1" x14ac:dyDescent="0.3">
      <c r="A717" s="7"/>
      <c r="E717" s="8"/>
      <c r="F717" s="8"/>
      <c r="H717" s="9"/>
      <c r="J717" s="10"/>
      <c r="K717" s="10"/>
    </row>
    <row r="718" spans="1:11" s="6" customFormat="1" x14ac:dyDescent="0.3">
      <c r="A718" s="7"/>
      <c r="E718" s="8"/>
      <c r="F718" s="8"/>
      <c r="H718" s="9"/>
      <c r="J718" s="10"/>
      <c r="K718" s="10"/>
    </row>
    <row r="719" spans="1:11" s="6" customFormat="1" x14ac:dyDescent="0.3">
      <c r="A719" s="7"/>
      <c r="E719" s="8"/>
      <c r="F719" s="8"/>
      <c r="H719" s="9"/>
      <c r="J719" s="10"/>
      <c r="K719" s="10"/>
    </row>
    <row r="720" spans="1:11" s="6" customFormat="1" x14ac:dyDescent="0.3">
      <c r="A720" s="7"/>
      <c r="E720" s="8"/>
      <c r="F720" s="8"/>
      <c r="H720" s="9"/>
      <c r="J720" s="10"/>
      <c r="K720" s="10"/>
    </row>
    <row r="721" spans="1:11" s="6" customFormat="1" x14ac:dyDescent="0.3">
      <c r="A721" s="7"/>
      <c r="E721" s="8"/>
      <c r="F721" s="8"/>
      <c r="H721" s="9"/>
      <c r="J721" s="10"/>
      <c r="K721" s="10"/>
    </row>
    <row r="722" spans="1:11" s="6" customFormat="1" x14ac:dyDescent="0.3">
      <c r="A722" s="7"/>
      <c r="E722" s="8"/>
      <c r="F722" s="8"/>
      <c r="H722" s="9"/>
      <c r="J722" s="10"/>
      <c r="K722" s="10"/>
    </row>
    <row r="723" spans="1:11" s="6" customFormat="1" x14ac:dyDescent="0.3">
      <c r="A723" s="7"/>
      <c r="E723" s="8"/>
      <c r="F723" s="8"/>
      <c r="H723" s="9"/>
      <c r="J723" s="10"/>
      <c r="K723" s="10"/>
    </row>
    <row r="724" spans="1:11" s="6" customFormat="1" x14ac:dyDescent="0.3">
      <c r="A724" s="7"/>
      <c r="E724" s="8"/>
      <c r="F724" s="8"/>
      <c r="H724" s="9"/>
      <c r="J724" s="10"/>
      <c r="K724" s="10"/>
    </row>
    <row r="725" spans="1:11" s="6" customFormat="1" x14ac:dyDescent="0.3">
      <c r="A725" s="7"/>
      <c r="E725" s="8"/>
      <c r="F725" s="8"/>
      <c r="H725" s="9"/>
      <c r="J725" s="10"/>
      <c r="K725" s="10"/>
    </row>
    <row r="726" spans="1:11" s="6" customFormat="1" x14ac:dyDescent="0.3">
      <c r="A726" s="7"/>
      <c r="E726" s="8"/>
      <c r="F726" s="8"/>
      <c r="H726" s="9"/>
      <c r="J726" s="10"/>
      <c r="K726" s="10"/>
    </row>
    <row r="727" spans="1:11" s="6" customFormat="1" x14ac:dyDescent="0.3">
      <c r="A727" s="7"/>
      <c r="E727" s="8"/>
      <c r="F727" s="8"/>
      <c r="H727" s="9"/>
      <c r="J727" s="10"/>
      <c r="K727" s="10"/>
    </row>
    <row r="728" spans="1:11" s="6" customFormat="1" x14ac:dyDescent="0.3">
      <c r="A728" s="7"/>
      <c r="E728" s="8"/>
      <c r="F728" s="8"/>
      <c r="H728" s="9"/>
      <c r="J728" s="10"/>
      <c r="K728" s="10"/>
    </row>
    <row r="729" spans="1:11" s="6" customFormat="1" x14ac:dyDescent="0.3">
      <c r="A729" s="7"/>
      <c r="E729" s="8"/>
      <c r="F729" s="8"/>
      <c r="H729" s="9"/>
      <c r="J729" s="10"/>
      <c r="K729" s="10"/>
    </row>
    <row r="730" spans="1:11" s="6" customFormat="1" x14ac:dyDescent="0.3">
      <c r="A730" s="7"/>
      <c r="E730" s="8"/>
      <c r="F730" s="8"/>
      <c r="H730" s="9"/>
      <c r="J730" s="10"/>
      <c r="K730" s="10"/>
    </row>
    <row r="731" spans="1:11" s="6" customFormat="1" x14ac:dyDescent="0.3">
      <c r="A731" s="7"/>
      <c r="E731" s="8"/>
      <c r="F731" s="8"/>
      <c r="H731" s="9"/>
      <c r="J731" s="10"/>
      <c r="K731" s="10"/>
    </row>
    <row r="732" spans="1:11" s="6" customFormat="1" x14ac:dyDescent="0.3">
      <c r="A732" s="7"/>
      <c r="E732" s="8"/>
      <c r="F732" s="8"/>
      <c r="H732" s="9"/>
      <c r="J732" s="10"/>
      <c r="K732" s="10"/>
    </row>
    <row r="733" spans="1:11" s="6" customFormat="1" x14ac:dyDescent="0.3">
      <c r="A733" s="7"/>
      <c r="E733" s="8"/>
      <c r="F733" s="8"/>
      <c r="H733" s="9"/>
      <c r="J733" s="10"/>
      <c r="K733" s="10"/>
    </row>
    <row r="734" spans="1:11" s="6" customFormat="1" x14ac:dyDescent="0.3">
      <c r="A734" s="7"/>
      <c r="E734" s="8"/>
      <c r="F734" s="8"/>
      <c r="H734" s="9"/>
      <c r="J734" s="10"/>
      <c r="K734" s="10"/>
    </row>
    <row r="735" spans="1:11" s="6" customFormat="1" x14ac:dyDescent="0.3">
      <c r="A735" s="7"/>
      <c r="E735" s="8"/>
      <c r="F735" s="8"/>
      <c r="H735" s="9"/>
      <c r="J735" s="10"/>
      <c r="K735" s="10"/>
    </row>
    <row r="736" spans="1:11" s="6" customFormat="1" x14ac:dyDescent="0.3">
      <c r="A736" s="7"/>
      <c r="E736" s="8"/>
      <c r="F736" s="8"/>
      <c r="H736" s="9"/>
      <c r="J736" s="10"/>
      <c r="K736" s="10"/>
    </row>
    <row r="737" spans="1:11" s="6" customFormat="1" x14ac:dyDescent="0.3">
      <c r="A737" s="7"/>
      <c r="E737" s="8"/>
      <c r="F737" s="8"/>
      <c r="H737" s="9"/>
      <c r="J737" s="10"/>
      <c r="K737" s="10"/>
    </row>
    <row r="738" spans="1:11" s="6" customFormat="1" x14ac:dyDescent="0.3">
      <c r="A738" s="7"/>
      <c r="E738" s="8"/>
      <c r="F738" s="8"/>
      <c r="H738" s="9"/>
      <c r="J738" s="10"/>
      <c r="K738" s="10"/>
    </row>
    <row r="739" spans="1:11" s="6" customFormat="1" x14ac:dyDescent="0.3">
      <c r="A739" s="7"/>
      <c r="E739" s="8"/>
      <c r="F739" s="8"/>
      <c r="H739" s="9"/>
      <c r="J739" s="10"/>
      <c r="K739" s="10"/>
    </row>
    <row r="740" spans="1:11" s="6" customFormat="1" x14ac:dyDescent="0.3">
      <c r="A740" s="7"/>
      <c r="E740" s="8"/>
      <c r="F740" s="8"/>
      <c r="H740" s="9"/>
      <c r="J740" s="10"/>
      <c r="K740" s="10"/>
    </row>
    <row r="741" spans="1:11" s="6" customFormat="1" x14ac:dyDescent="0.3">
      <c r="A741" s="7"/>
      <c r="E741" s="8"/>
      <c r="F741" s="8"/>
      <c r="H741" s="9"/>
      <c r="J741" s="10"/>
      <c r="K741" s="10"/>
    </row>
    <row r="742" spans="1:11" s="6" customFormat="1" x14ac:dyDescent="0.3">
      <c r="A742" s="7"/>
      <c r="E742" s="8"/>
      <c r="F742" s="8"/>
      <c r="H742" s="9"/>
      <c r="J742" s="10"/>
      <c r="K742" s="10"/>
    </row>
    <row r="743" spans="1:11" s="6" customFormat="1" x14ac:dyDescent="0.3">
      <c r="A743" s="7"/>
      <c r="E743" s="8"/>
      <c r="F743" s="8"/>
      <c r="H743" s="9"/>
      <c r="J743" s="10"/>
      <c r="K743" s="10"/>
    </row>
    <row r="744" spans="1:11" s="6" customFormat="1" x14ac:dyDescent="0.3">
      <c r="A744" s="7"/>
      <c r="E744" s="8"/>
      <c r="F744" s="8"/>
      <c r="H744" s="9"/>
      <c r="J744" s="10"/>
      <c r="K744" s="10"/>
    </row>
    <row r="745" spans="1:11" s="6" customFormat="1" x14ac:dyDescent="0.3">
      <c r="A745" s="7"/>
      <c r="E745" s="8"/>
      <c r="F745" s="8"/>
      <c r="H745" s="9"/>
      <c r="J745" s="10"/>
      <c r="K745" s="10"/>
    </row>
    <row r="746" spans="1:11" s="6" customFormat="1" x14ac:dyDescent="0.3">
      <c r="A746" s="7"/>
      <c r="E746" s="8"/>
      <c r="F746" s="8"/>
      <c r="H746" s="9"/>
      <c r="J746" s="10"/>
      <c r="K746" s="10"/>
    </row>
    <row r="747" spans="1:11" s="6" customFormat="1" x14ac:dyDescent="0.3">
      <c r="A747" s="7"/>
      <c r="E747" s="8"/>
      <c r="F747" s="8"/>
      <c r="H747" s="9"/>
      <c r="J747" s="10"/>
      <c r="K747" s="10"/>
    </row>
    <row r="748" spans="1:11" s="6" customFormat="1" x14ac:dyDescent="0.3">
      <c r="A748" s="7"/>
      <c r="E748" s="8"/>
      <c r="F748" s="8"/>
      <c r="H748" s="9"/>
      <c r="J748" s="10"/>
      <c r="K748" s="10"/>
    </row>
    <row r="749" spans="1:11" s="6" customFormat="1" x14ac:dyDescent="0.3">
      <c r="A749" s="7"/>
      <c r="E749" s="8"/>
      <c r="F749" s="8"/>
      <c r="H749" s="9"/>
      <c r="J749" s="10"/>
      <c r="K749" s="10"/>
    </row>
    <row r="750" spans="1:11" s="6" customFormat="1" x14ac:dyDescent="0.3">
      <c r="A750" s="7"/>
      <c r="E750" s="8"/>
      <c r="F750" s="8"/>
      <c r="H750" s="9"/>
      <c r="J750" s="10"/>
      <c r="K750" s="10"/>
    </row>
    <row r="751" spans="1:11" s="6" customFormat="1" x14ac:dyDescent="0.3">
      <c r="A751" s="7"/>
      <c r="E751" s="8"/>
      <c r="F751" s="8"/>
      <c r="H751" s="9"/>
      <c r="J751" s="10"/>
      <c r="K751" s="10"/>
    </row>
    <row r="752" spans="1:11" s="6" customFormat="1" x14ac:dyDescent="0.3">
      <c r="A752" s="7"/>
      <c r="E752" s="8"/>
      <c r="F752" s="8"/>
      <c r="H752" s="9"/>
      <c r="J752" s="10"/>
      <c r="K752" s="10"/>
    </row>
    <row r="753" spans="1:11" s="6" customFormat="1" x14ac:dyDescent="0.3">
      <c r="A753" s="7"/>
      <c r="E753" s="8"/>
      <c r="F753" s="8"/>
      <c r="H753" s="9"/>
      <c r="J753" s="10"/>
      <c r="K753" s="10"/>
    </row>
    <row r="754" spans="1:11" s="6" customFormat="1" x14ac:dyDescent="0.3">
      <c r="A754" s="7"/>
      <c r="E754" s="8"/>
      <c r="F754" s="8"/>
      <c r="H754" s="9"/>
      <c r="J754" s="10"/>
      <c r="K754" s="10"/>
    </row>
    <row r="755" spans="1:11" s="6" customFormat="1" x14ac:dyDescent="0.3">
      <c r="A755" s="7"/>
      <c r="E755" s="8"/>
      <c r="F755" s="8"/>
      <c r="H755" s="9"/>
      <c r="J755" s="10"/>
      <c r="K755" s="10"/>
    </row>
    <row r="756" spans="1:11" s="6" customFormat="1" x14ac:dyDescent="0.3">
      <c r="A756" s="7"/>
      <c r="E756" s="8"/>
      <c r="F756" s="8"/>
      <c r="H756" s="9"/>
      <c r="J756" s="10"/>
      <c r="K756" s="10"/>
    </row>
    <row r="757" spans="1:11" s="6" customFormat="1" x14ac:dyDescent="0.3">
      <c r="A757" s="7"/>
      <c r="E757" s="8"/>
      <c r="F757" s="8"/>
      <c r="H757" s="9"/>
      <c r="J757" s="10"/>
      <c r="K757" s="10"/>
    </row>
    <row r="758" spans="1:11" s="6" customFormat="1" x14ac:dyDescent="0.3">
      <c r="A758" s="7"/>
      <c r="E758" s="8"/>
      <c r="F758" s="8"/>
      <c r="H758" s="9"/>
      <c r="J758" s="10"/>
      <c r="K758" s="10"/>
    </row>
    <row r="759" spans="1:11" s="6" customFormat="1" x14ac:dyDescent="0.3">
      <c r="A759" s="7"/>
      <c r="E759" s="8"/>
      <c r="F759" s="8"/>
      <c r="H759" s="9"/>
      <c r="J759" s="10"/>
      <c r="K759" s="10"/>
    </row>
    <row r="760" spans="1:11" s="6" customFormat="1" x14ac:dyDescent="0.3">
      <c r="A760" s="7"/>
      <c r="E760" s="8"/>
      <c r="F760" s="8"/>
      <c r="H760" s="9"/>
      <c r="J760" s="10"/>
      <c r="K760" s="10"/>
    </row>
    <row r="761" spans="1:11" s="6" customFormat="1" x14ac:dyDescent="0.3">
      <c r="A761" s="7"/>
      <c r="E761" s="8"/>
      <c r="F761" s="8"/>
      <c r="H761" s="9"/>
      <c r="J761" s="10"/>
      <c r="K761" s="10"/>
    </row>
    <row r="762" spans="1:11" s="6" customFormat="1" x14ac:dyDescent="0.3">
      <c r="A762" s="7"/>
      <c r="E762" s="8"/>
      <c r="F762" s="8"/>
      <c r="H762" s="9"/>
      <c r="J762" s="10"/>
      <c r="K762" s="10"/>
    </row>
    <row r="763" spans="1:11" s="6" customFormat="1" x14ac:dyDescent="0.3">
      <c r="A763" s="7"/>
      <c r="E763" s="8"/>
      <c r="F763" s="8"/>
      <c r="H763" s="9"/>
      <c r="J763" s="10"/>
      <c r="K763" s="10"/>
    </row>
    <row r="764" spans="1:11" s="6" customFormat="1" x14ac:dyDescent="0.3">
      <c r="A764" s="7"/>
      <c r="E764" s="8"/>
      <c r="F764" s="8"/>
      <c r="H764" s="9"/>
      <c r="J764" s="10"/>
      <c r="K764" s="10"/>
    </row>
    <row r="765" spans="1:11" s="6" customFormat="1" x14ac:dyDescent="0.3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 x14ac:dyDescent="0.3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 x14ac:dyDescent="0.3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 x14ac:dyDescent="0.3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 x14ac:dyDescent="0.3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 x14ac:dyDescent="0.3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 x14ac:dyDescent="0.3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 x14ac:dyDescent="0.3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 x14ac:dyDescent="0.3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 x14ac:dyDescent="0.3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 x14ac:dyDescent="0.3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 x14ac:dyDescent="0.3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 x14ac:dyDescent="0.3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 x14ac:dyDescent="0.3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 x14ac:dyDescent="0.3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 x14ac:dyDescent="0.3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 x14ac:dyDescent="0.3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 x14ac:dyDescent="0.3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 x14ac:dyDescent="0.3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 x14ac:dyDescent="0.3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 x14ac:dyDescent="0.3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 x14ac:dyDescent="0.3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 x14ac:dyDescent="0.3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 x14ac:dyDescent="0.3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 x14ac:dyDescent="0.3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 x14ac:dyDescent="0.3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 x14ac:dyDescent="0.3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 x14ac:dyDescent="0.3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 x14ac:dyDescent="0.3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 x14ac:dyDescent="0.3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 x14ac:dyDescent="0.3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 x14ac:dyDescent="0.3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 x14ac:dyDescent="0.3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 x14ac:dyDescent="0.3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 x14ac:dyDescent="0.3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 x14ac:dyDescent="0.3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 x14ac:dyDescent="0.3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 x14ac:dyDescent="0.3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 x14ac:dyDescent="0.3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 x14ac:dyDescent="0.3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 x14ac:dyDescent="0.3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 x14ac:dyDescent="0.3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 x14ac:dyDescent="0.3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 x14ac:dyDescent="0.3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 x14ac:dyDescent="0.3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 x14ac:dyDescent="0.3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 x14ac:dyDescent="0.3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 x14ac:dyDescent="0.3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 x14ac:dyDescent="0.3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 x14ac:dyDescent="0.3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 x14ac:dyDescent="0.3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 x14ac:dyDescent="0.3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 x14ac:dyDescent="0.3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 x14ac:dyDescent="0.3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 x14ac:dyDescent="0.3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 x14ac:dyDescent="0.3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 x14ac:dyDescent="0.3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 x14ac:dyDescent="0.3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 x14ac:dyDescent="0.3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 x14ac:dyDescent="0.3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 x14ac:dyDescent="0.3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 x14ac:dyDescent="0.3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 x14ac:dyDescent="0.3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 x14ac:dyDescent="0.3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 x14ac:dyDescent="0.3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 x14ac:dyDescent="0.3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 x14ac:dyDescent="0.3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 x14ac:dyDescent="0.3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 x14ac:dyDescent="0.3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 x14ac:dyDescent="0.3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 x14ac:dyDescent="0.3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 x14ac:dyDescent="0.3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 x14ac:dyDescent="0.3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 x14ac:dyDescent="0.3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 x14ac:dyDescent="0.3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 x14ac:dyDescent="0.3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 x14ac:dyDescent="0.3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 x14ac:dyDescent="0.3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 x14ac:dyDescent="0.3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 x14ac:dyDescent="0.3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 x14ac:dyDescent="0.3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 x14ac:dyDescent="0.3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 x14ac:dyDescent="0.3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 x14ac:dyDescent="0.3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 x14ac:dyDescent="0.3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 x14ac:dyDescent="0.3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 x14ac:dyDescent="0.3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 x14ac:dyDescent="0.3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 x14ac:dyDescent="0.3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 x14ac:dyDescent="0.3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 x14ac:dyDescent="0.3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 x14ac:dyDescent="0.3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 x14ac:dyDescent="0.3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 x14ac:dyDescent="0.3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 x14ac:dyDescent="0.3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 x14ac:dyDescent="0.3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 x14ac:dyDescent="0.3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 x14ac:dyDescent="0.3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 x14ac:dyDescent="0.3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 x14ac:dyDescent="0.3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 x14ac:dyDescent="0.3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 x14ac:dyDescent="0.3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 x14ac:dyDescent="0.3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 x14ac:dyDescent="0.3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 x14ac:dyDescent="0.3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 x14ac:dyDescent="0.3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 x14ac:dyDescent="0.3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 x14ac:dyDescent="0.3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 x14ac:dyDescent="0.3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 x14ac:dyDescent="0.3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 x14ac:dyDescent="0.3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 x14ac:dyDescent="0.3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 x14ac:dyDescent="0.3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 x14ac:dyDescent="0.3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 x14ac:dyDescent="0.3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 x14ac:dyDescent="0.3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 x14ac:dyDescent="0.3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 x14ac:dyDescent="0.3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 x14ac:dyDescent="0.3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 x14ac:dyDescent="0.3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 x14ac:dyDescent="0.3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 x14ac:dyDescent="0.3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 x14ac:dyDescent="0.3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 x14ac:dyDescent="0.3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 x14ac:dyDescent="0.3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 x14ac:dyDescent="0.3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 x14ac:dyDescent="0.3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 x14ac:dyDescent="0.3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 x14ac:dyDescent="0.3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 x14ac:dyDescent="0.3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 x14ac:dyDescent="0.3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 x14ac:dyDescent="0.3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 x14ac:dyDescent="0.3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 x14ac:dyDescent="0.3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 x14ac:dyDescent="0.3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 x14ac:dyDescent="0.3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 x14ac:dyDescent="0.3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 x14ac:dyDescent="0.3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 x14ac:dyDescent="0.3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 x14ac:dyDescent="0.3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 x14ac:dyDescent="0.3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 x14ac:dyDescent="0.3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 x14ac:dyDescent="0.3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 x14ac:dyDescent="0.3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 x14ac:dyDescent="0.3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 x14ac:dyDescent="0.3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 x14ac:dyDescent="0.3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 x14ac:dyDescent="0.3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 x14ac:dyDescent="0.3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 x14ac:dyDescent="0.3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 x14ac:dyDescent="0.3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 x14ac:dyDescent="0.3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 x14ac:dyDescent="0.3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 x14ac:dyDescent="0.3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 x14ac:dyDescent="0.3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 x14ac:dyDescent="0.3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 x14ac:dyDescent="0.3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 x14ac:dyDescent="0.3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 x14ac:dyDescent="0.3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 x14ac:dyDescent="0.3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 x14ac:dyDescent="0.3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 x14ac:dyDescent="0.3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 x14ac:dyDescent="0.3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 x14ac:dyDescent="0.3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 x14ac:dyDescent="0.3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 x14ac:dyDescent="0.3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 x14ac:dyDescent="0.3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 x14ac:dyDescent="0.3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 x14ac:dyDescent="0.3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 x14ac:dyDescent="0.3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 x14ac:dyDescent="0.3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 x14ac:dyDescent="0.3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 x14ac:dyDescent="0.3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 x14ac:dyDescent="0.3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 x14ac:dyDescent="0.3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 x14ac:dyDescent="0.3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 x14ac:dyDescent="0.3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 x14ac:dyDescent="0.3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 x14ac:dyDescent="0.3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 x14ac:dyDescent="0.3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 x14ac:dyDescent="0.3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 x14ac:dyDescent="0.3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 x14ac:dyDescent="0.3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 x14ac:dyDescent="0.3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 x14ac:dyDescent="0.3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 x14ac:dyDescent="0.3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 x14ac:dyDescent="0.3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 x14ac:dyDescent="0.3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 x14ac:dyDescent="0.3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 x14ac:dyDescent="0.3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 x14ac:dyDescent="0.3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 x14ac:dyDescent="0.3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 x14ac:dyDescent="0.3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 x14ac:dyDescent="0.3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 x14ac:dyDescent="0.3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 x14ac:dyDescent="0.3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 x14ac:dyDescent="0.3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 x14ac:dyDescent="0.3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 x14ac:dyDescent="0.3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 x14ac:dyDescent="0.3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 x14ac:dyDescent="0.3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 x14ac:dyDescent="0.3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 x14ac:dyDescent="0.3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 x14ac:dyDescent="0.3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 x14ac:dyDescent="0.3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 x14ac:dyDescent="0.3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 x14ac:dyDescent="0.3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 x14ac:dyDescent="0.3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 x14ac:dyDescent="0.3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 x14ac:dyDescent="0.3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 x14ac:dyDescent="0.3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 x14ac:dyDescent="0.3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 x14ac:dyDescent="0.3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 x14ac:dyDescent="0.3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 x14ac:dyDescent="0.3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 x14ac:dyDescent="0.3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 x14ac:dyDescent="0.3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 x14ac:dyDescent="0.3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 x14ac:dyDescent="0.3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 x14ac:dyDescent="0.3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 x14ac:dyDescent="0.3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 x14ac:dyDescent="0.3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 x14ac:dyDescent="0.3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 x14ac:dyDescent="0.3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 x14ac:dyDescent="0.3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 x14ac:dyDescent="0.3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 x14ac:dyDescent="0.3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 x14ac:dyDescent="0.3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 x14ac:dyDescent="0.3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 x14ac:dyDescent="0.3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 x14ac:dyDescent="0.3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 x14ac:dyDescent="0.3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 x14ac:dyDescent="0.3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 x14ac:dyDescent="0.3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 x14ac:dyDescent="0.3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 x14ac:dyDescent="0.3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 x14ac:dyDescent="0.3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 x14ac:dyDescent="0.3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 x14ac:dyDescent="0.3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 x14ac:dyDescent="0.3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 x14ac:dyDescent="0.3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 x14ac:dyDescent="0.3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6" t="s">
        <v>21</v>
      </c>
      <c r="B1" s="27" t="s">
        <v>22</v>
      </c>
      <c r="C1" s="27" t="s">
        <v>23</v>
      </c>
      <c r="D1" s="27" t="s">
        <v>24</v>
      </c>
      <c r="E1" s="27" t="s">
        <v>25</v>
      </c>
      <c r="F1" s="27" t="s">
        <v>26</v>
      </c>
      <c r="G1" s="27" t="s">
        <v>27</v>
      </c>
      <c r="H1" s="27" t="s">
        <v>28</v>
      </c>
    </row>
    <row r="2" spans="1:8" x14ac:dyDescent="0.3">
      <c r="A2" s="28" t="s">
        <v>19</v>
      </c>
      <c r="B2" s="29">
        <v>460</v>
      </c>
      <c r="C2" s="29">
        <v>610</v>
      </c>
      <c r="D2" s="30">
        <v>660</v>
      </c>
      <c r="E2" s="29">
        <f t="shared" ref="E2:E28" si="0">AVERAGE(B2:D2)</f>
        <v>576.66666666666663</v>
      </c>
      <c r="F2" s="29">
        <f t="shared" ref="F2:F28" si="1">MAX(B2:D2)</f>
        <v>660</v>
      </c>
      <c r="G2" s="31">
        <v>0</v>
      </c>
      <c r="H2" s="30">
        <v>0</v>
      </c>
    </row>
    <row r="3" spans="1:8" x14ac:dyDescent="0.3">
      <c r="A3" s="28" t="s">
        <v>19</v>
      </c>
      <c r="B3" s="29">
        <v>125</v>
      </c>
      <c r="C3" s="29">
        <v>125</v>
      </c>
      <c r="D3" s="30">
        <v>125</v>
      </c>
      <c r="E3" s="29">
        <f t="shared" si="0"/>
        <v>125</v>
      </c>
      <c r="F3" s="29">
        <f t="shared" si="1"/>
        <v>125</v>
      </c>
      <c r="G3" s="31">
        <v>53.166666666666664</v>
      </c>
      <c r="H3" s="30">
        <v>209</v>
      </c>
    </row>
    <row r="4" spans="1:8" x14ac:dyDescent="0.3">
      <c r="A4" s="32" t="s">
        <v>11</v>
      </c>
      <c r="B4" s="29">
        <v>8010</v>
      </c>
      <c r="C4" s="29">
        <v>8510</v>
      </c>
      <c r="D4" s="30">
        <v>9510</v>
      </c>
      <c r="E4" s="29">
        <f t="shared" si="0"/>
        <v>8676.6666666666661</v>
      </c>
      <c r="F4" s="29">
        <f t="shared" si="1"/>
        <v>9510</v>
      </c>
      <c r="G4" s="31">
        <v>7759.083333333333</v>
      </c>
      <c r="H4" s="30">
        <v>11340</v>
      </c>
    </row>
    <row r="5" spans="1:8" x14ac:dyDescent="0.3">
      <c r="A5" s="32" t="s">
        <v>11</v>
      </c>
      <c r="B5" s="29">
        <v>1010</v>
      </c>
      <c r="C5" s="29">
        <v>1360</v>
      </c>
      <c r="D5" s="30">
        <v>1660</v>
      </c>
      <c r="E5" s="29">
        <f t="shared" si="0"/>
        <v>1343.3333333333333</v>
      </c>
      <c r="F5" s="29">
        <f t="shared" si="1"/>
        <v>1660</v>
      </c>
      <c r="G5" s="31">
        <v>1251.9166666666667</v>
      </c>
      <c r="H5" s="30">
        <v>2513</v>
      </c>
    </row>
    <row r="6" spans="1:8" x14ac:dyDescent="0.3">
      <c r="A6" s="32" t="s">
        <v>11</v>
      </c>
      <c r="B6" s="29">
        <v>560</v>
      </c>
      <c r="C6" s="29">
        <v>560</v>
      </c>
      <c r="D6" s="30">
        <v>660</v>
      </c>
      <c r="E6" s="29">
        <f t="shared" si="0"/>
        <v>593.33333333333337</v>
      </c>
      <c r="F6" s="29">
        <f t="shared" si="1"/>
        <v>660</v>
      </c>
      <c r="G6" s="31">
        <v>612.91666666666663</v>
      </c>
      <c r="H6" s="30">
        <v>994</v>
      </c>
    </row>
    <row r="7" spans="1:8" x14ac:dyDescent="0.3">
      <c r="A7" s="32" t="s">
        <v>18</v>
      </c>
      <c r="B7" s="29">
        <v>150</v>
      </c>
      <c r="C7" s="29">
        <v>150</v>
      </c>
      <c r="D7" s="30">
        <v>250</v>
      </c>
      <c r="E7" s="29">
        <f t="shared" si="0"/>
        <v>183.33333333333334</v>
      </c>
      <c r="F7" s="29">
        <f t="shared" si="1"/>
        <v>250</v>
      </c>
      <c r="G7" s="31">
        <v>236.33333333333334</v>
      </c>
      <c r="H7" s="30">
        <v>1048</v>
      </c>
    </row>
    <row r="8" spans="1:8" x14ac:dyDescent="0.3">
      <c r="A8" s="32" t="s">
        <v>11</v>
      </c>
      <c r="B8" s="29">
        <v>310</v>
      </c>
      <c r="C8" s="29">
        <v>310</v>
      </c>
      <c r="D8" s="30">
        <v>510</v>
      </c>
      <c r="E8" s="29">
        <f t="shared" si="0"/>
        <v>376.66666666666669</v>
      </c>
      <c r="F8" s="29">
        <f t="shared" si="1"/>
        <v>510</v>
      </c>
      <c r="G8" s="31">
        <v>677.41666666666663</v>
      </c>
      <c r="H8" s="30">
        <v>3582</v>
      </c>
    </row>
    <row r="9" spans="1:8" x14ac:dyDescent="0.3">
      <c r="A9" s="32" t="s">
        <v>16</v>
      </c>
      <c r="B9" s="29">
        <v>65</v>
      </c>
      <c r="C9" s="29">
        <v>65</v>
      </c>
      <c r="D9" s="30">
        <v>75</v>
      </c>
      <c r="E9" s="29">
        <f t="shared" si="0"/>
        <v>68.333333333333329</v>
      </c>
      <c r="F9" s="29">
        <f t="shared" si="1"/>
        <v>75</v>
      </c>
      <c r="G9" s="31">
        <v>39.916666666666664</v>
      </c>
      <c r="H9" s="30">
        <v>54</v>
      </c>
    </row>
    <row r="10" spans="1:8" x14ac:dyDescent="0.3">
      <c r="A10" s="32" t="s">
        <v>16</v>
      </c>
      <c r="B10" s="29">
        <v>2335</v>
      </c>
      <c r="C10" s="29">
        <v>2385</v>
      </c>
      <c r="D10" s="30">
        <v>2720</v>
      </c>
      <c r="E10" s="29">
        <f t="shared" si="0"/>
        <v>2480</v>
      </c>
      <c r="F10" s="29">
        <f t="shared" si="1"/>
        <v>2720</v>
      </c>
      <c r="G10" s="31">
        <v>2112.25</v>
      </c>
      <c r="H10" s="30">
        <v>3278</v>
      </c>
    </row>
    <row r="11" spans="1:8" x14ac:dyDescent="0.3">
      <c r="A11" s="32" t="s">
        <v>16</v>
      </c>
      <c r="B11" s="29">
        <v>825</v>
      </c>
      <c r="C11" s="29">
        <v>945</v>
      </c>
      <c r="D11" s="30">
        <v>1045</v>
      </c>
      <c r="E11" s="29">
        <f t="shared" si="0"/>
        <v>938.33333333333337</v>
      </c>
      <c r="F11" s="29">
        <f t="shared" si="1"/>
        <v>1045</v>
      </c>
      <c r="G11" s="31">
        <v>817.58333333333337</v>
      </c>
      <c r="H11" s="30">
        <v>2636</v>
      </c>
    </row>
    <row r="12" spans="1:8" x14ac:dyDescent="0.3">
      <c r="A12" s="28" t="s">
        <v>15</v>
      </c>
      <c r="B12" s="29">
        <v>103</v>
      </c>
      <c r="C12" s="29">
        <v>113</v>
      </c>
      <c r="D12" s="30">
        <v>123</v>
      </c>
      <c r="E12" s="29">
        <f t="shared" si="0"/>
        <v>113</v>
      </c>
      <c r="F12" s="29">
        <f t="shared" si="1"/>
        <v>123</v>
      </c>
      <c r="G12" s="31">
        <v>108.25</v>
      </c>
      <c r="H12" s="30">
        <v>185</v>
      </c>
    </row>
    <row r="13" spans="1:8" x14ac:dyDescent="0.3">
      <c r="A13" s="28" t="s">
        <v>15</v>
      </c>
      <c r="B13" s="29">
        <v>135</v>
      </c>
      <c r="C13" s="29">
        <v>210</v>
      </c>
      <c r="D13" s="30">
        <v>180</v>
      </c>
      <c r="E13" s="29">
        <f t="shared" si="0"/>
        <v>175</v>
      </c>
      <c r="F13" s="29">
        <f t="shared" si="1"/>
        <v>210</v>
      </c>
      <c r="G13" s="31">
        <v>174.33333333333334</v>
      </c>
      <c r="H13" s="30">
        <v>396</v>
      </c>
    </row>
    <row r="14" spans="1:8" x14ac:dyDescent="0.3">
      <c r="A14" s="28" t="s">
        <v>15</v>
      </c>
      <c r="B14" s="29">
        <v>80</v>
      </c>
      <c r="C14" s="29">
        <v>80</v>
      </c>
      <c r="D14" s="30">
        <v>100</v>
      </c>
      <c r="E14" s="29">
        <f t="shared" si="0"/>
        <v>86.666666666666671</v>
      </c>
      <c r="F14" s="29">
        <f t="shared" si="1"/>
        <v>100</v>
      </c>
      <c r="G14" s="31">
        <v>93.916666666666671</v>
      </c>
      <c r="H14" s="30">
        <v>206</v>
      </c>
    </row>
    <row r="15" spans="1:8" x14ac:dyDescent="0.3">
      <c r="A15" s="28" t="s">
        <v>15</v>
      </c>
      <c r="B15" s="29">
        <v>90</v>
      </c>
      <c r="C15" s="29">
        <v>100</v>
      </c>
      <c r="D15" s="30">
        <v>145</v>
      </c>
      <c r="E15" s="29">
        <f t="shared" si="0"/>
        <v>111.66666666666667</v>
      </c>
      <c r="F15" s="29">
        <f t="shared" si="1"/>
        <v>145</v>
      </c>
      <c r="G15" s="31">
        <v>128.58333333333334</v>
      </c>
      <c r="H15" s="30">
        <v>252</v>
      </c>
    </row>
    <row r="16" spans="1:8" x14ac:dyDescent="0.3">
      <c r="A16" s="28" t="s">
        <v>15</v>
      </c>
      <c r="B16" s="29">
        <v>165</v>
      </c>
      <c r="C16" s="29">
        <v>175</v>
      </c>
      <c r="D16" s="30">
        <v>175</v>
      </c>
      <c r="E16" s="29">
        <f t="shared" si="0"/>
        <v>171.66666666666666</v>
      </c>
      <c r="F16" s="29">
        <f t="shared" si="1"/>
        <v>175</v>
      </c>
      <c r="G16" s="31">
        <v>200.25</v>
      </c>
      <c r="H16" s="30">
        <v>337</v>
      </c>
    </row>
    <row r="17" spans="1:8" x14ac:dyDescent="0.3">
      <c r="A17" s="28" t="s">
        <v>19</v>
      </c>
      <c r="B17" s="29">
        <v>140</v>
      </c>
      <c r="C17" s="29">
        <v>50</v>
      </c>
      <c r="D17" s="30">
        <v>50</v>
      </c>
      <c r="E17" s="29">
        <f t="shared" si="0"/>
        <v>80</v>
      </c>
      <c r="F17" s="29">
        <f t="shared" si="1"/>
        <v>140</v>
      </c>
      <c r="G17" s="31">
        <v>95</v>
      </c>
      <c r="H17" s="30">
        <v>157</v>
      </c>
    </row>
    <row r="18" spans="1:8" x14ac:dyDescent="0.3">
      <c r="A18" s="32" t="s">
        <v>18</v>
      </c>
      <c r="B18" s="29">
        <v>150</v>
      </c>
      <c r="C18" s="29">
        <v>300</v>
      </c>
      <c r="D18" s="30">
        <v>400</v>
      </c>
      <c r="E18" s="29">
        <f t="shared" si="0"/>
        <v>283.33333333333331</v>
      </c>
      <c r="F18" s="29">
        <f t="shared" si="1"/>
        <v>400</v>
      </c>
      <c r="G18" s="31">
        <v>0</v>
      </c>
      <c r="H18" s="30">
        <v>0</v>
      </c>
    </row>
    <row r="19" spans="1:8" x14ac:dyDescent="0.3">
      <c r="A19" s="32" t="s">
        <v>18</v>
      </c>
      <c r="B19" s="29">
        <v>640</v>
      </c>
      <c r="C19" s="29">
        <v>850</v>
      </c>
      <c r="D19" s="30">
        <v>1050</v>
      </c>
      <c r="E19" s="29">
        <f t="shared" si="0"/>
        <v>846.66666666666663</v>
      </c>
      <c r="F19" s="29">
        <f t="shared" si="1"/>
        <v>1050</v>
      </c>
      <c r="G19" s="31">
        <v>984.83333333333337</v>
      </c>
      <c r="H19" s="30">
        <v>1854</v>
      </c>
    </row>
    <row r="20" spans="1:8" x14ac:dyDescent="0.3">
      <c r="A20" s="28" t="s">
        <v>17</v>
      </c>
      <c r="B20" s="29">
        <v>115</v>
      </c>
      <c r="C20" s="29">
        <v>195</v>
      </c>
      <c r="D20" s="30">
        <v>235</v>
      </c>
      <c r="E20" s="29">
        <f t="shared" si="0"/>
        <v>181.66666666666666</v>
      </c>
      <c r="F20" s="29">
        <f t="shared" si="1"/>
        <v>235</v>
      </c>
      <c r="G20" s="31">
        <v>0</v>
      </c>
      <c r="H20" s="30">
        <v>0</v>
      </c>
    </row>
    <row r="21" spans="1:8" x14ac:dyDescent="0.3">
      <c r="A21" s="28" t="s">
        <v>17</v>
      </c>
      <c r="B21" s="29">
        <v>175</v>
      </c>
      <c r="C21" s="29">
        <v>315</v>
      </c>
      <c r="D21" s="30">
        <v>365</v>
      </c>
      <c r="E21" s="29">
        <f t="shared" si="0"/>
        <v>285</v>
      </c>
      <c r="F21" s="29">
        <f t="shared" si="1"/>
        <v>365</v>
      </c>
      <c r="G21" s="31">
        <v>0</v>
      </c>
      <c r="H21" s="30">
        <v>0</v>
      </c>
    </row>
    <row r="22" spans="1:8" x14ac:dyDescent="0.3">
      <c r="A22" s="28" t="s">
        <v>17</v>
      </c>
      <c r="B22" s="29">
        <v>120</v>
      </c>
      <c r="C22" s="29">
        <v>135</v>
      </c>
      <c r="D22" s="30">
        <v>140</v>
      </c>
      <c r="E22" s="29">
        <f t="shared" si="0"/>
        <v>131.66666666666666</v>
      </c>
      <c r="F22" s="29">
        <f t="shared" si="1"/>
        <v>140</v>
      </c>
      <c r="G22" s="31">
        <v>114.08333333333333</v>
      </c>
      <c r="H22" s="30">
        <v>163</v>
      </c>
    </row>
    <row r="23" spans="1:8" x14ac:dyDescent="0.3">
      <c r="A23" s="28" t="s">
        <v>17</v>
      </c>
      <c r="B23" s="29">
        <v>200</v>
      </c>
      <c r="C23" s="29">
        <v>280</v>
      </c>
      <c r="D23" s="30">
        <v>235</v>
      </c>
      <c r="E23" s="29">
        <f t="shared" si="0"/>
        <v>238.33333333333334</v>
      </c>
      <c r="F23" s="29">
        <f t="shared" si="1"/>
        <v>280</v>
      </c>
      <c r="G23" s="31">
        <v>229.58333333333334</v>
      </c>
      <c r="H23" s="30">
        <v>427</v>
      </c>
    </row>
    <row r="24" spans="1:8" x14ac:dyDescent="0.3">
      <c r="A24" s="28" t="s">
        <v>13</v>
      </c>
      <c r="B24" s="29">
        <v>530</v>
      </c>
      <c r="C24" s="29">
        <v>530</v>
      </c>
      <c r="D24" s="30">
        <v>530</v>
      </c>
      <c r="E24" s="29">
        <f t="shared" si="0"/>
        <v>530</v>
      </c>
      <c r="F24" s="29">
        <f t="shared" si="1"/>
        <v>530</v>
      </c>
      <c r="G24" s="31">
        <v>148.16666666666666</v>
      </c>
      <c r="H24" s="30">
        <v>773</v>
      </c>
    </row>
    <row r="25" spans="1:8" x14ac:dyDescent="0.3">
      <c r="A25" s="28" t="s">
        <v>13</v>
      </c>
      <c r="B25" s="29">
        <v>70</v>
      </c>
      <c r="C25" s="29">
        <v>70</v>
      </c>
      <c r="D25" s="30">
        <v>120</v>
      </c>
      <c r="E25" s="29">
        <f t="shared" si="0"/>
        <v>86.666666666666671</v>
      </c>
      <c r="F25" s="29">
        <f t="shared" si="1"/>
        <v>120</v>
      </c>
      <c r="G25" s="31">
        <v>28.916666666666668</v>
      </c>
      <c r="H25" s="30">
        <v>265</v>
      </c>
    </row>
    <row r="26" spans="1:8" x14ac:dyDescent="0.3">
      <c r="A26" s="28" t="s">
        <v>19</v>
      </c>
      <c r="B26" s="29">
        <v>0</v>
      </c>
      <c r="C26" s="29">
        <v>0</v>
      </c>
      <c r="D26" s="30">
        <v>0</v>
      </c>
      <c r="E26" s="29">
        <f t="shared" si="0"/>
        <v>0</v>
      </c>
      <c r="F26" s="29">
        <f t="shared" si="1"/>
        <v>0</v>
      </c>
      <c r="G26" s="31">
        <v>0</v>
      </c>
      <c r="H26" s="30">
        <v>0</v>
      </c>
    </row>
    <row r="27" spans="1:8" x14ac:dyDescent="0.3">
      <c r="A27" s="28" t="s">
        <v>19</v>
      </c>
      <c r="B27" s="29">
        <v>45</v>
      </c>
      <c r="C27" s="29">
        <v>45</v>
      </c>
      <c r="D27" s="30">
        <v>45</v>
      </c>
      <c r="E27" s="29">
        <f t="shared" si="0"/>
        <v>45</v>
      </c>
      <c r="F27" s="29">
        <f t="shared" si="1"/>
        <v>45</v>
      </c>
      <c r="G27" s="31">
        <v>0</v>
      </c>
      <c r="H27" s="30">
        <v>0</v>
      </c>
    </row>
    <row r="28" spans="1:8" x14ac:dyDescent="0.3">
      <c r="A28" s="28" t="s">
        <v>19</v>
      </c>
      <c r="B28" s="29">
        <v>340</v>
      </c>
      <c r="C28" s="29">
        <v>440</v>
      </c>
      <c r="D28" s="30">
        <v>490</v>
      </c>
      <c r="E28" s="29">
        <f t="shared" si="0"/>
        <v>423.33333333333331</v>
      </c>
      <c r="F28" s="29">
        <f t="shared" si="1"/>
        <v>490</v>
      </c>
      <c r="G28" s="31">
        <v>0</v>
      </c>
      <c r="H28" s="30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E8"/>
  <sheetViews>
    <sheetView tabSelected="1" workbookViewId="0">
      <selection activeCell="F15" sqref="F15"/>
    </sheetView>
  </sheetViews>
  <sheetFormatPr defaultRowHeight="14.4" x14ac:dyDescent="0.3"/>
  <cols>
    <col min="1" max="1" width="21.5546875" bestFit="1" customWidth="1"/>
  </cols>
  <sheetData>
    <row r="1" spans="1:5" x14ac:dyDescent="0.3">
      <c r="A1" s="26" t="s">
        <v>21</v>
      </c>
      <c r="B1" s="27" t="s">
        <v>29</v>
      </c>
      <c r="C1" s="27" t="s">
        <v>30</v>
      </c>
      <c r="D1" s="27" t="s">
        <v>33</v>
      </c>
      <c r="E1" s="27" t="s">
        <v>31</v>
      </c>
    </row>
    <row r="2" spans="1:5" x14ac:dyDescent="0.3">
      <c r="A2" s="28" t="s">
        <v>19</v>
      </c>
      <c r="B2" s="29">
        <v>1469</v>
      </c>
      <c r="C2" s="29">
        <v>664</v>
      </c>
      <c r="D2" s="29">
        <v>986</v>
      </c>
      <c r="E2" s="29">
        <f>SUM(B2:D2)</f>
        <v>3119</v>
      </c>
    </row>
    <row r="3" spans="1:5" x14ac:dyDescent="0.3">
      <c r="A3" s="32" t="s">
        <v>11</v>
      </c>
      <c r="B3" s="29">
        <v>8917</v>
      </c>
      <c r="C3" s="29">
        <f>94+578+347+5325+334</f>
        <v>6678</v>
      </c>
      <c r="D3" s="29">
        <f>211+197+2851+261</f>
        <v>3520</v>
      </c>
      <c r="E3" s="29">
        <f t="shared" ref="E3:E7" si="0">SUM(B3:D3)</f>
        <v>19115</v>
      </c>
    </row>
    <row r="4" spans="1:5" x14ac:dyDescent="0.3">
      <c r="A4" s="32" t="s">
        <v>18</v>
      </c>
      <c r="B4" s="29">
        <v>970</v>
      </c>
      <c r="C4" s="29">
        <f>9+109</f>
        <v>118</v>
      </c>
      <c r="D4" s="29">
        <f>1+15+55</f>
        <v>71</v>
      </c>
      <c r="E4" s="29">
        <f t="shared" si="0"/>
        <v>1159</v>
      </c>
    </row>
    <row r="5" spans="1:5" x14ac:dyDescent="0.3">
      <c r="A5" s="32" t="s">
        <v>16</v>
      </c>
      <c r="B5" s="29">
        <v>3118</v>
      </c>
      <c r="C5" s="29">
        <f>1187+1749+101+3+45+2</f>
        <v>3087</v>
      </c>
      <c r="D5" s="29">
        <f>671+495+51+4+15</f>
        <v>1236</v>
      </c>
      <c r="E5" s="29">
        <f t="shared" si="0"/>
        <v>7441</v>
      </c>
    </row>
    <row r="6" spans="1:5" x14ac:dyDescent="0.3">
      <c r="A6" s="28" t="s">
        <v>15</v>
      </c>
      <c r="B6" s="29">
        <v>628</v>
      </c>
      <c r="C6" s="29">
        <f>322+45+73+159+318</f>
        <v>917</v>
      </c>
      <c r="D6" s="29">
        <f>1+147+153+41+55+127</f>
        <v>524</v>
      </c>
      <c r="E6" s="29">
        <f t="shared" si="0"/>
        <v>2069</v>
      </c>
    </row>
    <row r="7" spans="1:5" x14ac:dyDescent="0.3">
      <c r="A7" s="28" t="s">
        <v>17</v>
      </c>
      <c r="B7" s="29">
        <v>661</v>
      </c>
      <c r="C7" s="29">
        <v>993</v>
      </c>
      <c r="D7" s="29">
        <v>220</v>
      </c>
      <c r="E7" s="29">
        <f t="shared" si="0"/>
        <v>1874</v>
      </c>
    </row>
    <row r="8" spans="1:5" x14ac:dyDescent="0.3">
      <c r="A8" s="28" t="s">
        <v>13</v>
      </c>
      <c r="B8" s="29">
        <v>1020</v>
      </c>
      <c r="C8" s="29">
        <v>85</v>
      </c>
      <c r="D8" s="29">
        <v>10</v>
      </c>
      <c r="E8" s="29">
        <f>SUM(B8:D8)</f>
        <v>1115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2026-03-18T14:36:52Z</dcterms:modified>
</cp:coreProperties>
</file>