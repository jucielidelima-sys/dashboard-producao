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C36CF029-80C8-405C-81C9-7EB070A7B23B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LANC.!$A$1:$K$766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3" l="1"/>
  <c r="F6" i="3"/>
  <c r="F4" i="3"/>
  <c r="F3" i="3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3" i="3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<sst xmlns="http://schemas.openxmlformats.org/spreadsheetml/2006/main" count="1590" uniqueCount="36">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</sst>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766" totalsRowShown="0" headerRowDxfId="13" dataDxfId="12" tableBorderDxfId="11">
  <autoFilter ref="A1:K76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738" activePane="bottomLeft" state="frozen"/>
      <selection pane="bottomLeft" activeCell="H764" sqref="H764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5</v>
      </c>
      <c r="H747" s="14">
        <v>5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13.2</v>
      </c>
      <c r="K747" s="15">
        <f>IFERROR(IF(T_PROD[[#This Row],[PRODUÇÃO]]&gt;0,(T_PROD[[#This Row],[PRODUÇÃO]]/T_PROD[[#This Row],[EFETIVO]]),""),"")</f>
        <v>16.2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32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9.1428571428571423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136</v>
      </c>
      <c r="F759" s="13">
        <v>139</v>
      </c>
      <c r="G759" s="12">
        <v>4</v>
      </c>
      <c r="H759" s="14">
        <v>4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34.75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144</v>
      </c>
      <c r="F760" s="13">
        <v>132</v>
      </c>
      <c r="G760" s="12">
        <v>9</v>
      </c>
      <c r="H760" s="14">
        <v>9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14.666666666666666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333</v>
      </c>
      <c r="F763" s="13">
        <v>303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3.7</v>
      </c>
      <c r="K763" s="15">
        <f>IFERROR(IF(T_PROD[[#This Row],[PRODUÇÃO]]&gt;0,(T_PROD[[#This Row],[PRODUÇÃO]]/T_PROD[[#This Row],[EFETIVO]]),""),"")</f>
        <v>3.3666666666666667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520</v>
      </c>
      <c r="F764" s="13">
        <v>540</v>
      </c>
      <c r="G764" s="12">
        <v>26</v>
      </c>
      <c r="H764" s="14">
        <v>26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20.76923076923077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597</v>
      </c>
      <c r="F766" s="13">
        <v>620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7.4625000000000004</v>
      </c>
      <c r="K766" s="15">
        <f>IFERROR(IF(T_PROD[[#This Row],[PRODUÇÃO]]&gt;0,(T_PROD[[#This Row],[PRODUÇÃO]]/T_PROD[[#This Row],[EFETIVO]]),""),"")</f>
        <v>8.1578947368421044</v>
      </c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tabSelected="1" workbookViewId="0">
      <selection activeCell="G18" sqref="G18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316</v>
      </c>
      <c r="G2" s="24">
        <f>SUM(B2:F2)</f>
        <v>5635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f>61+49+374+62+2829+162</f>
        <v>3537</v>
      </c>
      <c r="G3" s="24">
        <f t="shared" ref="G3:G8" si="0">SUM(B3:F3)</f>
        <v>37539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>4+22</f>
        <v>26</v>
      </c>
      <c r="G4" s="24">
        <f t="shared" si="0"/>
        <v>1821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136+173+31+1+8+67+1</f>
        <v>417</v>
      </c>
      <c r="G5" s="24">
        <f t="shared" si="0"/>
        <v>12863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f>54+53+11+20</f>
        <v>138</v>
      </c>
      <c r="G6" s="24">
        <f t="shared" si="0"/>
        <v>3420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351</v>
      </c>
      <c r="G7" s="24">
        <f t="shared" si="0"/>
        <v>5006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514</v>
      </c>
      <c r="G8" s="24">
        <f t="shared" si="0"/>
        <v>1658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2026-05-13T15:15:17Z</dcterms:modified>
</cp:coreProperties>
</file>