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A2A3763-35A1-4F08-883C-8B98AB22BEA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LANC.!$A$1:$K$1216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09" i="1" l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<sst xmlns="http://schemas.openxmlformats.org/spreadsheetml/2006/main" count="2495" uniqueCount="41">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</sst>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16" totalsRowShown="0" headerRowDxfId="13" dataDxfId="12" tableBorderDxfId="11">
  <autoFilter ref="A1:K121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88"/>
  <sheetViews>
    <sheetView showGridLines="0" tabSelected="1" zoomScale="70" zoomScaleNormal="70" zoomScaleSheetLayoutView="70" workbookViewId="0">
      <pane ySplit="1" topLeftCell="A1192" activePane="bottomLeft" state="frozen"/>
      <selection pane="bottomLeft" activeCell="G1220" sqref="G122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28">
        <v>46223</v>
      </c>
      <c r="B1199" s="29" t="str">
        <f>UPPER(TEXT(A1199,"MMMM"))</f>
        <v>JULHO</v>
      </c>
      <c r="C1199" s="12" t="s">
        <v>15</v>
      </c>
      <c r="D1199" s="12" t="s">
        <v>12</v>
      </c>
      <c r="E1199" s="30"/>
      <c r="F1199" s="30"/>
      <c r="G1199" s="29"/>
      <c r="H1199" s="31"/>
      <c r="I1199" s="29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28">
        <v>46223</v>
      </c>
      <c r="B1200" s="29" t="str">
        <f t="shared" ref="B1200:B1207" si="132">UPPER(TEXT(A1200,"MMMM"))</f>
        <v>JULHO</v>
      </c>
      <c r="C1200" s="12" t="s">
        <v>16</v>
      </c>
      <c r="D1200" s="12" t="s">
        <v>12</v>
      </c>
      <c r="E1200" s="30"/>
      <c r="F1200" s="30"/>
      <c r="G1200" s="29"/>
      <c r="H1200" s="31"/>
      <c r="I1200" s="29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28">
        <v>46223</v>
      </c>
      <c r="B1201" s="29" t="str">
        <f t="shared" si="132"/>
        <v>JULHO</v>
      </c>
      <c r="C1201" s="12" t="s">
        <v>17</v>
      </c>
      <c r="D1201" s="12" t="s">
        <v>12</v>
      </c>
      <c r="E1201" s="30"/>
      <c r="F1201" s="30"/>
      <c r="G1201" s="29"/>
      <c r="H1201" s="31"/>
      <c r="I1201" s="29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28">
        <v>46223</v>
      </c>
      <c r="B1202" s="29" t="str">
        <f t="shared" si="132"/>
        <v>JULHO</v>
      </c>
      <c r="C1202" s="12" t="s">
        <v>18</v>
      </c>
      <c r="D1202" s="12" t="s">
        <v>12</v>
      </c>
      <c r="E1202" s="30"/>
      <c r="F1202" s="30"/>
      <c r="G1202" s="29"/>
      <c r="H1202" s="31"/>
      <c r="I1202" s="29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28">
        <v>46223</v>
      </c>
      <c r="B1203" s="29" t="str">
        <f t="shared" si="132"/>
        <v>JULHO</v>
      </c>
      <c r="C1203" s="12" t="s">
        <v>19</v>
      </c>
      <c r="D1203" s="12" t="s">
        <v>12</v>
      </c>
      <c r="E1203" s="30"/>
      <c r="F1203" s="30"/>
      <c r="G1203" s="29"/>
      <c r="H1203" s="31"/>
      <c r="I1203" s="29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28">
        <v>46223</v>
      </c>
      <c r="B1204" s="29" t="str">
        <f t="shared" si="132"/>
        <v>JULHO</v>
      </c>
      <c r="C1204" s="12" t="s">
        <v>20</v>
      </c>
      <c r="D1204" s="12" t="s">
        <v>12</v>
      </c>
      <c r="E1204" s="30"/>
      <c r="F1204" s="30"/>
      <c r="G1204" s="29"/>
      <c r="H1204" s="31"/>
      <c r="I1204" s="29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28">
        <v>46223</v>
      </c>
      <c r="B1205" s="29" t="str">
        <f t="shared" si="132"/>
        <v>JULHO</v>
      </c>
      <c r="C1205" s="12" t="s">
        <v>11</v>
      </c>
      <c r="D1205" s="12" t="s">
        <v>12</v>
      </c>
      <c r="E1205" s="30">
        <v>620</v>
      </c>
      <c r="F1205" s="30">
        <v>659</v>
      </c>
      <c r="G1205" s="29">
        <v>31</v>
      </c>
      <c r="H1205" s="31">
        <v>31</v>
      </c>
      <c r="I1205" s="29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28">
        <v>46223</v>
      </c>
      <c r="B1206" s="29" t="str">
        <f t="shared" si="132"/>
        <v>JULHO</v>
      </c>
      <c r="C1206" s="12" t="s">
        <v>32</v>
      </c>
      <c r="D1206" s="12" t="s">
        <v>12</v>
      </c>
      <c r="E1206" s="30">
        <v>66</v>
      </c>
      <c r="F1206" s="30">
        <v>71</v>
      </c>
      <c r="G1206" s="29">
        <v>6</v>
      </c>
      <c r="H1206" s="31">
        <v>6</v>
      </c>
      <c r="I1206" s="29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28">
        <v>46223</v>
      </c>
      <c r="B1207" s="29" t="str">
        <f t="shared" si="132"/>
        <v>JULHO</v>
      </c>
      <c r="C1207" s="12" t="s">
        <v>14</v>
      </c>
      <c r="D1207" s="12" t="s">
        <v>12</v>
      </c>
      <c r="E1207" s="30">
        <v>686</v>
      </c>
      <c r="F1207" s="30">
        <v>730</v>
      </c>
      <c r="G1207" s="29">
        <v>90</v>
      </c>
      <c r="H1207" s="31">
        <v>90</v>
      </c>
      <c r="I1207" s="29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28">
        <v>46224</v>
      </c>
      <c r="B1208" s="29" t="str">
        <f>UPPER(TEXT(A1208,"MMMM"))</f>
        <v>JULHO</v>
      </c>
      <c r="C1208" s="12" t="s">
        <v>15</v>
      </c>
      <c r="D1208" s="12" t="s">
        <v>12</v>
      </c>
      <c r="E1208" s="30"/>
      <c r="F1208" s="30"/>
      <c r="G1208" s="29"/>
      <c r="H1208" s="31"/>
      <c r="I1208" s="29">
        <f>IFERROR(IF(T_PROD[[#This Row],[PREVISTO]]-T_PROD[[#This Row],[EFETIVO]]&lt; 0,0,T_PROD[[#This Row],[PREVISTO]]-T_PROD[[#This Row],[EFETIVO]] ),"")</f>
        <v>0</v>
      </c>
      <c r="J1208" s="15" t="str">
        <f>IFERROR(IF(T_PROD[[#This Row],[META]]&gt;0,(T_PROD[[#This Row],[META]]/T_PROD[[#This Row],[PREVISTO]]),""),"")</f>
        <v/>
      </c>
      <c r="K1208" s="15" t="str">
        <f>IFERROR(IF(T_PROD[[#This Row],[PRODUÇÃO]]&gt;0,(T_PROD[[#This Row],[PRODUÇÃO]]/T_PROD[[#This Row],[EFETIVO]]),""),"")</f>
        <v/>
      </c>
    </row>
    <row r="1209" spans="1:11" x14ac:dyDescent="0.3">
      <c r="A1209" s="28">
        <v>46224</v>
      </c>
      <c r="B1209" s="29" t="str">
        <f t="shared" ref="B1209:B1216" si="133">UPPER(TEXT(A1209,"MMMM"))</f>
        <v>JULHO</v>
      </c>
      <c r="C1209" s="12" t="s">
        <v>16</v>
      </c>
      <c r="D1209" s="12" t="s">
        <v>12</v>
      </c>
      <c r="E1209" s="30"/>
      <c r="F1209" s="30"/>
      <c r="G1209" s="29"/>
      <c r="H1209" s="31"/>
      <c r="I1209" s="29">
        <f>IFERROR(IF(T_PROD[[#This Row],[PREVISTO]]-T_PROD[[#This Row],[EFETIVO]]&lt; 0,0,T_PROD[[#This Row],[PREVISTO]]-T_PROD[[#This Row],[EFETIVO]] ),"")</f>
        <v>0</v>
      </c>
      <c r="J1209" s="15" t="str">
        <f>IFERROR(IF(T_PROD[[#This Row],[META]]&gt;0,(T_PROD[[#This Row],[META]]/T_PROD[[#This Row],[PREVISTO]]),""),"")</f>
        <v/>
      </c>
      <c r="K1209" s="15" t="str">
        <f>IFERROR(IF(T_PROD[[#This Row],[PRODUÇÃO]]&gt;0,(T_PROD[[#This Row],[PRODUÇÃO]]/T_PROD[[#This Row],[EFETIVO]]),""),"")</f>
        <v/>
      </c>
    </row>
    <row r="1210" spans="1:11" x14ac:dyDescent="0.3">
      <c r="A1210" s="28">
        <v>46224</v>
      </c>
      <c r="B1210" s="29" t="str">
        <f t="shared" si="133"/>
        <v>JULHO</v>
      </c>
      <c r="C1210" s="12" t="s">
        <v>17</v>
      </c>
      <c r="D1210" s="12" t="s">
        <v>12</v>
      </c>
      <c r="E1210" s="30"/>
      <c r="F1210" s="30"/>
      <c r="G1210" s="29"/>
      <c r="H1210" s="31"/>
      <c r="I1210" s="29">
        <f>IFERROR(IF(T_PROD[[#This Row],[PREVISTO]]-T_PROD[[#This Row],[EFETIVO]]&lt; 0,0,T_PROD[[#This Row],[PREVISTO]]-T_PROD[[#This Row],[EFETIVO]] ),"")</f>
        <v>0</v>
      </c>
      <c r="J1210" s="15" t="str">
        <f>IFERROR(IF(T_PROD[[#This Row],[META]]&gt;0,(T_PROD[[#This Row],[META]]/T_PROD[[#This Row],[PREVISTO]]),""),"")</f>
        <v/>
      </c>
      <c r="K1210" s="15" t="str">
        <f>IFERROR(IF(T_PROD[[#This Row],[PRODUÇÃO]]&gt;0,(T_PROD[[#This Row],[PRODUÇÃO]]/T_PROD[[#This Row],[EFETIVO]]),""),"")</f>
        <v/>
      </c>
    </row>
    <row r="1211" spans="1:11" x14ac:dyDescent="0.3">
      <c r="A1211" s="28">
        <v>46224</v>
      </c>
      <c r="B1211" s="29" t="str">
        <f t="shared" si="133"/>
        <v>JULHO</v>
      </c>
      <c r="C1211" s="12" t="s">
        <v>18</v>
      </c>
      <c r="D1211" s="12" t="s">
        <v>12</v>
      </c>
      <c r="E1211" s="30"/>
      <c r="F1211" s="30"/>
      <c r="G1211" s="29"/>
      <c r="H1211" s="31"/>
      <c r="I1211" s="29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28">
        <v>46224</v>
      </c>
      <c r="B1212" s="29" t="str">
        <f t="shared" si="133"/>
        <v>JULHO</v>
      </c>
      <c r="C1212" s="12" t="s">
        <v>19</v>
      </c>
      <c r="D1212" s="12" t="s">
        <v>12</v>
      </c>
      <c r="E1212" s="30"/>
      <c r="F1212" s="30"/>
      <c r="G1212" s="29"/>
      <c r="H1212" s="31"/>
      <c r="I1212" s="29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28">
        <v>46224</v>
      </c>
      <c r="B1213" s="29" t="str">
        <f t="shared" si="133"/>
        <v>JULHO</v>
      </c>
      <c r="C1213" s="12" t="s">
        <v>20</v>
      </c>
      <c r="D1213" s="12" t="s">
        <v>12</v>
      </c>
      <c r="E1213" s="30"/>
      <c r="F1213" s="30"/>
      <c r="G1213" s="29"/>
      <c r="H1213" s="31"/>
      <c r="I1213" s="29">
        <f>IFERROR(IF(T_PROD[[#This Row],[PREVISTO]]-T_PROD[[#This Row],[EFETIVO]]&lt; 0,0,T_PROD[[#This Row],[PREVISTO]]-T_PROD[[#This Row],[EFETIVO]] ),"")</f>
        <v>0</v>
      </c>
      <c r="J1213" s="15" t="str">
        <f>IFERROR(IF(T_PROD[[#This Row],[META]]&gt;0,(T_PROD[[#This Row],[META]]/T_PROD[[#This Row],[PREVISTO]]),""),"")</f>
        <v/>
      </c>
      <c r="K1213" s="15" t="str">
        <f>IFERROR(IF(T_PROD[[#This Row],[PRODUÇÃO]]&gt;0,(T_PROD[[#This Row],[PRODUÇÃO]]/T_PROD[[#This Row],[EFETIVO]]),""),"")</f>
        <v/>
      </c>
    </row>
    <row r="1214" spans="1:11" x14ac:dyDescent="0.3">
      <c r="A1214" s="28">
        <v>46224</v>
      </c>
      <c r="B1214" s="29" t="str">
        <f t="shared" si="133"/>
        <v>JULHO</v>
      </c>
      <c r="C1214" s="12" t="s">
        <v>11</v>
      </c>
      <c r="D1214" s="12" t="s">
        <v>12</v>
      </c>
      <c r="E1214" s="30">
        <v>600</v>
      </c>
      <c r="F1214" s="30">
        <v>600</v>
      </c>
      <c r="G1214" s="29">
        <v>30</v>
      </c>
      <c r="H1214" s="31">
        <v>30</v>
      </c>
      <c r="I1214" s="29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28">
        <v>46224</v>
      </c>
      <c r="B1215" s="29" t="str">
        <f t="shared" si="133"/>
        <v>JULHO</v>
      </c>
      <c r="C1215" s="12" t="s">
        <v>32</v>
      </c>
      <c r="D1215" s="12" t="s">
        <v>12</v>
      </c>
      <c r="E1215" s="30">
        <v>66</v>
      </c>
      <c r="F1215" s="30">
        <v>66</v>
      </c>
      <c r="G1215" s="29">
        <v>6</v>
      </c>
      <c r="H1215" s="31">
        <v>6</v>
      </c>
      <c r="I1215" s="29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28">
        <v>46224</v>
      </c>
      <c r="B1216" s="29" t="str">
        <f t="shared" si="133"/>
        <v>JULHO</v>
      </c>
      <c r="C1216" s="12" t="s">
        <v>14</v>
      </c>
      <c r="D1216" s="12" t="s">
        <v>12</v>
      </c>
      <c r="E1216" s="30">
        <v>666</v>
      </c>
      <c r="F1216" s="30">
        <v>666</v>
      </c>
      <c r="G1216" s="29">
        <v>90</v>
      </c>
      <c r="H1216" s="31">
        <v>87</v>
      </c>
      <c r="I1216" s="29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2026-07-22T11:23:04Z</dcterms:modified>
</cp:coreProperties>
</file>