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9A24FA13-DFF7-41F9-83DB-081830DC2E01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LANC.!$A$1:$K$811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04" i="1" l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F5" i="3"/>
  <c r="F6" i="3"/>
  <c r="F4" i="3"/>
  <c r="F3" i="3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<sst xmlns="http://schemas.openxmlformats.org/spreadsheetml/2006/main" count="1680" uniqueCount="36">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</sst>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11" totalsRowShown="0" headerRowDxfId="13" dataDxfId="12" tableBorderDxfId="11">
  <autoFilter ref="A1:K81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28"/>
  <sheetViews>
    <sheetView showGridLines="0" tabSelected="1" zoomScale="70" zoomScaleNormal="70" zoomScaleSheetLayoutView="70" workbookViewId="0">
      <pane ySplit="1" topLeftCell="A789" activePane="bottomLeft" state="frozen"/>
      <selection pane="bottomLeft" activeCell="O800" sqref="O800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5</v>
      </c>
      <c r="H747" s="14">
        <v>5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13.2</v>
      </c>
      <c r="K747" s="15">
        <f>IFERROR(IF(T_PROD[[#This Row],[PRODUÇÃO]]&gt;0,(T_PROD[[#This Row],[PRODUÇÃO]]/T_PROD[[#This Row],[EFETIVO]]),""),"")</f>
        <v>16.2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28">
        <v>46160</v>
      </c>
      <c r="B803" s="29" t="str">
        <f>UPPER(TEXT(A803,"MMMM"))</f>
        <v>MAIO</v>
      </c>
      <c r="C803" s="12" t="s">
        <v>15</v>
      </c>
      <c r="D803" s="12" t="s">
        <v>12</v>
      </c>
      <c r="E803" s="30">
        <v>60</v>
      </c>
      <c r="F803" s="30">
        <v>80</v>
      </c>
      <c r="G803" s="29">
        <v>4</v>
      </c>
      <c r="H803" s="31">
        <v>4</v>
      </c>
      <c r="I803" s="29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28">
        <v>46160</v>
      </c>
      <c r="B804" s="29" t="str">
        <f t="shared" ref="B804:B811" si="88">UPPER(TEXT(A804,"MMMM"))</f>
        <v>MAIO</v>
      </c>
      <c r="C804" s="12" t="s">
        <v>16</v>
      </c>
      <c r="D804" s="12" t="s">
        <v>12</v>
      </c>
      <c r="E804" s="30">
        <v>187</v>
      </c>
      <c r="F804" s="30">
        <v>170</v>
      </c>
      <c r="G804" s="29">
        <v>5.5</v>
      </c>
      <c r="H804" s="31">
        <v>5.5</v>
      </c>
      <c r="I804" s="29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28">
        <v>46160</v>
      </c>
      <c r="B805" s="29" t="str">
        <f t="shared" si="88"/>
        <v>MAIO</v>
      </c>
      <c r="C805" s="12" t="s">
        <v>17</v>
      </c>
      <c r="D805" s="12" t="s">
        <v>12</v>
      </c>
      <c r="E805" s="30">
        <v>160</v>
      </c>
      <c r="F805" s="30">
        <v>160</v>
      </c>
      <c r="G805" s="29">
        <v>10</v>
      </c>
      <c r="H805" s="31">
        <v>10</v>
      </c>
      <c r="I805" s="29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28">
        <v>46160</v>
      </c>
      <c r="B806" s="29" t="str">
        <f t="shared" si="88"/>
        <v>MAIO</v>
      </c>
      <c r="C806" s="12" t="s">
        <v>18</v>
      </c>
      <c r="D806" s="12" t="s">
        <v>12</v>
      </c>
      <c r="E806" s="30"/>
      <c r="F806" s="30"/>
      <c r="G806" s="29"/>
      <c r="H806" s="31"/>
      <c r="I806" s="29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28">
        <v>46160</v>
      </c>
      <c r="B807" s="29" t="str">
        <f t="shared" si="88"/>
        <v>MAIO</v>
      </c>
      <c r="C807" s="12" t="s">
        <v>19</v>
      </c>
      <c r="D807" s="12" t="s">
        <v>12</v>
      </c>
      <c r="E807" s="30"/>
      <c r="F807" s="30"/>
      <c r="G807" s="29"/>
      <c r="H807" s="31"/>
      <c r="I807" s="29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28">
        <v>46160</v>
      </c>
      <c r="B808" s="29" t="str">
        <f t="shared" si="88"/>
        <v>MAIO</v>
      </c>
      <c r="C808" s="12" t="s">
        <v>20</v>
      </c>
      <c r="D808" s="12" t="s">
        <v>12</v>
      </c>
      <c r="E808" s="30">
        <v>407</v>
      </c>
      <c r="F808" s="30">
        <v>410</v>
      </c>
      <c r="G808" s="29">
        <v>90</v>
      </c>
      <c r="H808" s="31">
        <v>90</v>
      </c>
      <c r="I808" s="29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28">
        <v>46160</v>
      </c>
      <c r="B809" s="29" t="str">
        <f t="shared" si="88"/>
        <v>MAIO</v>
      </c>
      <c r="C809" s="12" t="s">
        <v>11</v>
      </c>
      <c r="D809" s="12" t="s">
        <v>12</v>
      </c>
      <c r="E809" s="30">
        <v>620</v>
      </c>
      <c r="F809" s="30">
        <v>650</v>
      </c>
      <c r="G809" s="29">
        <v>31</v>
      </c>
      <c r="H809" s="31">
        <v>31</v>
      </c>
      <c r="I809" s="29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28">
        <v>46160</v>
      </c>
      <c r="B810" s="29" t="str">
        <f t="shared" si="88"/>
        <v>MAIO</v>
      </c>
      <c r="C810" s="12" t="s">
        <v>32</v>
      </c>
      <c r="D810" s="12" t="s">
        <v>12</v>
      </c>
      <c r="E810" s="30">
        <v>88</v>
      </c>
      <c r="F810" s="30">
        <v>92</v>
      </c>
      <c r="G810" s="29">
        <v>8</v>
      </c>
      <c r="H810" s="31">
        <v>8</v>
      </c>
      <c r="I810" s="29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28">
        <v>46160</v>
      </c>
      <c r="B811" s="29" t="str">
        <f t="shared" si="88"/>
        <v>MAIO</v>
      </c>
      <c r="C811" s="12" t="s">
        <v>14</v>
      </c>
      <c r="D811" s="12" t="s">
        <v>12</v>
      </c>
      <c r="E811" s="30">
        <v>708</v>
      </c>
      <c r="F811" s="30">
        <v>742</v>
      </c>
      <c r="G811" s="29">
        <v>90</v>
      </c>
      <c r="H811" s="31">
        <v>90</v>
      </c>
      <c r="I811" s="29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316</v>
      </c>
      <c r="G2" s="24">
        <f>SUM(B2:F2)</f>
        <v>5635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61+49+374+62+2829+162</f>
        <v>3537</v>
      </c>
      <c r="G3" s="24">
        <f t="shared" ref="G3:G8" si="0">SUM(B3:F3)</f>
        <v>37539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4+22</f>
        <v>26</v>
      </c>
      <c r="G4" s="24">
        <f t="shared" si="0"/>
        <v>1821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136+173+31+1+8+67+1</f>
        <v>417</v>
      </c>
      <c r="G5" s="24">
        <f t="shared" si="0"/>
        <v>12863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54+53+11+20</f>
        <v>138</v>
      </c>
      <c r="G6" s="24">
        <f t="shared" si="0"/>
        <v>3420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351</v>
      </c>
      <c r="G7" s="24">
        <f t="shared" si="0"/>
        <v>5006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514</v>
      </c>
      <c r="G8" s="24">
        <f t="shared" si="0"/>
        <v>1658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2026-05-19T12:25:05Z</dcterms:modified>
</cp:coreProperties>
</file>