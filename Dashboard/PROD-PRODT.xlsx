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BC0B30B7-1B2D-4FD8-9870-C822F38FE208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LANC.!$A$1:$K$307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1" i="1" l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C6" i="3"/>
  <c r="C5" i="3"/>
  <c r="C4" i="3"/>
  <c r="C3" i="3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D3" i="3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<sst xmlns="http://schemas.openxmlformats.org/spreadsheetml/2006/main" count="669" uniqueCount="32">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</sst>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07" totalsRowShown="0" headerRowDxfId="13" dataDxfId="12" tableBorderDxfId="11">
  <autoFilter ref="A1:K30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32" activePane="bottomLeft" state="frozen"/>
      <selection pane="bottomLeft" activeCell="Q292" sqref="Q292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33">
        <v>46071</v>
      </c>
      <c r="B290" s="34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35">
        <v>0</v>
      </c>
      <c r="G290" s="12">
        <v>4</v>
      </c>
      <c r="H290" s="36">
        <v>0</v>
      </c>
      <c r="I290" s="34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33">
        <v>46071</v>
      </c>
      <c r="B291" s="34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35">
        <v>131</v>
      </c>
      <c r="G291" s="12">
        <v>6</v>
      </c>
      <c r="H291" s="36">
        <v>6</v>
      </c>
      <c r="I291" s="34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33">
        <v>46071</v>
      </c>
      <c r="B292" s="34" t="str">
        <f t="shared" si="31"/>
        <v>FEVEREIRO</v>
      </c>
      <c r="C292" s="12" t="s">
        <v>17</v>
      </c>
      <c r="D292" s="12" t="s">
        <v>12</v>
      </c>
      <c r="E292" s="13">
        <v>128</v>
      </c>
      <c r="F292" s="35">
        <v>61</v>
      </c>
      <c r="G292" s="12">
        <v>8</v>
      </c>
      <c r="H292" s="36">
        <v>8</v>
      </c>
      <c r="I292" s="34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33">
        <v>46071</v>
      </c>
      <c r="B293" s="34" t="str">
        <f t="shared" si="31"/>
        <v>FEVEREIRO</v>
      </c>
      <c r="C293" s="12" t="s">
        <v>18</v>
      </c>
      <c r="D293" s="12" t="s">
        <v>12</v>
      </c>
      <c r="E293" s="13">
        <v>100</v>
      </c>
      <c r="F293" s="35">
        <v>0</v>
      </c>
      <c r="G293" s="12">
        <v>4</v>
      </c>
      <c r="H293" s="36">
        <v>0</v>
      </c>
      <c r="I293" s="34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33">
        <v>46071</v>
      </c>
      <c r="B294" s="34" t="str">
        <f t="shared" si="31"/>
        <v>FEVEREIRO</v>
      </c>
      <c r="C294" s="12" t="s">
        <v>19</v>
      </c>
      <c r="D294" s="12" t="s">
        <v>12</v>
      </c>
      <c r="E294" s="13">
        <v>100</v>
      </c>
      <c r="F294" s="35">
        <v>60</v>
      </c>
      <c r="G294" s="12">
        <v>11</v>
      </c>
      <c r="H294" s="36">
        <v>10</v>
      </c>
      <c r="I294" s="34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33">
        <v>46071</v>
      </c>
      <c r="B295" s="34" t="str">
        <f t="shared" si="31"/>
        <v>FEVEREIRO</v>
      </c>
      <c r="C295" s="12" t="s">
        <v>20</v>
      </c>
      <c r="D295" s="12" t="s">
        <v>12</v>
      </c>
      <c r="E295" s="13">
        <v>486</v>
      </c>
      <c r="F295" s="35">
        <v>252</v>
      </c>
      <c r="G295" s="12">
        <v>92</v>
      </c>
      <c r="H295" s="36">
        <v>88</v>
      </c>
      <c r="I295" s="34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33">
        <v>46071</v>
      </c>
      <c r="B296" s="34" t="str">
        <f t="shared" si="31"/>
        <v>FEVEREIRO</v>
      </c>
      <c r="C296" s="12" t="s">
        <v>11</v>
      </c>
      <c r="D296" s="12" t="s">
        <v>12</v>
      </c>
      <c r="E296" s="13">
        <v>600</v>
      </c>
      <c r="F296" s="35">
        <v>534</v>
      </c>
      <c r="G296" s="12">
        <v>33</v>
      </c>
      <c r="H296" s="36">
        <v>30</v>
      </c>
      <c r="I296" s="34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33">
        <v>46071</v>
      </c>
      <c r="B297" s="34" t="str">
        <f t="shared" si="31"/>
        <v>FEVEREIRO</v>
      </c>
      <c r="C297" s="12" t="s">
        <v>13</v>
      </c>
      <c r="D297" s="12" t="s">
        <v>12</v>
      </c>
      <c r="E297" s="13">
        <v>0</v>
      </c>
      <c r="F297" s="35">
        <v>0</v>
      </c>
      <c r="G297" s="12">
        <v>0</v>
      </c>
      <c r="H297" s="36">
        <v>0</v>
      </c>
      <c r="I297" s="34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33">
        <v>46071</v>
      </c>
      <c r="B298" s="34" t="str">
        <f t="shared" si="31"/>
        <v>FEVEREIRO</v>
      </c>
      <c r="C298" s="12" t="s">
        <v>14</v>
      </c>
      <c r="D298" s="12" t="s">
        <v>12</v>
      </c>
      <c r="E298" s="13">
        <v>600</v>
      </c>
      <c r="F298" s="35">
        <v>534</v>
      </c>
      <c r="G298" s="34">
        <v>89</v>
      </c>
      <c r="H298" s="36">
        <v>80</v>
      </c>
      <c r="I298" s="34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33">
        <v>46072</v>
      </c>
      <c r="B299" s="34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35">
        <v>0</v>
      </c>
      <c r="G299" s="12">
        <v>4</v>
      </c>
      <c r="H299" s="36">
        <v>0</v>
      </c>
      <c r="I299" s="34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33">
        <v>46072</v>
      </c>
      <c r="B300" s="34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35">
        <v>140</v>
      </c>
      <c r="G300" s="12">
        <v>6</v>
      </c>
      <c r="H300" s="36">
        <v>8</v>
      </c>
      <c r="I300" s="34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33">
        <v>46072</v>
      </c>
      <c r="B301" s="34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35">
        <v>53</v>
      </c>
      <c r="G301" s="12">
        <v>8</v>
      </c>
      <c r="H301" s="36">
        <v>8</v>
      </c>
      <c r="I301" s="34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33">
        <v>46072</v>
      </c>
      <c r="B302" s="34" t="str">
        <f t="shared" si="32"/>
        <v>FEVEREIRO</v>
      </c>
      <c r="C302" s="12" t="s">
        <v>18</v>
      </c>
      <c r="D302" s="12" t="s">
        <v>12</v>
      </c>
      <c r="E302" s="13">
        <v>100</v>
      </c>
      <c r="F302" s="35">
        <v>0</v>
      </c>
      <c r="G302" s="12">
        <v>4</v>
      </c>
      <c r="H302" s="36">
        <v>0</v>
      </c>
      <c r="I302" s="34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33">
        <v>46072</v>
      </c>
      <c r="B303" s="34" t="str">
        <f t="shared" si="32"/>
        <v>FEVEREIRO</v>
      </c>
      <c r="C303" s="12" t="s">
        <v>19</v>
      </c>
      <c r="D303" s="12" t="s">
        <v>12</v>
      </c>
      <c r="E303" s="13">
        <v>100</v>
      </c>
      <c r="F303" s="35">
        <v>63</v>
      </c>
      <c r="G303" s="12">
        <v>11</v>
      </c>
      <c r="H303" s="36">
        <v>13</v>
      </c>
      <c r="I303" s="34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33">
        <v>46072</v>
      </c>
      <c r="B304" s="34" t="str">
        <f t="shared" si="32"/>
        <v>FEVEREIRO</v>
      </c>
      <c r="C304" s="12" t="s">
        <v>20</v>
      </c>
      <c r="D304" s="12" t="s">
        <v>12</v>
      </c>
      <c r="E304" s="13">
        <v>486</v>
      </c>
      <c r="F304" s="35">
        <v>256</v>
      </c>
      <c r="G304" s="12">
        <v>92</v>
      </c>
      <c r="H304" s="36">
        <v>85</v>
      </c>
      <c r="I304" s="34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33">
        <v>46072</v>
      </c>
      <c r="B305" s="34" t="str">
        <f t="shared" si="32"/>
        <v>FEVEREIRO</v>
      </c>
      <c r="C305" s="12" t="s">
        <v>11</v>
      </c>
      <c r="D305" s="12" t="s">
        <v>12</v>
      </c>
      <c r="E305" s="13">
        <v>600</v>
      </c>
      <c r="F305" s="35">
        <v>346</v>
      </c>
      <c r="G305" s="12">
        <v>33</v>
      </c>
      <c r="H305" s="36">
        <v>25</v>
      </c>
      <c r="I305" s="34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33">
        <v>46072</v>
      </c>
      <c r="B306" s="34" t="str">
        <f t="shared" si="32"/>
        <v>FEVEREIRO</v>
      </c>
      <c r="C306" s="12" t="s">
        <v>13</v>
      </c>
      <c r="D306" s="12" t="s">
        <v>12</v>
      </c>
      <c r="E306" s="13">
        <v>0</v>
      </c>
      <c r="F306" s="35">
        <v>0</v>
      </c>
      <c r="G306" s="12">
        <v>0</v>
      </c>
      <c r="H306" s="36">
        <v>0</v>
      </c>
      <c r="I306" s="34">
        <f>IFERROR(IF(T_PROD[[#This Row],[PREVISTO]]-T_PROD[[#This Row],[EFETIVO]]&lt; 0,0,T_PROD[[#This Row],[PREVISTO]]-T_PROD[[#This Row],[EFETIVO]] ),"")</f>
        <v>0</v>
      </c>
      <c r="J306" s="15" t="str">
        <f>IFERROR(IF(T_PROD[[#This Row],[META]]&gt;0,(T_PROD[[#This Row],[META]]/T_PROD[[#This Row],[PREVISTO]]),""),"")</f>
        <v/>
      </c>
      <c r="K306" s="15" t="str">
        <f>IFERROR(IF(T_PROD[[#This Row],[PRODUÇÃO]]&gt;0,(T_PROD[[#This Row],[PRODUÇÃO]]/T_PROD[[#This Row],[EFETIVO]]),""),"")</f>
        <v/>
      </c>
    </row>
    <row r="307" spans="1:11" s="6" customFormat="1" x14ac:dyDescent="0.3">
      <c r="A307" s="33">
        <v>46072</v>
      </c>
      <c r="B307" s="34" t="str">
        <f t="shared" si="32"/>
        <v>FEVEREIRO</v>
      </c>
      <c r="C307" s="12" t="s">
        <v>14</v>
      </c>
      <c r="D307" s="12" t="s">
        <v>12</v>
      </c>
      <c r="E307" s="13">
        <v>600</v>
      </c>
      <c r="F307" s="35">
        <v>346</v>
      </c>
      <c r="G307" s="34">
        <v>89</v>
      </c>
      <c r="H307" s="36">
        <v>80</v>
      </c>
      <c r="I307" s="34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6"/>
      <c r="B308" s="17"/>
      <c r="C308" s="17"/>
      <c r="D308" s="17"/>
      <c r="E308" s="18"/>
      <c r="F308" s="18"/>
      <c r="G308" s="17"/>
      <c r="H308" s="19"/>
      <c r="I308" s="17"/>
      <c r="J308" s="20"/>
      <c r="K308" s="20"/>
    </row>
    <row r="309" spans="1:11" s="6" customFormat="1" x14ac:dyDescent="0.3">
      <c r="A309" s="16"/>
      <c r="B309" s="17"/>
      <c r="C309" s="17"/>
      <c r="D309" s="17"/>
      <c r="E309" s="18"/>
      <c r="F309" s="18"/>
      <c r="G309" s="17"/>
      <c r="H309" s="19"/>
      <c r="I309" s="17"/>
      <c r="J309" s="20"/>
      <c r="K309" s="20"/>
    </row>
    <row r="310" spans="1:11" s="6" customFormat="1" x14ac:dyDescent="0.3">
      <c r="A310" s="16"/>
      <c r="B310" s="17"/>
      <c r="C310" s="17"/>
      <c r="D310" s="17"/>
      <c r="E310" s="18"/>
      <c r="F310" s="18"/>
      <c r="G310" s="17"/>
      <c r="H310" s="19"/>
      <c r="I310" s="17"/>
      <c r="J310" s="20"/>
      <c r="K310" s="20"/>
    </row>
    <row r="311" spans="1:11" s="6" customFormat="1" x14ac:dyDescent="0.3">
      <c r="A311" s="16"/>
      <c r="B311" s="17"/>
      <c r="C311" s="17"/>
      <c r="D311" s="17"/>
      <c r="E311" s="18"/>
      <c r="F311" s="18"/>
      <c r="G311" s="17"/>
      <c r="H311" s="19"/>
      <c r="I311" s="17"/>
      <c r="J311" s="20"/>
      <c r="K311" s="20"/>
    </row>
    <row r="312" spans="1:11" s="6" customFormat="1" x14ac:dyDescent="0.3">
      <c r="A312" s="16"/>
      <c r="B312" s="17"/>
      <c r="C312" s="17"/>
      <c r="D312" s="17"/>
      <c r="E312" s="18"/>
      <c r="F312" s="18"/>
      <c r="G312" s="17"/>
      <c r="H312" s="19"/>
      <c r="I312" s="17"/>
      <c r="J312" s="20"/>
      <c r="K312" s="20"/>
    </row>
    <row r="313" spans="1:11" s="6" customFormat="1" x14ac:dyDescent="0.3">
      <c r="A313" s="16"/>
      <c r="B313" s="17"/>
      <c r="C313" s="17"/>
      <c r="D313" s="17"/>
      <c r="E313" s="18"/>
      <c r="F313" s="18"/>
      <c r="G313" s="17"/>
      <c r="H313" s="19"/>
      <c r="I313" s="17"/>
      <c r="J313" s="20"/>
      <c r="K313" s="20"/>
    </row>
    <row r="314" spans="1:11" s="6" customFormat="1" x14ac:dyDescent="0.3">
      <c r="A314" s="16"/>
      <c r="B314" s="17"/>
      <c r="C314" s="17"/>
      <c r="D314" s="17"/>
      <c r="E314" s="18"/>
      <c r="F314" s="18"/>
      <c r="G314" s="17"/>
      <c r="H314" s="19"/>
      <c r="I314" s="17"/>
      <c r="J314" s="20"/>
      <c r="K314" s="20"/>
    </row>
    <row r="315" spans="1:11" s="6" customFormat="1" x14ac:dyDescent="0.3">
      <c r="A315" s="16"/>
      <c r="B315" s="17"/>
      <c r="C315" s="17"/>
      <c r="D315" s="17"/>
      <c r="E315" s="18"/>
      <c r="F315" s="18"/>
      <c r="G315" s="17"/>
      <c r="H315" s="19"/>
      <c r="I315" s="17"/>
      <c r="J315" s="20"/>
      <c r="K315" s="20"/>
    </row>
    <row r="316" spans="1:11" s="6" customFormat="1" x14ac:dyDescent="0.3">
      <c r="A316" s="16"/>
      <c r="B316" s="17"/>
      <c r="C316" s="17"/>
      <c r="D316" s="17"/>
      <c r="E316" s="18"/>
      <c r="F316" s="18"/>
      <c r="G316" s="17"/>
      <c r="H316" s="19"/>
      <c r="I316" s="17"/>
      <c r="J316" s="20"/>
      <c r="K316" s="20"/>
    </row>
    <row r="317" spans="1:11" s="6" customFormat="1" x14ac:dyDescent="0.3">
      <c r="A317" s="16"/>
      <c r="B317" s="17"/>
      <c r="C317" s="17"/>
      <c r="D317" s="17"/>
      <c r="E317" s="18"/>
      <c r="F317" s="18"/>
      <c r="G317" s="17"/>
      <c r="H317" s="19"/>
      <c r="I317" s="17"/>
      <c r="J317" s="20"/>
      <c r="K317" s="20"/>
    </row>
    <row r="318" spans="1:11" s="6" customFormat="1" x14ac:dyDescent="0.3">
      <c r="A318" s="16"/>
      <c r="B318" s="17"/>
      <c r="C318" s="17"/>
      <c r="D318" s="17"/>
      <c r="E318" s="18"/>
      <c r="F318" s="18"/>
      <c r="G318" s="17"/>
      <c r="H318" s="19"/>
      <c r="I318" s="17"/>
      <c r="J318" s="20"/>
      <c r="K318" s="20"/>
    </row>
    <row r="319" spans="1:11" s="6" customFormat="1" x14ac:dyDescent="0.3">
      <c r="A319" s="16"/>
      <c r="B319" s="17"/>
      <c r="C319" s="17"/>
      <c r="D319" s="17"/>
      <c r="E319" s="18"/>
      <c r="F319" s="18"/>
      <c r="G319" s="17"/>
      <c r="H319" s="19"/>
      <c r="I319" s="17"/>
      <c r="J319" s="20"/>
      <c r="K319" s="20"/>
    </row>
    <row r="320" spans="1:11" s="6" customFormat="1" x14ac:dyDescent="0.3">
      <c r="A320" s="16"/>
      <c r="B320" s="17"/>
      <c r="C320" s="17"/>
      <c r="D320" s="17"/>
      <c r="E320" s="18"/>
      <c r="F320" s="18"/>
      <c r="G320" s="17"/>
      <c r="H320" s="19"/>
      <c r="I320" s="17"/>
      <c r="J320" s="20"/>
      <c r="K320" s="20"/>
    </row>
    <row r="321" spans="1:11" s="6" customFormat="1" x14ac:dyDescent="0.3">
      <c r="A321" s="16"/>
      <c r="B321" s="17"/>
      <c r="C321" s="17"/>
      <c r="D321" s="17"/>
      <c r="E321" s="18"/>
      <c r="F321" s="18"/>
      <c r="G321" s="17"/>
      <c r="H321" s="19"/>
      <c r="I321" s="17"/>
      <c r="J321" s="20"/>
      <c r="K321" s="20"/>
    </row>
    <row r="322" spans="1:11" s="6" customFormat="1" x14ac:dyDescent="0.3">
      <c r="A322" s="16"/>
      <c r="B322" s="17"/>
      <c r="C322" s="17"/>
      <c r="D322" s="17"/>
      <c r="E322" s="18"/>
      <c r="F322" s="18"/>
      <c r="G322" s="17"/>
      <c r="H322" s="19"/>
      <c r="I322" s="17"/>
      <c r="J322" s="20"/>
      <c r="K322" s="20"/>
    </row>
    <row r="323" spans="1:11" s="6" customFormat="1" x14ac:dyDescent="0.3">
      <c r="A323" s="16"/>
      <c r="B323" s="17"/>
      <c r="C323" s="17"/>
      <c r="D323" s="17"/>
      <c r="E323" s="18"/>
      <c r="F323" s="18"/>
      <c r="G323" s="17"/>
      <c r="H323" s="19"/>
      <c r="I323" s="17"/>
      <c r="J323" s="20"/>
      <c r="K323" s="20"/>
    </row>
    <row r="324" spans="1:11" s="6" customFormat="1" x14ac:dyDescent="0.3">
      <c r="A324" s="16"/>
      <c r="B324" s="17"/>
      <c r="C324" s="17"/>
      <c r="D324" s="17"/>
      <c r="E324" s="18"/>
      <c r="F324" s="18"/>
      <c r="G324" s="17"/>
      <c r="H324" s="19"/>
      <c r="I324" s="17"/>
      <c r="J324" s="20"/>
      <c r="K324" s="20"/>
    </row>
    <row r="325" spans="1:11" s="6" customFormat="1" x14ac:dyDescent="0.3">
      <c r="A325" s="16"/>
      <c r="B325" s="17"/>
      <c r="C325" s="17"/>
      <c r="D325" s="17"/>
      <c r="E325" s="18"/>
      <c r="F325" s="18"/>
      <c r="G325" s="17"/>
      <c r="H325" s="19"/>
      <c r="I325" s="17"/>
      <c r="J325" s="20"/>
      <c r="K325" s="20"/>
    </row>
    <row r="326" spans="1:11" s="6" customFormat="1" x14ac:dyDescent="0.3">
      <c r="A326" s="16"/>
      <c r="B326" s="17"/>
      <c r="C326" s="17"/>
      <c r="D326" s="17"/>
      <c r="E326" s="18"/>
      <c r="F326" s="18"/>
      <c r="G326" s="17"/>
      <c r="H326" s="19"/>
      <c r="I326" s="17"/>
      <c r="J326" s="20"/>
      <c r="K326" s="20"/>
    </row>
    <row r="327" spans="1:11" s="6" customFormat="1" x14ac:dyDescent="0.3">
      <c r="A327" s="16"/>
      <c r="B327" s="17"/>
      <c r="C327" s="17"/>
      <c r="D327" s="17"/>
      <c r="E327" s="18"/>
      <c r="F327" s="18"/>
      <c r="G327" s="17"/>
      <c r="H327" s="19"/>
      <c r="I327" s="17"/>
      <c r="J327" s="20"/>
      <c r="K327" s="20"/>
    </row>
    <row r="328" spans="1:11" s="6" customFormat="1" x14ac:dyDescent="0.3">
      <c r="A328" s="16"/>
      <c r="B328" s="17"/>
      <c r="C328" s="17"/>
      <c r="D328" s="17"/>
      <c r="E328" s="18"/>
      <c r="F328" s="18"/>
      <c r="G328" s="17"/>
      <c r="H328" s="19"/>
      <c r="I328" s="17"/>
      <c r="J328" s="20"/>
      <c r="K328" s="20"/>
    </row>
    <row r="329" spans="1:11" s="6" customFormat="1" x14ac:dyDescent="0.3">
      <c r="A329" s="16"/>
      <c r="B329" s="17"/>
      <c r="C329" s="17"/>
      <c r="D329" s="17"/>
      <c r="E329" s="18"/>
      <c r="F329" s="18"/>
      <c r="G329" s="17"/>
      <c r="H329" s="19"/>
      <c r="I329" s="17"/>
      <c r="J329" s="20"/>
      <c r="K329" s="20"/>
    </row>
    <row r="330" spans="1:11" s="6" customFormat="1" x14ac:dyDescent="0.3">
      <c r="A330" s="16"/>
      <c r="B330" s="17"/>
      <c r="C330" s="17"/>
      <c r="D330" s="17"/>
      <c r="E330" s="18"/>
      <c r="F330" s="18"/>
      <c r="G330" s="17"/>
      <c r="H330" s="19"/>
      <c r="I330" s="17"/>
      <c r="J330" s="20"/>
      <c r="K330" s="20"/>
    </row>
    <row r="331" spans="1:11" s="6" customFormat="1" x14ac:dyDescent="0.3">
      <c r="A331" s="16"/>
      <c r="B331" s="17"/>
      <c r="C331" s="17"/>
      <c r="D331" s="17"/>
      <c r="E331" s="18"/>
      <c r="F331" s="18"/>
      <c r="G331" s="17"/>
      <c r="H331" s="19"/>
      <c r="I331" s="17"/>
      <c r="J331" s="20"/>
      <c r="K331" s="20"/>
    </row>
    <row r="332" spans="1:11" s="6" customFormat="1" x14ac:dyDescent="0.3">
      <c r="A332" s="16"/>
      <c r="B332" s="17"/>
      <c r="C332" s="17"/>
      <c r="D332" s="17"/>
      <c r="E332" s="18"/>
      <c r="F332" s="18"/>
      <c r="G332" s="17"/>
      <c r="H332" s="19"/>
      <c r="I332" s="17"/>
      <c r="J332" s="20"/>
      <c r="K332" s="20"/>
    </row>
    <row r="333" spans="1:11" s="6" customFormat="1" x14ac:dyDescent="0.3">
      <c r="A333" s="16"/>
      <c r="B333" s="17"/>
      <c r="C333" s="17"/>
      <c r="D333" s="17"/>
      <c r="E333" s="18"/>
      <c r="F333" s="18"/>
      <c r="G333" s="17"/>
      <c r="H333" s="19"/>
      <c r="I333" s="17"/>
      <c r="J333" s="20"/>
      <c r="K333" s="20"/>
    </row>
    <row r="334" spans="1:11" s="6" customFormat="1" x14ac:dyDescent="0.3">
      <c r="A334" s="16"/>
      <c r="B334" s="17"/>
      <c r="C334" s="17"/>
      <c r="D334" s="17"/>
      <c r="E334" s="18"/>
      <c r="F334" s="18"/>
      <c r="G334" s="17"/>
      <c r="H334" s="19"/>
      <c r="I334" s="17"/>
      <c r="J334" s="20"/>
      <c r="K334" s="20"/>
    </row>
    <row r="335" spans="1:11" s="6" customFormat="1" x14ac:dyDescent="0.3">
      <c r="A335" s="16"/>
      <c r="B335" s="17"/>
      <c r="C335" s="17"/>
      <c r="D335" s="17"/>
      <c r="E335" s="18"/>
      <c r="F335" s="18"/>
      <c r="G335" s="17"/>
      <c r="H335" s="19"/>
      <c r="I335" s="17"/>
      <c r="J335" s="20"/>
      <c r="K335" s="20"/>
    </row>
    <row r="336" spans="1:11" s="6" customFormat="1" x14ac:dyDescent="0.3">
      <c r="A336" s="16"/>
      <c r="B336" s="17"/>
      <c r="C336" s="17"/>
      <c r="D336" s="17"/>
      <c r="E336" s="18"/>
      <c r="F336" s="18"/>
      <c r="G336" s="17"/>
      <c r="H336" s="19"/>
      <c r="I336" s="17"/>
      <c r="J336" s="20"/>
      <c r="K336" s="20"/>
    </row>
    <row r="337" spans="1:11" s="6" customFormat="1" x14ac:dyDescent="0.3">
      <c r="A337" s="16"/>
      <c r="B337" s="17"/>
      <c r="C337" s="17"/>
      <c r="D337" s="17"/>
      <c r="E337" s="18"/>
      <c r="F337" s="18"/>
      <c r="G337" s="17"/>
      <c r="H337" s="19"/>
      <c r="I337" s="17"/>
      <c r="J337" s="20"/>
      <c r="K337" s="20"/>
    </row>
    <row r="338" spans="1:11" s="6" customFormat="1" x14ac:dyDescent="0.3">
      <c r="A338" s="16"/>
      <c r="B338" s="17"/>
      <c r="C338" s="17"/>
      <c r="D338" s="17"/>
      <c r="E338" s="18"/>
      <c r="F338" s="18"/>
      <c r="G338" s="17"/>
      <c r="H338" s="19"/>
      <c r="I338" s="17"/>
      <c r="J338" s="20"/>
      <c r="K338" s="20"/>
    </row>
    <row r="339" spans="1:11" s="6" customFormat="1" x14ac:dyDescent="0.3">
      <c r="A339" s="16"/>
      <c r="B339" s="17"/>
      <c r="C339" s="17"/>
      <c r="D339" s="17"/>
      <c r="E339" s="18"/>
      <c r="F339" s="18"/>
      <c r="G339" s="17"/>
      <c r="H339" s="19"/>
      <c r="I339" s="17"/>
      <c r="J339" s="20"/>
      <c r="K339" s="20"/>
    </row>
    <row r="340" spans="1:11" s="6" customFormat="1" x14ac:dyDescent="0.3">
      <c r="A340" s="16"/>
      <c r="B340" s="17"/>
      <c r="C340" s="17"/>
      <c r="D340" s="17"/>
      <c r="E340" s="18"/>
      <c r="F340" s="18"/>
      <c r="G340" s="17"/>
      <c r="H340" s="19"/>
      <c r="I340" s="17"/>
      <c r="J340" s="20"/>
      <c r="K340" s="20"/>
    </row>
    <row r="341" spans="1:11" s="6" customFormat="1" x14ac:dyDescent="0.3">
      <c r="A341" s="16"/>
      <c r="B341" s="17"/>
      <c r="C341" s="17"/>
      <c r="D341" s="17"/>
      <c r="E341" s="18"/>
      <c r="F341" s="18"/>
      <c r="G341" s="17"/>
      <c r="H341" s="19"/>
      <c r="I341" s="17"/>
      <c r="J341" s="20"/>
      <c r="K341" s="20"/>
    </row>
    <row r="342" spans="1:11" s="6" customFormat="1" x14ac:dyDescent="0.3">
      <c r="A342" s="16"/>
      <c r="B342" s="17"/>
      <c r="C342" s="17"/>
      <c r="D342" s="17"/>
      <c r="E342" s="18"/>
      <c r="F342" s="18"/>
      <c r="G342" s="17"/>
      <c r="H342" s="19"/>
      <c r="I342" s="17"/>
      <c r="J342" s="20"/>
      <c r="K342" s="2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225</v>
      </c>
      <c r="D2" s="29">
        <f>SUM(B2:C2)</f>
        <v>1694</v>
      </c>
    </row>
    <row r="3" spans="1:4" x14ac:dyDescent="0.3">
      <c r="A3" s="32" t="s">
        <v>11</v>
      </c>
      <c r="B3" s="29">
        <v>8917</v>
      </c>
      <c r="C3" s="29">
        <f>224+59+2460+182</f>
        <v>2925</v>
      </c>
      <c r="D3" s="29">
        <f t="shared" ref="D3:D8" si="0">SUM(B3:C3)</f>
        <v>11842</v>
      </c>
    </row>
    <row r="4" spans="1:4" x14ac:dyDescent="0.3">
      <c r="A4" s="32" t="s">
        <v>18</v>
      </c>
      <c r="B4" s="29">
        <v>970</v>
      </c>
      <c r="C4" s="29">
        <f>3+85+70</f>
        <v>158</v>
      </c>
      <c r="D4" s="29">
        <f t="shared" si="0"/>
        <v>1128</v>
      </c>
    </row>
    <row r="5" spans="1:4" x14ac:dyDescent="0.3">
      <c r="A5" s="32" t="s">
        <v>16</v>
      </c>
      <c r="B5" s="29">
        <v>3118</v>
      </c>
      <c r="C5" s="29">
        <f>30+520+604+67+1+30</f>
        <v>1252</v>
      </c>
      <c r="D5" s="29">
        <f t="shared" si="0"/>
        <v>4370</v>
      </c>
    </row>
    <row r="6" spans="1:4" x14ac:dyDescent="0.3">
      <c r="A6" s="28" t="s">
        <v>15</v>
      </c>
      <c r="B6" s="29">
        <v>628</v>
      </c>
      <c r="C6" s="29">
        <f>10+28+93+156+2+96</f>
        <v>385</v>
      </c>
      <c r="D6" s="29">
        <f t="shared" si="0"/>
        <v>1013</v>
      </c>
    </row>
    <row r="7" spans="1:4" x14ac:dyDescent="0.3">
      <c r="A7" s="28" t="s">
        <v>17</v>
      </c>
      <c r="B7" s="29">
        <v>661</v>
      </c>
      <c r="C7" s="29">
        <v>159</v>
      </c>
      <c r="D7" s="29">
        <f t="shared" si="0"/>
        <v>820</v>
      </c>
    </row>
    <row r="8" spans="1:4" x14ac:dyDescent="0.3">
      <c r="A8" s="28" t="s">
        <v>13</v>
      </c>
      <c r="B8" s="29">
        <v>1020</v>
      </c>
      <c r="C8" s="29">
        <v>20</v>
      </c>
      <c r="D8" s="29">
        <f t="shared" si="0"/>
        <v>1040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2026-02-20T17:56:02Z</dcterms:modified>
</cp:coreProperties>
</file>