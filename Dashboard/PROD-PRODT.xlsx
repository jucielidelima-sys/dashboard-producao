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6C84FBC7-AAE9-479F-9B36-4D6E6F03BD44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LANC.!$A$1:$K$1792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785" i="1" l="1"/>
  <c r="B1786" i="1"/>
  <c r="B1787" i="1"/>
  <c r="B1788" i="1"/>
  <c r="B1789" i="1"/>
  <c r="B1790" i="1"/>
  <c r="B1791" i="1"/>
  <c r="B1792" i="1"/>
  <c r="I1785" i="1"/>
  <c r="I1786" i="1"/>
  <c r="I1787" i="1"/>
  <c r="I1788" i="1"/>
  <c r="I1789" i="1"/>
  <c r="I1790" i="1"/>
  <c r="I1791" i="1"/>
  <c r="I1792" i="1"/>
  <c r="J1785" i="1"/>
  <c r="J1786" i="1"/>
  <c r="J1787" i="1"/>
  <c r="J1788" i="1"/>
  <c r="J1789" i="1"/>
  <c r="J1790" i="1"/>
  <c r="J1791" i="1"/>
  <c r="J1792" i="1"/>
  <c r="K1785" i="1"/>
  <c r="K1786" i="1"/>
  <c r="K1787" i="1"/>
  <c r="K1788" i="1"/>
  <c r="K1789" i="1"/>
  <c r="K1790" i="1"/>
  <c r="K1791" i="1"/>
  <c r="K1792" i="1"/>
  <c r="B1784" i="1"/>
  <c r="I1784" i="1"/>
  <c r="J1784" i="1"/>
  <c r="K1784" i="1"/>
  <c r="B1776" i="1"/>
  <c r="B1777" i="1"/>
  <c r="B1778" i="1"/>
  <c r="B1779" i="1"/>
  <c r="B1780" i="1"/>
  <c r="B1781" i="1"/>
  <c r="B1782" i="1"/>
  <c r="B1783" i="1"/>
  <c r="I1776" i="1"/>
  <c r="I1777" i="1"/>
  <c r="I1778" i="1"/>
  <c r="I1779" i="1"/>
  <c r="I1780" i="1"/>
  <c r="I1781" i="1"/>
  <c r="I1782" i="1"/>
  <c r="I1783" i="1"/>
  <c r="J1776" i="1"/>
  <c r="J1777" i="1"/>
  <c r="J1778" i="1"/>
  <c r="J1779" i="1"/>
  <c r="J1780" i="1"/>
  <c r="J1781" i="1"/>
  <c r="J1782" i="1"/>
  <c r="J1783" i="1"/>
  <c r="K1776" i="1"/>
  <c r="K1777" i="1"/>
  <c r="K1778" i="1"/>
  <c r="K1779" i="1"/>
  <c r="K1780" i="1"/>
  <c r="K1781" i="1"/>
  <c r="K1782" i="1"/>
  <c r="K1783" i="1"/>
  <c r="B1775" i="1"/>
  <c r="I1775" i="1"/>
  <c r="J1775" i="1"/>
  <c r="K1775" i="1"/>
  <c r="B1767" i="1"/>
  <c r="B1768" i="1"/>
  <c r="B1769" i="1"/>
  <c r="B1770" i="1"/>
  <c r="B1771" i="1"/>
  <c r="B1772" i="1"/>
  <c r="B1773" i="1"/>
  <c r="B1774" i="1"/>
  <c r="I1767" i="1"/>
  <c r="I1768" i="1"/>
  <c r="I1769" i="1"/>
  <c r="I1770" i="1"/>
  <c r="I1771" i="1"/>
  <c r="I1772" i="1"/>
  <c r="I1773" i="1"/>
  <c r="I1774" i="1"/>
  <c r="J1767" i="1"/>
  <c r="J1768" i="1"/>
  <c r="J1769" i="1"/>
  <c r="J1770" i="1"/>
  <c r="J1771" i="1"/>
  <c r="J1772" i="1"/>
  <c r="J1773" i="1"/>
  <c r="J1774" i="1"/>
  <c r="K1767" i="1"/>
  <c r="K1768" i="1"/>
  <c r="K1769" i="1"/>
  <c r="K1770" i="1"/>
  <c r="K1771" i="1"/>
  <c r="K1772" i="1"/>
  <c r="K1773" i="1"/>
  <c r="K1774" i="1"/>
  <c r="B1766" i="1"/>
  <c r="I1766" i="1"/>
  <c r="J1766" i="1"/>
  <c r="K1766" i="1"/>
  <c r="B1758" i="1"/>
  <c r="B1759" i="1"/>
  <c r="B1760" i="1"/>
  <c r="B1761" i="1"/>
  <c r="B1762" i="1"/>
  <c r="B1763" i="1"/>
  <c r="B1764" i="1"/>
  <c r="B1765" i="1"/>
  <c r="I1758" i="1"/>
  <c r="I1759" i="1"/>
  <c r="I1760" i="1"/>
  <c r="I1761" i="1"/>
  <c r="I1762" i="1"/>
  <c r="I1763" i="1"/>
  <c r="I1764" i="1"/>
  <c r="I1765" i="1"/>
  <c r="J1758" i="1"/>
  <c r="J1759" i="1"/>
  <c r="J1760" i="1"/>
  <c r="J1761" i="1"/>
  <c r="J1762" i="1"/>
  <c r="J1763" i="1"/>
  <c r="J1764" i="1"/>
  <c r="J1765" i="1"/>
  <c r="K1758" i="1"/>
  <c r="K1759" i="1"/>
  <c r="K1760" i="1"/>
  <c r="K1761" i="1"/>
  <c r="K1762" i="1"/>
  <c r="K1763" i="1"/>
  <c r="K1764" i="1"/>
  <c r="K1765" i="1"/>
  <c r="B1757" i="1"/>
  <c r="I1757" i="1"/>
  <c r="J1757" i="1"/>
  <c r="K1757" i="1"/>
  <c r="B1749" i="1"/>
  <c r="B1750" i="1"/>
  <c r="B1751" i="1"/>
  <c r="B1752" i="1"/>
  <c r="B1753" i="1"/>
  <c r="B1754" i="1"/>
  <c r="B1755" i="1"/>
  <c r="B1756" i="1"/>
  <c r="I1749" i="1"/>
  <c r="I1750" i="1"/>
  <c r="I1751" i="1"/>
  <c r="I1752" i="1"/>
  <c r="I1753" i="1"/>
  <c r="I1754" i="1"/>
  <c r="I1755" i="1"/>
  <c r="I1756" i="1"/>
  <c r="J1749" i="1"/>
  <c r="J1750" i="1"/>
  <c r="J1751" i="1"/>
  <c r="J1752" i="1"/>
  <c r="J1753" i="1"/>
  <c r="J1754" i="1"/>
  <c r="J1755" i="1"/>
  <c r="J1756" i="1"/>
  <c r="K1749" i="1"/>
  <c r="K1750" i="1"/>
  <c r="K1751" i="1"/>
  <c r="K1752" i="1"/>
  <c r="K1753" i="1"/>
  <c r="K1754" i="1"/>
  <c r="K1755" i="1"/>
  <c r="K1756" i="1"/>
  <c r="B1748" i="1"/>
  <c r="I1748" i="1"/>
  <c r="J1748" i="1"/>
  <c r="K1748" i="1"/>
  <c r="B1740" i="1"/>
  <c r="B1741" i="1"/>
  <c r="B1742" i="1"/>
  <c r="B1743" i="1"/>
  <c r="B1744" i="1"/>
  <c r="B1745" i="1"/>
  <c r="B1746" i="1"/>
  <c r="B1747" i="1"/>
  <c r="I1740" i="1"/>
  <c r="I1741" i="1"/>
  <c r="I1742" i="1"/>
  <c r="I1743" i="1"/>
  <c r="I1744" i="1"/>
  <c r="I1745" i="1"/>
  <c r="I1746" i="1"/>
  <c r="I1747" i="1"/>
  <c r="J1740" i="1"/>
  <c r="J1741" i="1"/>
  <c r="J1742" i="1"/>
  <c r="J1743" i="1"/>
  <c r="J1744" i="1"/>
  <c r="J1745" i="1"/>
  <c r="J1746" i="1"/>
  <c r="J1747" i="1"/>
  <c r="K1740" i="1"/>
  <c r="K1741" i="1"/>
  <c r="K1742" i="1"/>
  <c r="K1743" i="1"/>
  <c r="K1744" i="1"/>
  <c r="K1745" i="1"/>
  <c r="K1746" i="1"/>
  <c r="K1747" i="1"/>
  <c r="B1739" i="1"/>
  <c r="I1739" i="1"/>
  <c r="J1739" i="1"/>
  <c r="K1739" i="1"/>
  <c r="B1731" i="1"/>
  <c r="B1732" i="1"/>
  <c r="B1733" i="1"/>
  <c r="B1734" i="1"/>
  <c r="B1735" i="1"/>
  <c r="B1736" i="1"/>
  <c r="B1737" i="1"/>
  <c r="B1738" i="1"/>
  <c r="I1731" i="1"/>
  <c r="I1732" i="1"/>
  <c r="I1733" i="1"/>
  <c r="I1734" i="1"/>
  <c r="I1735" i="1"/>
  <c r="I1736" i="1"/>
  <c r="I1737" i="1"/>
  <c r="I1738" i="1"/>
  <c r="J1731" i="1"/>
  <c r="J1732" i="1"/>
  <c r="J1733" i="1"/>
  <c r="J1734" i="1"/>
  <c r="J1735" i="1"/>
  <c r="J1736" i="1"/>
  <c r="J1737" i="1"/>
  <c r="J1738" i="1"/>
  <c r="K1731" i="1"/>
  <c r="K1732" i="1"/>
  <c r="K1733" i="1"/>
  <c r="K1734" i="1"/>
  <c r="K1735" i="1"/>
  <c r="K1736" i="1"/>
  <c r="K1737" i="1"/>
  <c r="K1738" i="1"/>
  <c r="B1730" i="1"/>
  <c r="I1730" i="1"/>
  <c r="J1730" i="1"/>
  <c r="K1730" i="1"/>
  <c r="B1722" i="1"/>
  <c r="B1723" i="1"/>
  <c r="B1724" i="1"/>
  <c r="B1725" i="1"/>
  <c r="B1726" i="1"/>
  <c r="B1727" i="1"/>
  <c r="B1728" i="1"/>
  <c r="B1729" i="1"/>
  <c r="I1722" i="1"/>
  <c r="I1723" i="1"/>
  <c r="I1724" i="1"/>
  <c r="I1725" i="1"/>
  <c r="I1726" i="1"/>
  <c r="I1727" i="1"/>
  <c r="I1728" i="1"/>
  <c r="I1729" i="1"/>
  <c r="J1722" i="1"/>
  <c r="J1723" i="1"/>
  <c r="J1724" i="1"/>
  <c r="J1725" i="1"/>
  <c r="J1726" i="1"/>
  <c r="J1727" i="1"/>
  <c r="J1728" i="1"/>
  <c r="J1729" i="1"/>
  <c r="K1722" i="1"/>
  <c r="K1723" i="1"/>
  <c r="K1724" i="1"/>
  <c r="K1725" i="1"/>
  <c r="K1726" i="1"/>
  <c r="K1727" i="1"/>
  <c r="K1728" i="1"/>
  <c r="K1729" i="1"/>
  <c r="B1721" i="1"/>
  <c r="I1721" i="1"/>
  <c r="J1721" i="1"/>
  <c r="K1721" i="1"/>
  <c r="B1713" i="1"/>
  <c r="B1714" i="1"/>
  <c r="B1715" i="1"/>
  <c r="B1716" i="1"/>
  <c r="B1717" i="1"/>
  <c r="B1718" i="1"/>
  <c r="B1719" i="1"/>
  <c r="B1720" i="1"/>
  <c r="I1713" i="1"/>
  <c r="I1714" i="1"/>
  <c r="I1715" i="1"/>
  <c r="I1716" i="1"/>
  <c r="I1717" i="1"/>
  <c r="I1718" i="1"/>
  <c r="I1719" i="1"/>
  <c r="I1720" i="1"/>
  <c r="J1713" i="1"/>
  <c r="J1714" i="1"/>
  <c r="J1715" i="1"/>
  <c r="J1716" i="1"/>
  <c r="J1717" i="1"/>
  <c r="J1718" i="1"/>
  <c r="J1719" i="1"/>
  <c r="J1720" i="1"/>
  <c r="K1713" i="1"/>
  <c r="K1714" i="1"/>
  <c r="K1715" i="1"/>
  <c r="K1716" i="1"/>
  <c r="K1717" i="1"/>
  <c r="K1718" i="1"/>
  <c r="K1719" i="1"/>
  <c r="K1720" i="1"/>
  <c r="B1712" i="1"/>
  <c r="I1712" i="1"/>
  <c r="J1712" i="1"/>
  <c r="K1712" i="1"/>
  <c r="B1704" i="1"/>
  <c r="B1705" i="1"/>
  <c r="B1706" i="1"/>
  <c r="B1707" i="1"/>
  <c r="B1708" i="1"/>
  <c r="B1709" i="1"/>
  <c r="B1710" i="1"/>
  <c r="B1711" i="1"/>
  <c r="I1704" i="1"/>
  <c r="I1705" i="1"/>
  <c r="I1706" i="1"/>
  <c r="I1707" i="1"/>
  <c r="I1708" i="1"/>
  <c r="I1709" i="1"/>
  <c r="I1710" i="1"/>
  <c r="I1711" i="1"/>
  <c r="J1704" i="1"/>
  <c r="J1705" i="1"/>
  <c r="J1706" i="1"/>
  <c r="J1707" i="1"/>
  <c r="J1708" i="1"/>
  <c r="J1709" i="1"/>
  <c r="J1710" i="1"/>
  <c r="J1711" i="1"/>
  <c r="K1704" i="1"/>
  <c r="K1705" i="1"/>
  <c r="K1706" i="1"/>
  <c r="K1707" i="1"/>
  <c r="K1708" i="1"/>
  <c r="K1709" i="1"/>
  <c r="K1710" i="1"/>
  <c r="K1711" i="1"/>
  <c r="B1703" i="1"/>
  <c r="I1703" i="1"/>
  <c r="J1703" i="1"/>
  <c r="K1703" i="1"/>
  <c r="B1695" i="1"/>
  <c r="B1696" i="1"/>
  <c r="B1697" i="1"/>
  <c r="B1698" i="1"/>
  <c r="B1699" i="1"/>
  <c r="B1700" i="1"/>
  <c r="B1701" i="1"/>
  <c r="B1702" i="1"/>
  <c r="I1695" i="1"/>
  <c r="I1696" i="1"/>
  <c r="I1697" i="1"/>
  <c r="I1698" i="1"/>
  <c r="I1699" i="1"/>
  <c r="I1700" i="1"/>
  <c r="I1701" i="1"/>
  <c r="I1702" i="1"/>
  <c r="J1695" i="1"/>
  <c r="J1696" i="1"/>
  <c r="J1697" i="1"/>
  <c r="J1698" i="1"/>
  <c r="J1699" i="1"/>
  <c r="J1700" i="1"/>
  <c r="J1701" i="1"/>
  <c r="J1702" i="1"/>
  <c r="K1695" i="1"/>
  <c r="K1696" i="1"/>
  <c r="K1697" i="1"/>
  <c r="K1698" i="1"/>
  <c r="K1699" i="1"/>
  <c r="K1700" i="1"/>
  <c r="K1701" i="1"/>
  <c r="K1702" i="1"/>
  <c r="B1694" i="1"/>
  <c r="I1694" i="1"/>
  <c r="J1694" i="1"/>
  <c r="K1694" i="1"/>
  <c r="B1686" i="1"/>
  <c r="B1687" i="1"/>
  <c r="B1688" i="1"/>
  <c r="B1689" i="1"/>
  <c r="B1690" i="1"/>
  <c r="B1691" i="1"/>
  <c r="B1692" i="1"/>
  <c r="B1693" i="1"/>
  <c r="I1686" i="1"/>
  <c r="I1687" i="1"/>
  <c r="I1688" i="1"/>
  <c r="I1689" i="1"/>
  <c r="I1690" i="1"/>
  <c r="I1691" i="1"/>
  <c r="I1692" i="1"/>
  <c r="I1693" i="1"/>
  <c r="J1686" i="1"/>
  <c r="J1687" i="1"/>
  <c r="J1688" i="1"/>
  <c r="J1689" i="1"/>
  <c r="J1690" i="1"/>
  <c r="J1691" i="1"/>
  <c r="J1692" i="1"/>
  <c r="J1693" i="1"/>
  <c r="K1686" i="1"/>
  <c r="K1687" i="1"/>
  <c r="K1688" i="1"/>
  <c r="K1689" i="1"/>
  <c r="K1690" i="1"/>
  <c r="K1691" i="1"/>
  <c r="K1692" i="1"/>
  <c r="K1693" i="1"/>
  <c r="B1685" i="1"/>
  <c r="I1685" i="1"/>
  <c r="J1685" i="1"/>
  <c r="K1685" i="1"/>
  <c r="B1677" i="1"/>
  <c r="B1678" i="1"/>
  <c r="B1679" i="1"/>
  <c r="B1680" i="1"/>
  <c r="B1681" i="1"/>
  <c r="B1682" i="1"/>
  <c r="B1683" i="1"/>
  <c r="B1684" i="1"/>
  <c r="I1677" i="1"/>
  <c r="I1678" i="1"/>
  <c r="I1679" i="1"/>
  <c r="I1680" i="1"/>
  <c r="I1681" i="1"/>
  <c r="I1682" i="1"/>
  <c r="I1683" i="1"/>
  <c r="I1684" i="1"/>
  <c r="J1677" i="1"/>
  <c r="J1678" i="1"/>
  <c r="J1679" i="1"/>
  <c r="J1680" i="1"/>
  <c r="J1681" i="1"/>
  <c r="J1682" i="1"/>
  <c r="J1683" i="1"/>
  <c r="J1684" i="1"/>
  <c r="K1677" i="1"/>
  <c r="K1678" i="1"/>
  <c r="K1679" i="1"/>
  <c r="K1680" i="1"/>
  <c r="K1681" i="1"/>
  <c r="K1682" i="1"/>
  <c r="K1683" i="1"/>
  <c r="K1684" i="1"/>
  <c r="B1676" i="1"/>
  <c r="I1676" i="1"/>
  <c r="J1676" i="1"/>
  <c r="K1676" i="1"/>
  <c r="B1668" i="1"/>
  <c r="B1669" i="1"/>
  <c r="B1670" i="1"/>
  <c r="B1671" i="1"/>
  <c r="B1672" i="1"/>
  <c r="B1673" i="1"/>
  <c r="B1674" i="1"/>
  <c r="B1675" i="1"/>
  <c r="I1668" i="1"/>
  <c r="I1669" i="1"/>
  <c r="I1670" i="1"/>
  <c r="I1671" i="1"/>
  <c r="I1672" i="1"/>
  <c r="I1673" i="1"/>
  <c r="I1674" i="1"/>
  <c r="I1675" i="1"/>
  <c r="J1668" i="1"/>
  <c r="J1669" i="1"/>
  <c r="J1670" i="1"/>
  <c r="J1671" i="1"/>
  <c r="J1672" i="1"/>
  <c r="J1673" i="1"/>
  <c r="J1674" i="1"/>
  <c r="J1675" i="1"/>
  <c r="K1668" i="1"/>
  <c r="K1669" i="1"/>
  <c r="K1670" i="1"/>
  <c r="K1671" i="1"/>
  <c r="K1672" i="1"/>
  <c r="K1673" i="1"/>
  <c r="K1674" i="1"/>
  <c r="K1675" i="1"/>
  <c r="B1667" i="1"/>
  <c r="I1667" i="1"/>
  <c r="J1667" i="1"/>
  <c r="K1667" i="1"/>
  <c r="B1659" i="1"/>
  <c r="B1660" i="1"/>
  <c r="B1661" i="1"/>
  <c r="B1662" i="1"/>
  <c r="B1663" i="1"/>
  <c r="B1664" i="1"/>
  <c r="B1665" i="1"/>
  <c r="B1666" i="1"/>
  <c r="I1659" i="1"/>
  <c r="I1660" i="1"/>
  <c r="I1661" i="1"/>
  <c r="I1662" i="1"/>
  <c r="I1663" i="1"/>
  <c r="I1664" i="1"/>
  <c r="I1665" i="1"/>
  <c r="I1666" i="1"/>
  <c r="J1659" i="1"/>
  <c r="J1660" i="1"/>
  <c r="J1661" i="1"/>
  <c r="J1662" i="1"/>
  <c r="J1663" i="1"/>
  <c r="J1664" i="1"/>
  <c r="J1665" i="1"/>
  <c r="J1666" i="1"/>
  <c r="K1659" i="1"/>
  <c r="K1660" i="1"/>
  <c r="K1661" i="1"/>
  <c r="K1662" i="1"/>
  <c r="K1663" i="1"/>
  <c r="K1664" i="1"/>
  <c r="K1665" i="1"/>
  <c r="K1666" i="1"/>
  <c r="B1658" i="1"/>
  <c r="I1658" i="1"/>
  <c r="J1658" i="1"/>
  <c r="K1658" i="1"/>
  <c r="B1650" i="1"/>
  <c r="B1651" i="1"/>
  <c r="B1652" i="1"/>
  <c r="B1653" i="1"/>
  <c r="B1654" i="1"/>
  <c r="B1655" i="1"/>
  <c r="B1656" i="1"/>
  <c r="B1657" i="1"/>
  <c r="I1650" i="1"/>
  <c r="I1651" i="1"/>
  <c r="I1652" i="1"/>
  <c r="I1653" i="1"/>
  <c r="I1654" i="1"/>
  <c r="I1655" i="1"/>
  <c r="I1656" i="1"/>
  <c r="I1657" i="1"/>
  <c r="J1650" i="1"/>
  <c r="J1651" i="1"/>
  <c r="J1652" i="1"/>
  <c r="J1653" i="1"/>
  <c r="J1654" i="1"/>
  <c r="J1655" i="1"/>
  <c r="J1656" i="1"/>
  <c r="J1657" i="1"/>
  <c r="K1650" i="1"/>
  <c r="K1651" i="1"/>
  <c r="K1652" i="1"/>
  <c r="K1653" i="1"/>
  <c r="K1654" i="1"/>
  <c r="K1655" i="1"/>
  <c r="K1656" i="1"/>
  <c r="K1657" i="1"/>
  <c r="B1649" i="1"/>
  <c r="I1649" i="1"/>
  <c r="J1649" i="1"/>
  <c r="K1649" i="1"/>
  <c r="B1641" i="1"/>
  <c r="B1642" i="1"/>
  <c r="B1643" i="1"/>
  <c r="B1644" i="1"/>
  <c r="B1645" i="1"/>
  <c r="B1646" i="1"/>
  <c r="B1647" i="1"/>
  <c r="B1648" i="1"/>
  <c r="I1641" i="1"/>
  <c r="I1642" i="1"/>
  <c r="I1643" i="1"/>
  <c r="I1644" i="1"/>
  <c r="I1645" i="1"/>
  <c r="I1646" i="1"/>
  <c r="I1647" i="1"/>
  <c r="I1648" i="1"/>
  <c r="J1641" i="1"/>
  <c r="J1642" i="1"/>
  <c r="J1643" i="1"/>
  <c r="J1644" i="1"/>
  <c r="J1645" i="1"/>
  <c r="J1646" i="1"/>
  <c r="J1647" i="1"/>
  <c r="J1648" i="1"/>
  <c r="K1641" i="1"/>
  <c r="K1642" i="1"/>
  <c r="K1643" i="1"/>
  <c r="K1644" i="1"/>
  <c r="K1645" i="1"/>
  <c r="K1646" i="1"/>
  <c r="K1647" i="1"/>
  <c r="K1648" i="1"/>
  <c r="B1640" i="1"/>
  <c r="I1640" i="1"/>
  <c r="J1640" i="1"/>
  <c r="K1640" i="1"/>
  <c r="B1632" i="1"/>
  <c r="B1633" i="1"/>
  <c r="B1634" i="1"/>
  <c r="B1635" i="1"/>
  <c r="B1636" i="1"/>
  <c r="B1637" i="1"/>
  <c r="B1638" i="1"/>
  <c r="B1639" i="1"/>
  <c r="I1632" i="1"/>
  <c r="I1633" i="1"/>
  <c r="I1634" i="1"/>
  <c r="I1635" i="1"/>
  <c r="I1636" i="1"/>
  <c r="I1637" i="1"/>
  <c r="I1638" i="1"/>
  <c r="I1639" i="1"/>
  <c r="J1632" i="1"/>
  <c r="J1633" i="1"/>
  <c r="J1634" i="1"/>
  <c r="J1635" i="1"/>
  <c r="J1636" i="1"/>
  <c r="J1637" i="1"/>
  <c r="J1638" i="1"/>
  <c r="J1639" i="1"/>
  <c r="K1632" i="1"/>
  <c r="K1633" i="1"/>
  <c r="K1634" i="1"/>
  <c r="K1635" i="1"/>
  <c r="K1636" i="1"/>
  <c r="K1637" i="1"/>
  <c r="K1638" i="1"/>
  <c r="K1639" i="1"/>
  <c r="B1631" i="1"/>
  <c r="I1631" i="1"/>
  <c r="J1631" i="1"/>
  <c r="K1631" i="1"/>
  <c r="B1623" i="1"/>
  <c r="B1624" i="1"/>
  <c r="B1625" i="1"/>
  <c r="B1626" i="1"/>
  <c r="B1627" i="1"/>
  <c r="B1628" i="1"/>
  <c r="B1629" i="1"/>
  <c r="B1630" i="1"/>
  <c r="I1623" i="1"/>
  <c r="I1624" i="1"/>
  <c r="I1625" i="1"/>
  <c r="I1626" i="1"/>
  <c r="I1627" i="1"/>
  <c r="I1628" i="1"/>
  <c r="I1629" i="1"/>
  <c r="I1630" i="1"/>
  <c r="J1623" i="1"/>
  <c r="J1624" i="1"/>
  <c r="J1625" i="1"/>
  <c r="J1626" i="1"/>
  <c r="J1627" i="1"/>
  <c r="J1628" i="1"/>
  <c r="J1629" i="1"/>
  <c r="J1630" i="1"/>
  <c r="K1623" i="1"/>
  <c r="K1624" i="1"/>
  <c r="K1625" i="1"/>
  <c r="K1626" i="1"/>
  <c r="K1627" i="1"/>
  <c r="K1628" i="1"/>
  <c r="K1629" i="1"/>
  <c r="K1630" i="1"/>
  <c r="B1622" i="1"/>
  <c r="I1622" i="1"/>
  <c r="J1622" i="1"/>
  <c r="K1622" i="1"/>
  <c r="B1614" i="1"/>
  <c r="B1615" i="1"/>
  <c r="B1616" i="1"/>
  <c r="B1617" i="1"/>
  <c r="B1618" i="1"/>
  <c r="B1619" i="1"/>
  <c r="B1620" i="1"/>
  <c r="B1621" i="1"/>
  <c r="I1614" i="1"/>
  <c r="I1615" i="1"/>
  <c r="I1616" i="1"/>
  <c r="I1617" i="1"/>
  <c r="I1618" i="1"/>
  <c r="I1619" i="1"/>
  <c r="I1620" i="1"/>
  <c r="I1621" i="1"/>
  <c r="J1614" i="1"/>
  <c r="J1615" i="1"/>
  <c r="J1616" i="1"/>
  <c r="J1617" i="1"/>
  <c r="J1618" i="1"/>
  <c r="J1619" i="1"/>
  <c r="J1620" i="1"/>
  <c r="J1621" i="1"/>
  <c r="K1614" i="1"/>
  <c r="K1615" i="1"/>
  <c r="K1616" i="1"/>
  <c r="K1617" i="1"/>
  <c r="K1618" i="1"/>
  <c r="K1619" i="1"/>
  <c r="K1620" i="1"/>
  <c r="K1621" i="1"/>
  <c r="B1613" i="1"/>
  <c r="I1613" i="1"/>
  <c r="J1613" i="1"/>
  <c r="K1613" i="1"/>
  <c r="B1605" i="1"/>
  <c r="B1606" i="1"/>
  <c r="B1607" i="1"/>
  <c r="B1608" i="1"/>
  <c r="B1609" i="1"/>
  <c r="B1610" i="1"/>
  <c r="B1611" i="1"/>
  <c r="B1612" i="1"/>
  <c r="I1605" i="1"/>
  <c r="I1606" i="1"/>
  <c r="I1607" i="1"/>
  <c r="I1608" i="1"/>
  <c r="I1609" i="1"/>
  <c r="I1610" i="1"/>
  <c r="I1611" i="1"/>
  <c r="I1612" i="1"/>
  <c r="J1605" i="1"/>
  <c r="J1606" i="1"/>
  <c r="J1607" i="1"/>
  <c r="J1608" i="1"/>
  <c r="J1609" i="1"/>
  <c r="J1610" i="1"/>
  <c r="J1611" i="1"/>
  <c r="J1612" i="1"/>
  <c r="K1605" i="1"/>
  <c r="K1606" i="1"/>
  <c r="K1607" i="1"/>
  <c r="K1608" i="1"/>
  <c r="K1609" i="1"/>
  <c r="K1610" i="1"/>
  <c r="K1611" i="1"/>
  <c r="K1612" i="1"/>
  <c r="B1604" i="1"/>
  <c r="I1604" i="1"/>
  <c r="J1604" i="1"/>
  <c r="K1604" i="1"/>
  <c r="B1596" i="1"/>
  <c r="B1597" i="1"/>
  <c r="B1598" i="1"/>
  <c r="B1599" i="1"/>
  <c r="B1600" i="1"/>
  <c r="B1601" i="1"/>
  <c r="B1602" i="1"/>
  <c r="B1603" i="1"/>
  <c r="I1596" i="1"/>
  <c r="I1597" i="1"/>
  <c r="I1598" i="1"/>
  <c r="I1599" i="1"/>
  <c r="I1600" i="1"/>
  <c r="I1601" i="1"/>
  <c r="I1602" i="1"/>
  <c r="I1603" i="1"/>
  <c r="J1596" i="1"/>
  <c r="J1597" i="1"/>
  <c r="J1598" i="1"/>
  <c r="J1599" i="1"/>
  <c r="J1600" i="1"/>
  <c r="J1601" i="1"/>
  <c r="J1602" i="1"/>
  <c r="J1603" i="1"/>
  <c r="K1596" i="1"/>
  <c r="K1597" i="1"/>
  <c r="K1598" i="1"/>
  <c r="K1599" i="1"/>
  <c r="K1600" i="1"/>
  <c r="K1601" i="1"/>
  <c r="K1602" i="1"/>
  <c r="K1603" i="1"/>
  <c r="B1595" i="1"/>
  <c r="I1595" i="1"/>
  <c r="J1595" i="1"/>
  <c r="K1595" i="1"/>
  <c r="B1587" i="1"/>
  <c r="B1588" i="1"/>
  <c r="B1589" i="1"/>
  <c r="B1590" i="1"/>
  <c r="B1591" i="1"/>
  <c r="B1592" i="1"/>
  <c r="B1593" i="1"/>
  <c r="B1594" i="1"/>
  <c r="I1587" i="1"/>
  <c r="I1588" i="1"/>
  <c r="I1589" i="1"/>
  <c r="I1590" i="1"/>
  <c r="I1591" i="1"/>
  <c r="I1592" i="1"/>
  <c r="I1593" i="1"/>
  <c r="I1594" i="1"/>
  <c r="J1587" i="1"/>
  <c r="J1588" i="1"/>
  <c r="J1589" i="1"/>
  <c r="J1590" i="1"/>
  <c r="J1591" i="1"/>
  <c r="J1592" i="1"/>
  <c r="J1593" i="1"/>
  <c r="J1594" i="1"/>
  <c r="K1587" i="1"/>
  <c r="K1588" i="1"/>
  <c r="K1589" i="1"/>
  <c r="K1590" i="1"/>
  <c r="K1591" i="1"/>
  <c r="K1592" i="1"/>
  <c r="K1593" i="1"/>
  <c r="K1594" i="1"/>
  <c r="B1586" i="1"/>
  <c r="I1586" i="1"/>
  <c r="J1586" i="1"/>
  <c r="K1586" i="1"/>
  <c r="B1578" i="1"/>
  <c r="B1579" i="1"/>
  <c r="B1580" i="1"/>
  <c r="B1581" i="1"/>
  <c r="B1582" i="1"/>
  <c r="B1583" i="1"/>
  <c r="B1584" i="1"/>
  <c r="B1585" i="1"/>
  <c r="I1578" i="1"/>
  <c r="I1579" i="1"/>
  <c r="I1580" i="1"/>
  <c r="I1581" i="1"/>
  <c r="I1582" i="1"/>
  <c r="I1583" i="1"/>
  <c r="I1584" i="1"/>
  <c r="I1585" i="1"/>
  <c r="J1578" i="1"/>
  <c r="J1579" i="1"/>
  <c r="J1580" i="1"/>
  <c r="J1581" i="1"/>
  <c r="J1582" i="1"/>
  <c r="J1583" i="1"/>
  <c r="J1584" i="1"/>
  <c r="J1585" i="1"/>
  <c r="K1578" i="1"/>
  <c r="K1579" i="1"/>
  <c r="K1580" i="1"/>
  <c r="K1581" i="1"/>
  <c r="K1582" i="1"/>
  <c r="K1583" i="1"/>
  <c r="K1584" i="1"/>
  <c r="K1585" i="1"/>
  <c r="B1577" i="1"/>
  <c r="I1577" i="1"/>
  <c r="J1577" i="1"/>
  <c r="K1577" i="1"/>
  <c r="B1569" i="1"/>
  <c r="B1570" i="1"/>
  <c r="B1571" i="1"/>
  <c r="B1572" i="1"/>
  <c r="B1573" i="1"/>
  <c r="B1574" i="1"/>
  <c r="B1575" i="1"/>
  <c r="B1576" i="1"/>
  <c r="I1569" i="1"/>
  <c r="I1570" i="1"/>
  <c r="I1571" i="1"/>
  <c r="I1572" i="1"/>
  <c r="I1573" i="1"/>
  <c r="I1574" i="1"/>
  <c r="I1575" i="1"/>
  <c r="I1576" i="1"/>
  <c r="J1569" i="1"/>
  <c r="J1570" i="1"/>
  <c r="J1571" i="1"/>
  <c r="J1572" i="1"/>
  <c r="J1573" i="1"/>
  <c r="J1574" i="1"/>
  <c r="J1575" i="1"/>
  <c r="J1576" i="1"/>
  <c r="K1569" i="1"/>
  <c r="K1570" i="1"/>
  <c r="K1571" i="1"/>
  <c r="K1572" i="1"/>
  <c r="K1573" i="1"/>
  <c r="K1574" i="1"/>
  <c r="K1575" i="1"/>
  <c r="K1576" i="1"/>
  <c r="B1568" i="1"/>
  <c r="I1568" i="1"/>
  <c r="J1568" i="1"/>
  <c r="K1568" i="1"/>
  <c r="I6" i="3"/>
  <c r="I5" i="3"/>
  <c r="J5" i="3" s="1"/>
  <c r="B1560" i="1"/>
  <c r="B1561" i="1"/>
  <c r="B1562" i="1"/>
  <c r="B1563" i="1"/>
  <c r="B1564" i="1"/>
  <c r="B1565" i="1"/>
  <c r="B1566" i="1"/>
  <c r="B1567" i="1"/>
  <c r="I1560" i="1"/>
  <c r="I1561" i="1"/>
  <c r="I1562" i="1"/>
  <c r="I1563" i="1"/>
  <c r="I1564" i="1"/>
  <c r="I1565" i="1"/>
  <c r="I1566" i="1"/>
  <c r="I1567" i="1"/>
  <c r="J1560" i="1"/>
  <c r="J1561" i="1"/>
  <c r="J1562" i="1"/>
  <c r="J1563" i="1"/>
  <c r="J1564" i="1"/>
  <c r="J1565" i="1"/>
  <c r="J1566" i="1"/>
  <c r="J1567" i="1"/>
  <c r="K1560" i="1"/>
  <c r="K1561" i="1"/>
  <c r="K1562" i="1"/>
  <c r="K1563" i="1"/>
  <c r="K1564" i="1"/>
  <c r="K1565" i="1"/>
  <c r="K1566" i="1"/>
  <c r="K1567" i="1"/>
  <c r="B1559" i="1"/>
  <c r="I1559" i="1"/>
  <c r="J1559" i="1"/>
  <c r="K1559" i="1"/>
  <c r="B1551" i="1"/>
  <c r="B1552" i="1"/>
  <c r="B1553" i="1"/>
  <c r="B1554" i="1"/>
  <c r="B1555" i="1"/>
  <c r="B1556" i="1"/>
  <c r="B1557" i="1"/>
  <c r="B1558" i="1"/>
  <c r="I1551" i="1"/>
  <c r="I1552" i="1"/>
  <c r="I1553" i="1"/>
  <c r="I1554" i="1"/>
  <c r="I1555" i="1"/>
  <c r="I1556" i="1"/>
  <c r="I1557" i="1"/>
  <c r="I1558" i="1"/>
  <c r="J1551" i="1"/>
  <c r="J1552" i="1"/>
  <c r="J1553" i="1"/>
  <c r="J1554" i="1"/>
  <c r="J1555" i="1"/>
  <c r="J1556" i="1"/>
  <c r="J1557" i="1"/>
  <c r="J1558" i="1"/>
  <c r="K1551" i="1"/>
  <c r="K1552" i="1"/>
  <c r="K1553" i="1"/>
  <c r="K1554" i="1"/>
  <c r="K1555" i="1"/>
  <c r="K1556" i="1"/>
  <c r="K1557" i="1"/>
  <c r="K1558" i="1"/>
  <c r="B1550" i="1"/>
  <c r="I1550" i="1"/>
  <c r="J1550" i="1"/>
  <c r="K1550" i="1"/>
  <c r="B1542" i="1"/>
  <c r="B1543" i="1"/>
  <c r="B1544" i="1"/>
  <c r="B1545" i="1"/>
  <c r="B1546" i="1"/>
  <c r="B1547" i="1"/>
  <c r="B1548" i="1"/>
  <c r="B1549" i="1"/>
  <c r="I1542" i="1"/>
  <c r="I1543" i="1"/>
  <c r="I1544" i="1"/>
  <c r="I1545" i="1"/>
  <c r="I1546" i="1"/>
  <c r="I1547" i="1"/>
  <c r="I1548" i="1"/>
  <c r="I1549" i="1"/>
  <c r="J1542" i="1"/>
  <c r="J1543" i="1"/>
  <c r="J1544" i="1"/>
  <c r="J1545" i="1"/>
  <c r="J1546" i="1"/>
  <c r="J1547" i="1"/>
  <c r="J1548" i="1"/>
  <c r="J1549" i="1"/>
  <c r="K1542" i="1"/>
  <c r="K1543" i="1"/>
  <c r="K1544" i="1"/>
  <c r="K1545" i="1"/>
  <c r="K1546" i="1"/>
  <c r="K1547" i="1"/>
  <c r="K1548" i="1"/>
  <c r="K1549" i="1"/>
  <c r="B1541" i="1"/>
  <c r="I1541" i="1"/>
  <c r="J1541" i="1"/>
  <c r="K1541" i="1"/>
  <c r="B1533" i="1"/>
  <c r="B1534" i="1"/>
  <c r="B1535" i="1"/>
  <c r="B1536" i="1"/>
  <c r="B1537" i="1"/>
  <c r="B1538" i="1"/>
  <c r="B1539" i="1"/>
  <c r="B1540" i="1"/>
  <c r="I1533" i="1"/>
  <c r="I1534" i="1"/>
  <c r="I1535" i="1"/>
  <c r="I1536" i="1"/>
  <c r="I1537" i="1"/>
  <c r="I1538" i="1"/>
  <c r="I1539" i="1"/>
  <c r="I1540" i="1"/>
  <c r="J1533" i="1"/>
  <c r="J1534" i="1"/>
  <c r="J1535" i="1"/>
  <c r="J1536" i="1"/>
  <c r="J1537" i="1"/>
  <c r="J1538" i="1"/>
  <c r="J1539" i="1"/>
  <c r="J1540" i="1"/>
  <c r="K1533" i="1"/>
  <c r="K1534" i="1"/>
  <c r="K1535" i="1"/>
  <c r="K1536" i="1"/>
  <c r="K1537" i="1"/>
  <c r="K1538" i="1"/>
  <c r="K1539" i="1"/>
  <c r="K1540" i="1"/>
  <c r="B1532" i="1"/>
  <c r="I1532" i="1"/>
  <c r="J1532" i="1"/>
  <c r="K1532" i="1"/>
  <c r="B1524" i="1"/>
  <c r="B1525" i="1"/>
  <c r="B1526" i="1"/>
  <c r="B1527" i="1"/>
  <c r="B1528" i="1"/>
  <c r="B1529" i="1"/>
  <c r="B1530" i="1"/>
  <c r="B1531" i="1"/>
  <c r="I1524" i="1"/>
  <c r="I1525" i="1"/>
  <c r="I1526" i="1"/>
  <c r="I1527" i="1"/>
  <c r="I1528" i="1"/>
  <c r="I1529" i="1"/>
  <c r="I1530" i="1"/>
  <c r="I1531" i="1"/>
  <c r="J1524" i="1"/>
  <c r="J1525" i="1"/>
  <c r="J1526" i="1"/>
  <c r="J1527" i="1"/>
  <c r="J1528" i="1"/>
  <c r="J1529" i="1"/>
  <c r="J1530" i="1"/>
  <c r="J1531" i="1"/>
  <c r="K1524" i="1"/>
  <c r="K1525" i="1"/>
  <c r="K1526" i="1"/>
  <c r="K1527" i="1"/>
  <c r="K1528" i="1"/>
  <c r="K1529" i="1"/>
  <c r="K1530" i="1"/>
  <c r="K1531" i="1"/>
  <c r="B1523" i="1"/>
  <c r="I1523" i="1"/>
  <c r="J1523" i="1"/>
  <c r="K1523" i="1"/>
  <c r="B1515" i="1"/>
  <c r="B1516" i="1"/>
  <c r="B1517" i="1"/>
  <c r="B1518" i="1"/>
  <c r="B1519" i="1"/>
  <c r="B1520" i="1"/>
  <c r="B1521" i="1"/>
  <c r="B1522" i="1"/>
  <c r="I1515" i="1"/>
  <c r="I1516" i="1"/>
  <c r="I1517" i="1"/>
  <c r="I1518" i="1"/>
  <c r="I1519" i="1"/>
  <c r="I1520" i="1"/>
  <c r="I1521" i="1"/>
  <c r="I1522" i="1"/>
  <c r="J1515" i="1"/>
  <c r="J1516" i="1"/>
  <c r="J1517" i="1"/>
  <c r="J1518" i="1"/>
  <c r="J1519" i="1"/>
  <c r="J1520" i="1"/>
  <c r="J1521" i="1"/>
  <c r="J1522" i="1"/>
  <c r="K1515" i="1"/>
  <c r="K1516" i="1"/>
  <c r="K1517" i="1"/>
  <c r="K1518" i="1"/>
  <c r="K1519" i="1"/>
  <c r="K1520" i="1"/>
  <c r="K1521" i="1"/>
  <c r="K1522" i="1"/>
  <c r="B1514" i="1"/>
  <c r="I1514" i="1"/>
  <c r="J1514" i="1"/>
  <c r="K1514" i="1"/>
  <c r="B1506" i="1"/>
  <c r="B1507" i="1"/>
  <c r="B1508" i="1"/>
  <c r="B1509" i="1"/>
  <c r="B1510" i="1"/>
  <c r="B1511" i="1"/>
  <c r="B1512" i="1"/>
  <c r="B1513" i="1"/>
  <c r="I1506" i="1"/>
  <c r="I1507" i="1"/>
  <c r="I1508" i="1"/>
  <c r="I1509" i="1"/>
  <c r="I1510" i="1"/>
  <c r="I1511" i="1"/>
  <c r="I1512" i="1"/>
  <c r="I1513" i="1"/>
  <c r="J1506" i="1"/>
  <c r="J1507" i="1"/>
  <c r="J1508" i="1"/>
  <c r="J1509" i="1"/>
  <c r="J1510" i="1"/>
  <c r="J1511" i="1"/>
  <c r="J1512" i="1"/>
  <c r="J1513" i="1"/>
  <c r="K1506" i="1"/>
  <c r="K1507" i="1"/>
  <c r="K1508" i="1"/>
  <c r="K1509" i="1"/>
  <c r="K1510" i="1"/>
  <c r="K1511" i="1"/>
  <c r="K1512" i="1"/>
  <c r="K1513" i="1"/>
  <c r="B1505" i="1"/>
  <c r="I1505" i="1"/>
  <c r="J1505" i="1"/>
  <c r="K1505" i="1"/>
  <c r="B1497" i="1"/>
  <c r="B1498" i="1"/>
  <c r="B1499" i="1"/>
  <c r="B1500" i="1"/>
  <c r="B1501" i="1"/>
  <c r="B1502" i="1"/>
  <c r="B1503" i="1"/>
  <c r="B1504" i="1"/>
  <c r="I1497" i="1"/>
  <c r="I1498" i="1"/>
  <c r="I1499" i="1"/>
  <c r="I1500" i="1"/>
  <c r="I1501" i="1"/>
  <c r="I1502" i="1"/>
  <c r="I1503" i="1"/>
  <c r="I1504" i="1"/>
  <c r="J1497" i="1"/>
  <c r="J1498" i="1"/>
  <c r="J1499" i="1"/>
  <c r="J1500" i="1"/>
  <c r="J1501" i="1"/>
  <c r="J1502" i="1"/>
  <c r="J1503" i="1"/>
  <c r="J1504" i="1"/>
  <c r="K1497" i="1"/>
  <c r="K1498" i="1"/>
  <c r="K1499" i="1"/>
  <c r="K1500" i="1"/>
  <c r="K1501" i="1"/>
  <c r="K1502" i="1"/>
  <c r="K1503" i="1"/>
  <c r="K1504" i="1"/>
  <c r="B1496" i="1"/>
  <c r="I1496" i="1"/>
  <c r="J1496" i="1"/>
  <c r="K1496" i="1"/>
  <c r="B1488" i="1"/>
  <c r="B1489" i="1"/>
  <c r="B1490" i="1"/>
  <c r="B1491" i="1"/>
  <c r="B1492" i="1"/>
  <c r="B1493" i="1"/>
  <c r="B1494" i="1"/>
  <c r="B1495" i="1"/>
  <c r="I1488" i="1"/>
  <c r="I1489" i="1"/>
  <c r="I1490" i="1"/>
  <c r="I1491" i="1"/>
  <c r="I1492" i="1"/>
  <c r="I1493" i="1"/>
  <c r="I1494" i="1"/>
  <c r="I1495" i="1"/>
  <c r="J1488" i="1"/>
  <c r="J1489" i="1"/>
  <c r="J1490" i="1"/>
  <c r="J1491" i="1"/>
  <c r="J1492" i="1"/>
  <c r="J1493" i="1"/>
  <c r="J1494" i="1"/>
  <c r="J1495" i="1"/>
  <c r="K1488" i="1"/>
  <c r="K1489" i="1"/>
  <c r="K1490" i="1"/>
  <c r="K1491" i="1"/>
  <c r="K1492" i="1"/>
  <c r="K1493" i="1"/>
  <c r="K1494" i="1"/>
  <c r="K1495" i="1"/>
  <c r="B1487" i="1"/>
  <c r="I1487" i="1"/>
  <c r="J1487" i="1"/>
  <c r="K1487" i="1"/>
  <c r="B1479" i="1"/>
  <c r="B1480" i="1"/>
  <c r="B1481" i="1"/>
  <c r="B1482" i="1"/>
  <c r="B1483" i="1"/>
  <c r="B1484" i="1"/>
  <c r="B1485" i="1"/>
  <c r="B1486" i="1"/>
  <c r="I1479" i="1"/>
  <c r="I1480" i="1"/>
  <c r="I1481" i="1"/>
  <c r="I1482" i="1"/>
  <c r="I1483" i="1"/>
  <c r="I1484" i="1"/>
  <c r="I1485" i="1"/>
  <c r="I1486" i="1"/>
  <c r="J1479" i="1"/>
  <c r="J1480" i="1"/>
  <c r="J1481" i="1"/>
  <c r="J1482" i="1"/>
  <c r="J1483" i="1"/>
  <c r="J1484" i="1"/>
  <c r="J1485" i="1"/>
  <c r="J1486" i="1"/>
  <c r="K1479" i="1"/>
  <c r="K1480" i="1"/>
  <c r="K1481" i="1"/>
  <c r="K1482" i="1"/>
  <c r="K1483" i="1"/>
  <c r="K1484" i="1"/>
  <c r="K1485" i="1"/>
  <c r="K1486" i="1"/>
  <c r="B1478" i="1"/>
  <c r="I1478" i="1"/>
  <c r="J1478" i="1"/>
  <c r="K1478" i="1"/>
  <c r="B1470" i="1"/>
  <c r="B1471" i="1"/>
  <c r="B1472" i="1"/>
  <c r="B1473" i="1"/>
  <c r="B1474" i="1"/>
  <c r="B1475" i="1"/>
  <c r="B1476" i="1"/>
  <c r="B1477" i="1"/>
  <c r="I1470" i="1"/>
  <c r="I1471" i="1"/>
  <c r="I1472" i="1"/>
  <c r="I1473" i="1"/>
  <c r="I1474" i="1"/>
  <c r="I1475" i="1"/>
  <c r="I1476" i="1"/>
  <c r="I1477" i="1"/>
  <c r="J1470" i="1"/>
  <c r="J1471" i="1"/>
  <c r="J1472" i="1"/>
  <c r="J1473" i="1"/>
  <c r="J1474" i="1"/>
  <c r="J1475" i="1"/>
  <c r="J1476" i="1"/>
  <c r="J1477" i="1"/>
  <c r="K1470" i="1"/>
  <c r="K1471" i="1"/>
  <c r="K1472" i="1"/>
  <c r="K1473" i="1"/>
  <c r="K1474" i="1"/>
  <c r="K1475" i="1"/>
  <c r="K1476" i="1"/>
  <c r="K1477" i="1"/>
  <c r="B1469" i="1"/>
  <c r="I1469" i="1"/>
  <c r="J1469" i="1"/>
  <c r="K1469" i="1"/>
  <c r="B1461" i="1"/>
  <c r="B1462" i="1"/>
  <c r="B1463" i="1"/>
  <c r="B1464" i="1"/>
  <c r="B1465" i="1"/>
  <c r="B1466" i="1"/>
  <c r="B1467" i="1"/>
  <c r="B1468" i="1"/>
  <c r="I1461" i="1"/>
  <c r="I1462" i="1"/>
  <c r="I1463" i="1"/>
  <c r="I1464" i="1"/>
  <c r="I1465" i="1"/>
  <c r="I1466" i="1"/>
  <c r="I1467" i="1"/>
  <c r="I1468" i="1"/>
  <c r="J1461" i="1"/>
  <c r="J1462" i="1"/>
  <c r="J1463" i="1"/>
  <c r="J1464" i="1"/>
  <c r="J1465" i="1"/>
  <c r="J1466" i="1"/>
  <c r="J1467" i="1"/>
  <c r="J1468" i="1"/>
  <c r="K1461" i="1"/>
  <c r="K1462" i="1"/>
  <c r="K1463" i="1"/>
  <c r="K1464" i="1"/>
  <c r="K1465" i="1"/>
  <c r="K1466" i="1"/>
  <c r="K1467" i="1"/>
  <c r="K1468" i="1"/>
  <c r="B1460" i="1"/>
  <c r="I1460" i="1"/>
  <c r="J1460" i="1"/>
  <c r="K1460" i="1"/>
  <c r="B1452" i="1"/>
  <c r="B1453" i="1"/>
  <c r="B1454" i="1"/>
  <c r="B1455" i="1"/>
  <c r="B1456" i="1"/>
  <c r="B1457" i="1"/>
  <c r="B1458" i="1"/>
  <c r="B1459" i="1"/>
  <c r="I1452" i="1"/>
  <c r="I1453" i="1"/>
  <c r="I1454" i="1"/>
  <c r="I1455" i="1"/>
  <c r="I1456" i="1"/>
  <c r="I1457" i="1"/>
  <c r="I1458" i="1"/>
  <c r="I1459" i="1"/>
  <c r="J1452" i="1"/>
  <c r="J1453" i="1"/>
  <c r="J1454" i="1"/>
  <c r="J1455" i="1"/>
  <c r="J1456" i="1"/>
  <c r="J1457" i="1"/>
  <c r="J1458" i="1"/>
  <c r="J1459" i="1"/>
  <c r="K1452" i="1"/>
  <c r="K1453" i="1"/>
  <c r="K1454" i="1"/>
  <c r="K1455" i="1"/>
  <c r="K1456" i="1"/>
  <c r="K1457" i="1"/>
  <c r="K1458" i="1"/>
  <c r="K1459" i="1"/>
  <c r="B1451" i="1"/>
  <c r="I1451" i="1"/>
  <c r="J1451" i="1"/>
  <c r="K1451" i="1"/>
  <c r="B1443" i="1"/>
  <c r="B1444" i="1"/>
  <c r="B1445" i="1"/>
  <c r="B1446" i="1"/>
  <c r="B1447" i="1"/>
  <c r="B1448" i="1"/>
  <c r="B1449" i="1"/>
  <c r="B1450" i="1"/>
  <c r="I1443" i="1"/>
  <c r="I1444" i="1"/>
  <c r="I1445" i="1"/>
  <c r="I1446" i="1"/>
  <c r="I1447" i="1"/>
  <c r="I1448" i="1"/>
  <c r="I1449" i="1"/>
  <c r="I1450" i="1"/>
  <c r="J1443" i="1"/>
  <c r="J1444" i="1"/>
  <c r="J1445" i="1"/>
  <c r="J1446" i="1"/>
  <c r="J1447" i="1"/>
  <c r="J1448" i="1"/>
  <c r="J1449" i="1"/>
  <c r="J1450" i="1"/>
  <c r="K1443" i="1"/>
  <c r="K1444" i="1"/>
  <c r="K1445" i="1"/>
  <c r="K1446" i="1"/>
  <c r="K1447" i="1"/>
  <c r="K1448" i="1"/>
  <c r="K1449" i="1"/>
  <c r="K1450" i="1"/>
  <c r="B1442" i="1"/>
  <c r="I1442" i="1"/>
  <c r="J1442" i="1"/>
  <c r="K1442" i="1"/>
  <c r="B1434" i="1"/>
  <c r="B1435" i="1"/>
  <c r="B1436" i="1"/>
  <c r="B1437" i="1"/>
  <c r="B1438" i="1"/>
  <c r="B1439" i="1"/>
  <c r="B1440" i="1"/>
  <c r="B1441" i="1"/>
  <c r="I1434" i="1"/>
  <c r="I1435" i="1"/>
  <c r="I1436" i="1"/>
  <c r="I1437" i="1"/>
  <c r="I1438" i="1"/>
  <c r="I1439" i="1"/>
  <c r="I1440" i="1"/>
  <c r="I1441" i="1"/>
  <c r="J1434" i="1"/>
  <c r="J1435" i="1"/>
  <c r="J1436" i="1"/>
  <c r="J1437" i="1"/>
  <c r="J1438" i="1"/>
  <c r="J1439" i="1"/>
  <c r="J1440" i="1"/>
  <c r="J1441" i="1"/>
  <c r="K1434" i="1"/>
  <c r="K1435" i="1"/>
  <c r="K1436" i="1"/>
  <c r="K1437" i="1"/>
  <c r="K1438" i="1"/>
  <c r="K1439" i="1"/>
  <c r="K1440" i="1"/>
  <c r="K1441" i="1"/>
  <c r="B1433" i="1"/>
  <c r="I1433" i="1"/>
  <c r="J1433" i="1"/>
  <c r="K1433" i="1"/>
  <c r="B1425" i="1"/>
  <c r="B1426" i="1"/>
  <c r="B1427" i="1"/>
  <c r="B1428" i="1"/>
  <c r="B1429" i="1"/>
  <c r="B1430" i="1"/>
  <c r="B1431" i="1"/>
  <c r="B1432" i="1"/>
  <c r="I1425" i="1"/>
  <c r="I1426" i="1"/>
  <c r="I1427" i="1"/>
  <c r="I1428" i="1"/>
  <c r="I1429" i="1"/>
  <c r="I1430" i="1"/>
  <c r="I1431" i="1"/>
  <c r="I1432" i="1"/>
  <c r="J1425" i="1"/>
  <c r="J1426" i="1"/>
  <c r="J1427" i="1"/>
  <c r="J1428" i="1"/>
  <c r="J1429" i="1"/>
  <c r="J1430" i="1"/>
  <c r="J1431" i="1"/>
  <c r="J1432" i="1"/>
  <c r="K1425" i="1"/>
  <c r="K1426" i="1"/>
  <c r="K1427" i="1"/>
  <c r="K1428" i="1"/>
  <c r="K1429" i="1"/>
  <c r="K1430" i="1"/>
  <c r="K1431" i="1"/>
  <c r="K1432" i="1"/>
  <c r="B1424" i="1"/>
  <c r="I1424" i="1"/>
  <c r="J1424" i="1"/>
  <c r="K1424" i="1"/>
  <c r="B1416" i="1"/>
  <c r="B1417" i="1"/>
  <c r="B1418" i="1"/>
  <c r="B1419" i="1"/>
  <c r="B1420" i="1"/>
  <c r="B1421" i="1"/>
  <c r="B1422" i="1"/>
  <c r="B1423" i="1"/>
  <c r="I1416" i="1"/>
  <c r="I1417" i="1"/>
  <c r="I1418" i="1"/>
  <c r="I1419" i="1"/>
  <c r="I1420" i="1"/>
  <c r="I1421" i="1"/>
  <c r="I1422" i="1"/>
  <c r="I1423" i="1"/>
  <c r="J1416" i="1"/>
  <c r="J1417" i="1"/>
  <c r="J1418" i="1"/>
  <c r="J1419" i="1"/>
  <c r="J1420" i="1"/>
  <c r="J1421" i="1"/>
  <c r="J1422" i="1"/>
  <c r="J1423" i="1"/>
  <c r="K1416" i="1"/>
  <c r="K1417" i="1"/>
  <c r="K1418" i="1"/>
  <c r="K1419" i="1"/>
  <c r="K1420" i="1"/>
  <c r="K1421" i="1"/>
  <c r="K1422" i="1"/>
  <c r="K1423" i="1"/>
  <c r="B1415" i="1"/>
  <c r="I1415" i="1"/>
  <c r="J1415" i="1"/>
  <c r="K1415" i="1"/>
  <c r="B1407" i="1"/>
  <c r="B1408" i="1"/>
  <c r="B1409" i="1"/>
  <c r="B1410" i="1"/>
  <c r="B1411" i="1"/>
  <c r="B1412" i="1"/>
  <c r="B1413" i="1"/>
  <c r="B1414" i="1"/>
  <c r="I1407" i="1"/>
  <c r="I1408" i="1"/>
  <c r="I1409" i="1"/>
  <c r="I1410" i="1"/>
  <c r="I1411" i="1"/>
  <c r="I1412" i="1"/>
  <c r="I1413" i="1"/>
  <c r="I1414" i="1"/>
  <c r="J1407" i="1"/>
  <c r="J1408" i="1"/>
  <c r="J1409" i="1"/>
  <c r="J1410" i="1"/>
  <c r="J1411" i="1"/>
  <c r="J1412" i="1"/>
  <c r="J1413" i="1"/>
  <c r="J1414" i="1"/>
  <c r="K1407" i="1"/>
  <c r="K1408" i="1"/>
  <c r="K1409" i="1"/>
  <c r="K1410" i="1"/>
  <c r="K1411" i="1"/>
  <c r="K1412" i="1"/>
  <c r="K1413" i="1"/>
  <c r="K1414" i="1"/>
  <c r="B1406" i="1"/>
  <c r="I1406" i="1"/>
  <c r="J1406" i="1"/>
  <c r="K1406" i="1"/>
  <c r="B1398" i="1"/>
  <c r="B1399" i="1"/>
  <c r="B1400" i="1"/>
  <c r="B1401" i="1"/>
  <c r="B1402" i="1"/>
  <c r="B1403" i="1"/>
  <c r="B1404" i="1"/>
  <c r="B1405" i="1"/>
  <c r="I1398" i="1"/>
  <c r="I1399" i="1"/>
  <c r="I1400" i="1"/>
  <c r="I1401" i="1"/>
  <c r="I1402" i="1"/>
  <c r="I1403" i="1"/>
  <c r="I1404" i="1"/>
  <c r="I1405" i="1"/>
  <c r="J1398" i="1"/>
  <c r="J1399" i="1"/>
  <c r="J1400" i="1"/>
  <c r="J1401" i="1"/>
  <c r="J1402" i="1"/>
  <c r="J1403" i="1"/>
  <c r="J1404" i="1"/>
  <c r="J1405" i="1"/>
  <c r="K1398" i="1"/>
  <c r="K1399" i="1"/>
  <c r="K1400" i="1"/>
  <c r="K1401" i="1"/>
  <c r="K1402" i="1"/>
  <c r="K1403" i="1"/>
  <c r="K1404" i="1"/>
  <c r="K1405" i="1"/>
  <c r="B1397" i="1"/>
  <c r="I1397" i="1"/>
  <c r="J1397" i="1"/>
  <c r="K1397" i="1"/>
  <c r="B1389" i="1"/>
  <c r="B1390" i="1"/>
  <c r="B1391" i="1"/>
  <c r="B1392" i="1"/>
  <c r="B1393" i="1"/>
  <c r="B1394" i="1"/>
  <c r="B1395" i="1"/>
  <c r="B1396" i="1"/>
  <c r="I1389" i="1"/>
  <c r="I1390" i="1"/>
  <c r="I1391" i="1"/>
  <c r="I1392" i="1"/>
  <c r="I1393" i="1"/>
  <c r="I1394" i="1"/>
  <c r="I1395" i="1"/>
  <c r="I1396" i="1"/>
  <c r="J1389" i="1"/>
  <c r="J1390" i="1"/>
  <c r="J1391" i="1"/>
  <c r="J1392" i="1"/>
  <c r="J1393" i="1"/>
  <c r="J1394" i="1"/>
  <c r="J1395" i="1"/>
  <c r="J1396" i="1"/>
  <c r="K1389" i="1"/>
  <c r="K1390" i="1"/>
  <c r="K1391" i="1"/>
  <c r="K1392" i="1"/>
  <c r="K1393" i="1"/>
  <c r="K1394" i="1"/>
  <c r="K1395" i="1"/>
  <c r="K1396" i="1"/>
  <c r="B1388" i="1"/>
  <c r="I1388" i="1"/>
  <c r="J1388" i="1"/>
  <c r="K1388" i="1"/>
  <c r="B1380" i="1"/>
  <c r="B1381" i="1"/>
  <c r="B1382" i="1"/>
  <c r="B1383" i="1"/>
  <c r="B1384" i="1"/>
  <c r="B1385" i="1"/>
  <c r="B1386" i="1"/>
  <c r="B1387" i="1"/>
  <c r="I1380" i="1"/>
  <c r="I1381" i="1"/>
  <c r="I1382" i="1"/>
  <c r="I1383" i="1"/>
  <c r="I1384" i="1"/>
  <c r="I1385" i="1"/>
  <c r="I1386" i="1"/>
  <c r="I1387" i="1"/>
  <c r="J1380" i="1"/>
  <c r="J1381" i="1"/>
  <c r="J1382" i="1"/>
  <c r="J1383" i="1"/>
  <c r="J1384" i="1"/>
  <c r="J1385" i="1"/>
  <c r="J1386" i="1"/>
  <c r="J1387" i="1"/>
  <c r="K1380" i="1"/>
  <c r="K1381" i="1"/>
  <c r="K1382" i="1"/>
  <c r="K1383" i="1"/>
  <c r="K1384" i="1"/>
  <c r="K1385" i="1"/>
  <c r="K1386" i="1"/>
  <c r="K1387" i="1"/>
  <c r="B1379" i="1"/>
  <c r="I1379" i="1"/>
  <c r="J1379" i="1"/>
  <c r="K1379" i="1"/>
  <c r="B1371" i="1"/>
  <c r="B1372" i="1"/>
  <c r="B1373" i="1"/>
  <c r="B1374" i="1"/>
  <c r="B1375" i="1"/>
  <c r="B1376" i="1"/>
  <c r="B1377" i="1"/>
  <c r="B1378" i="1"/>
  <c r="I1371" i="1"/>
  <c r="I1372" i="1"/>
  <c r="I1373" i="1"/>
  <c r="I1374" i="1"/>
  <c r="I1375" i="1"/>
  <c r="I1376" i="1"/>
  <c r="I1377" i="1"/>
  <c r="I1378" i="1"/>
  <c r="J1371" i="1"/>
  <c r="J1372" i="1"/>
  <c r="J1373" i="1"/>
  <c r="J1374" i="1"/>
  <c r="J1375" i="1"/>
  <c r="J1376" i="1"/>
  <c r="J1377" i="1"/>
  <c r="J1378" i="1"/>
  <c r="K1371" i="1"/>
  <c r="K1372" i="1"/>
  <c r="K1373" i="1"/>
  <c r="K1374" i="1"/>
  <c r="K1375" i="1"/>
  <c r="K1376" i="1"/>
  <c r="K1377" i="1"/>
  <c r="K1378" i="1"/>
  <c r="B1370" i="1"/>
  <c r="I1370" i="1"/>
  <c r="J1370" i="1"/>
  <c r="K1370" i="1"/>
  <c r="B1362" i="1"/>
  <c r="B1363" i="1"/>
  <c r="B1364" i="1"/>
  <c r="B1365" i="1"/>
  <c r="B1366" i="1"/>
  <c r="B1367" i="1"/>
  <c r="B1368" i="1"/>
  <c r="B1369" i="1"/>
  <c r="I1362" i="1"/>
  <c r="I1363" i="1"/>
  <c r="I1364" i="1"/>
  <c r="I1365" i="1"/>
  <c r="I1366" i="1"/>
  <c r="I1367" i="1"/>
  <c r="I1368" i="1"/>
  <c r="I1369" i="1"/>
  <c r="J1362" i="1"/>
  <c r="J1363" i="1"/>
  <c r="J1364" i="1"/>
  <c r="J1365" i="1"/>
  <c r="J1366" i="1"/>
  <c r="J1367" i="1"/>
  <c r="J1368" i="1"/>
  <c r="J1369" i="1"/>
  <c r="K1362" i="1"/>
  <c r="K1363" i="1"/>
  <c r="K1364" i="1"/>
  <c r="K1365" i="1"/>
  <c r="K1366" i="1"/>
  <c r="K1367" i="1"/>
  <c r="K1368" i="1"/>
  <c r="K1369" i="1"/>
  <c r="B1361" i="1"/>
  <c r="I1361" i="1"/>
  <c r="J1361" i="1"/>
  <c r="K1361" i="1"/>
  <c r="B1353" i="1"/>
  <c r="B1354" i="1"/>
  <c r="B1355" i="1"/>
  <c r="B1356" i="1"/>
  <c r="B1357" i="1"/>
  <c r="B1358" i="1"/>
  <c r="B1359" i="1"/>
  <c r="B1360" i="1"/>
  <c r="I1353" i="1"/>
  <c r="I1354" i="1"/>
  <c r="I1355" i="1"/>
  <c r="I1356" i="1"/>
  <c r="I1357" i="1"/>
  <c r="I1358" i="1"/>
  <c r="I1359" i="1"/>
  <c r="I1360" i="1"/>
  <c r="J1353" i="1"/>
  <c r="J1354" i="1"/>
  <c r="J1355" i="1"/>
  <c r="J1356" i="1"/>
  <c r="J1357" i="1"/>
  <c r="J1358" i="1"/>
  <c r="J1359" i="1"/>
  <c r="J1360" i="1"/>
  <c r="K1353" i="1"/>
  <c r="K1354" i="1"/>
  <c r="K1355" i="1"/>
  <c r="K1356" i="1"/>
  <c r="K1357" i="1"/>
  <c r="K1358" i="1"/>
  <c r="K1359" i="1"/>
  <c r="K1360" i="1"/>
  <c r="B1352" i="1"/>
  <c r="I1352" i="1"/>
  <c r="J1352" i="1"/>
  <c r="K1352" i="1"/>
  <c r="B1344" i="1"/>
  <c r="B1345" i="1"/>
  <c r="B1346" i="1"/>
  <c r="B1347" i="1"/>
  <c r="B1348" i="1"/>
  <c r="B1349" i="1"/>
  <c r="B1350" i="1"/>
  <c r="B1351" i="1"/>
  <c r="I1344" i="1"/>
  <c r="I1345" i="1"/>
  <c r="I1346" i="1"/>
  <c r="I1347" i="1"/>
  <c r="I1348" i="1"/>
  <c r="I1349" i="1"/>
  <c r="I1350" i="1"/>
  <c r="I1351" i="1"/>
  <c r="J1344" i="1"/>
  <c r="J1345" i="1"/>
  <c r="J1346" i="1"/>
  <c r="J1347" i="1"/>
  <c r="J1348" i="1"/>
  <c r="J1349" i="1"/>
  <c r="J1350" i="1"/>
  <c r="J1351" i="1"/>
  <c r="K1344" i="1"/>
  <c r="K1345" i="1"/>
  <c r="K1346" i="1"/>
  <c r="K1347" i="1"/>
  <c r="K1348" i="1"/>
  <c r="K1349" i="1"/>
  <c r="K1350" i="1"/>
  <c r="K1351" i="1"/>
  <c r="B1343" i="1"/>
  <c r="I1343" i="1"/>
  <c r="J1343" i="1"/>
  <c r="K1343" i="1"/>
  <c r="B1335" i="1"/>
  <c r="B1336" i="1"/>
  <c r="B1337" i="1"/>
  <c r="B1338" i="1"/>
  <c r="B1339" i="1"/>
  <c r="B1340" i="1"/>
  <c r="B1341" i="1"/>
  <c r="B1342" i="1"/>
  <c r="I1335" i="1"/>
  <c r="I1336" i="1"/>
  <c r="I1337" i="1"/>
  <c r="I1338" i="1"/>
  <c r="I1339" i="1"/>
  <c r="I1340" i="1"/>
  <c r="I1341" i="1"/>
  <c r="I1342" i="1"/>
  <c r="J1335" i="1"/>
  <c r="J1336" i="1"/>
  <c r="J1337" i="1"/>
  <c r="J1338" i="1"/>
  <c r="J1339" i="1"/>
  <c r="J1340" i="1"/>
  <c r="J1341" i="1"/>
  <c r="J1342" i="1"/>
  <c r="K1335" i="1"/>
  <c r="K1336" i="1"/>
  <c r="K1337" i="1"/>
  <c r="K1338" i="1"/>
  <c r="K1339" i="1"/>
  <c r="K1340" i="1"/>
  <c r="K1341" i="1"/>
  <c r="K1342" i="1"/>
  <c r="B1334" i="1"/>
  <c r="I1334" i="1"/>
  <c r="J1334" i="1"/>
  <c r="K1334" i="1"/>
  <c r="B1326" i="1"/>
  <c r="B1327" i="1"/>
  <c r="B1328" i="1"/>
  <c r="B1329" i="1"/>
  <c r="B1330" i="1"/>
  <c r="B1331" i="1"/>
  <c r="B1332" i="1"/>
  <c r="B1333" i="1"/>
  <c r="I1326" i="1"/>
  <c r="I1327" i="1"/>
  <c r="I1328" i="1"/>
  <c r="I1329" i="1"/>
  <c r="I1330" i="1"/>
  <c r="I1331" i="1"/>
  <c r="I1332" i="1"/>
  <c r="I1333" i="1"/>
  <c r="J1326" i="1"/>
  <c r="J1327" i="1"/>
  <c r="J1328" i="1"/>
  <c r="J1329" i="1"/>
  <c r="J1330" i="1"/>
  <c r="J1331" i="1"/>
  <c r="J1332" i="1"/>
  <c r="J1333" i="1"/>
  <c r="K1326" i="1"/>
  <c r="K1327" i="1"/>
  <c r="K1328" i="1"/>
  <c r="K1329" i="1"/>
  <c r="K1330" i="1"/>
  <c r="K1331" i="1"/>
  <c r="K1332" i="1"/>
  <c r="K1333" i="1"/>
  <c r="B1325" i="1"/>
  <c r="I1325" i="1"/>
  <c r="J1325" i="1"/>
  <c r="K1325" i="1"/>
  <c r="B1317" i="1"/>
  <c r="B1318" i="1"/>
  <c r="B1319" i="1"/>
  <c r="B1320" i="1"/>
  <c r="B1321" i="1"/>
  <c r="B1322" i="1"/>
  <c r="B1323" i="1"/>
  <c r="B1324" i="1"/>
  <c r="I1317" i="1"/>
  <c r="I1318" i="1"/>
  <c r="I1319" i="1"/>
  <c r="I1320" i="1"/>
  <c r="I1321" i="1"/>
  <c r="I1322" i="1"/>
  <c r="I1323" i="1"/>
  <c r="I1324" i="1"/>
  <c r="J1317" i="1"/>
  <c r="J1318" i="1"/>
  <c r="J1319" i="1"/>
  <c r="J1320" i="1"/>
  <c r="J1321" i="1"/>
  <c r="J1322" i="1"/>
  <c r="J1323" i="1"/>
  <c r="J1324" i="1"/>
  <c r="K1317" i="1"/>
  <c r="K1318" i="1"/>
  <c r="K1319" i="1"/>
  <c r="K1320" i="1"/>
  <c r="K1321" i="1"/>
  <c r="K1322" i="1"/>
  <c r="K1323" i="1"/>
  <c r="K1324" i="1"/>
  <c r="B1316" i="1"/>
  <c r="I1316" i="1"/>
  <c r="J1316" i="1"/>
  <c r="K1316" i="1"/>
  <c r="B1308" i="1"/>
  <c r="B1309" i="1"/>
  <c r="B1310" i="1"/>
  <c r="B1311" i="1"/>
  <c r="B1312" i="1"/>
  <c r="B1313" i="1"/>
  <c r="B1314" i="1"/>
  <c r="B1315" i="1"/>
  <c r="I1308" i="1"/>
  <c r="I1309" i="1"/>
  <c r="I1310" i="1"/>
  <c r="I1311" i="1"/>
  <c r="I1312" i="1"/>
  <c r="I1313" i="1"/>
  <c r="I1314" i="1"/>
  <c r="I1315" i="1"/>
  <c r="J1308" i="1"/>
  <c r="J1309" i="1"/>
  <c r="J1310" i="1"/>
  <c r="J1311" i="1"/>
  <c r="J1312" i="1"/>
  <c r="J1313" i="1"/>
  <c r="J1314" i="1"/>
  <c r="J1315" i="1"/>
  <c r="K1308" i="1"/>
  <c r="K1309" i="1"/>
  <c r="K1310" i="1"/>
  <c r="K1311" i="1"/>
  <c r="K1312" i="1"/>
  <c r="K1313" i="1"/>
  <c r="K1314" i="1"/>
  <c r="K1315" i="1"/>
  <c r="B1307" i="1"/>
  <c r="I1307" i="1"/>
  <c r="J1307" i="1"/>
  <c r="K1307" i="1"/>
  <c r="B1299" i="1"/>
  <c r="B1300" i="1"/>
  <c r="B1301" i="1"/>
  <c r="B1302" i="1"/>
  <c r="B1303" i="1"/>
  <c r="B1304" i="1"/>
  <c r="B1305" i="1"/>
  <c r="B1306" i="1"/>
  <c r="I1299" i="1"/>
  <c r="I1300" i="1"/>
  <c r="I1301" i="1"/>
  <c r="I1302" i="1"/>
  <c r="I1303" i="1"/>
  <c r="I1304" i="1"/>
  <c r="I1305" i="1"/>
  <c r="I1306" i="1"/>
  <c r="J1299" i="1"/>
  <c r="J1300" i="1"/>
  <c r="J1301" i="1"/>
  <c r="J1302" i="1"/>
  <c r="J1303" i="1"/>
  <c r="J1304" i="1"/>
  <c r="J1305" i="1"/>
  <c r="J1306" i="1"/>
  <c r="K1299" i="1"/>
  <c r="K1300" i="1"/>
  <c r="K1301" i="1"/>
  <c r="K1302" i="1"/>
  <c r="K1303" i="1"/>
  <c r="K1304" i="1"/>
  <c r="K1305" i="1"/>
  <c r="K1306" i="1"/>
  <c r="B1298" i="1"/>
  <c r="I1298" i="1"/>
  <c r="J1298" i="1"/>
  <c r="K1298" i="1"/>
  <c r="J3" i="3"/>
  <c r="J4" i="3"/>
  <c r="J6" i="3"/>
  <c r="J7" i="3"/>
  <c r="J8" i="3"/>
  <c r="J2" i="3"/>
  <c r="B1290" i="1"/>
  <c r="B1291" i="1"/>
  <c r="B1292" i="1"/>
  <c r="B1293" i="1"/>
  <c r="B1294" i="1"/>
  <c r="B1295" i="1"/>
  <c r="B1296" i="1"/>
  <c r="B1297" i="1"/>
  <c r="I1290" i="1"/>
  <c r="I1291" i="1"/>
  <c r="I1292" i="1"/>
  <c r="I1293" i="1"/>
  <c r="I1294" i="1"/>
  <c r="I1295" i="1"/>
  <c r="I1296" i="1"/>
  <c r="I1297" i="1"/>
  <c r="J1290" i="1"/>
  <c r="J1291" i="1"/>
  <c r="J1292" i="1"/>
  <c r="J1293" i="1"/>
  <c r="J1294" i="1"/>
  <c r="J1295" i="1"/>
  <c r="J1296" i="1"/>
  <c r="J1297" i="1"/>
  <c r="K1290" i="1"/>
  <c r="K1291" i="1"/>
  <c r="K1292" i="1"/>
  <c r="K1293" i="1"/>
  <c r="K1294" i="1"/>
  <c r="K1295" i="1"/>
  <c r="K1296" i="1"/>
  <c r="K1297" i="1"/>
  <c r="B1289" i="1"/>
  <c r="I1289" i="1"/>
  <c r="J1289" i="1"/>
  <c r="K1289" i="1"/>
  <c r="H6" i="3"/>
  <c r="H5" i="3"/>
  <c r="B1281" i="1"/>
  <c r="B1282" i="1"/>
  <c r="B1283" i="1"/>
  <c r="B1284" i="1"/>
  <c r="B1285" i="1"/>
  <c r="B1286" i="1"/>
  <c r="B1287" i="1"/>
  <c r="B1288" i="1"/>
  <c r="I1281" i="1"/>
  <c r="I1282" i="1"/>
  <c r="I1283" i="1"/>
  <c r="I1284" i="1"/>
  <c r="I1285" i="1"/>
  <c r="I1286" i="1"/>
  <c r="I1287" i="1"/>
  <c r="I1288" i="1"/>
  <c r="J1281" i="1"/>
  <c r="J1282" i="1"/>
  <c r="J1283" i="1"/>
  <c r="J1284" i="1"/>
  <c r="J1285" i="1"/>
  <c r="J1286" i="1"/>
  <c r="J1287" i="1"/>
  <c r="J1288" i="1"/>
  <c r="K1281" i="1"/>
  <c r="K1282" i="1"/>
  <c r="K1283" i="1"/>
  <c r="K1284" i="1"/>
  <c r="K1285" i="1"/>
  <c r="K1286" i="1"/>
  <c r="K1287" i="1"/>
  <c r="K1288" i="1"/>
  <c r="B1280" i="1"/>
  <c r="I1280" i="1"/>
  <c r="J1280" i="1"/>
  <c r="K1280" i="1"/>
  <c r="B1272" i="1"/>
  <c r="B1273" i="1"/>
  <c r="B1274" i="1"/>
  <c r="B1275" i="1"/>
  <c r="B1276" i="1"/>
  <c r="B1277" i="1"/>
  <c r="B1278" i="1"/>
  <c r="B1279" i="1"/>
  <c r="I1272" i="1"/>
  <c r="I1273" i="1"/>
  <c r="I1274" i="1"/>
  <c r="I1275" i="1"/>
  <c r="I1276" i="1"/>
  <c r="I1277" i="1"/>
  <c r="I1278" i="1"/>
  <c r="I1279" i="1"/>
  <c r="J1272" i="1"/>
  <c r="J1273" i="1"/>
  <c r="J1274" i="1"/>
  <c r="J1275" i="1"/>
  <c r="J1276" i="1"/>
  <c r="J1277" i="1"/>
  <c r="J1278" i="1"/>
  <c r="J1279" i="1"/>
  <c r="K1272" i="1"/>
  <c r="K1273" i="1"/>
  <c r="K1274" i="1"/>
  <c r="K1275" i="1"/>
  <c r="K1276" i="1"/>
  <c r="K1277" i="1"/>
  <c r="K1278" i="1"/>
  <c r="K1279" i="1"/>
  <c r="B1271" i="1"/>
  <c r="I1271" i="1"/>
  <c r="J1271" i="1"/>
  <c r="K1271" i="1"/>
  <c r="B1263" i="1"/>
  <c r="B1264" i="1"/>
  <c r="B1265" i="1"/>
  <c r="B1266" i="1"/>
  <c r="B1267" i="1"/>
  <c r="B1268" i="1"/>
  <c r="B1269" i="1"/>
  <c r="B1270" i="1"/>
  <c r="I1263" i="1"/>
  <c r="I1264" i="1"/>
  <c r="I1265" i="1"/>
  <c r="I1266" i="1"/>
  <c r="I1267" i="1"/>
  <c r="I1268" i="1"/>
  <c r="I1269" i="1"/>
  <c r="I1270" i="1"/>
  <c r="J1263" i="1"/>
  <c r="J1264" i="1"/>
  <c r="J1265" i="1"/>
  <c r="J1266" i="1"/>
  <c r="J1267" i="1"/>
  <c r="J1268" i="1"/>
  <c r="J1269" i="1"/>
  <c r="J1270" i="1"/>
  <c r="K1263" i="1"/>
  <c r="K1264" i="1"/>
  <c r="K1265" i="1"/>
  <c r="K1266" i="1"/>
  <c r="K1267" i="1"/>
  <c r="K1268" i="1"/>
  <c r="K1269" i="1"/>
  <c r="K1270" i="1"/>
  <c r="B1262" i="1"/>
  <c r="I1262" i="1"/>
  <c r="J1262" i="1"/>
  <c r="K1262" i="1"/>
  <c r="B1254" i="1"/>
  <c r="B1255" i="1"/>
  <c r="B1256" i="1"/>
  <c r="B1257" i="1"/>
  <c r="B1258" i="1"/>
  <c r="B1259" i="1"/>
  <c r="B1260" i="1"/>
  <c r="B1261" i="1"/>
  <c r="I1254" i="1"/>
  <c r="I1255" i="1"/>
  <c r="I1256" i="1"/>
  <c r="I1257" i="1"/>
  <c r="I1258" i="1"/>
  <c r="I1259" i="1"/>
  <c r="I1260" i="1"/>
  <c r="I1261" i="1"/>
  <c r="J1254" i="1"/>
  <c r="J1255" i="1"/>
  <c r="J1256" i="1"/>
  <c r="J1257" i="1"/>
  <c r="J1258" i="1"/>
  <c r="J1259" i="1"/>
  <c r="J1260" i="1"/>
  <c r="J1261" i="1"/>
  <c r="K1254" i="1"/>
  <c r="K1255" i="1"/>
  <c r="K1256" i="1"/>
  <c r="K1257" i="1"/>
  <c r="K1258" i="1"/>
  <c r="K1259" i="1"/>
  <c r="K1260" i="1"/>
  <c r="K1261" i="1"/>
  <c r="B1253" i="1"/>
  <c r="I1253" i="1"/>
  <c r="J1253" i="1"/>
  <c r="K1253" i="1"/>
  <c r="B1245" i="1"/>
  <c r="B1246" i="1"/>
  <c r="B1247" i="1"/>
  <c r="B1248" i="1"/>
  <c r="B1249" i="1"/>
  <c r="B1250" i="1"/>
  <c r="B1251" i="1"/>
  <c r="B1252" i="1"/>
  <c r="I1245" i="1"/>
  <c r="I1246" i="1"/>
  <c r="I1247" i="1"/>
  <c r="I1248" i="1"/>
  <c r="I1249" i="1"/>
  <c r="I1250" i="1"/>
  <c r="I1251" i="1"/>
  <c r="I1252" i="1"/>
  <c r="J1245" i="1"/>
  <c r="J1246" i="1"/>
  <c r="J1247" i="1"/>
  <c r="J1248" i="1"/>
  <c r="J1249" i="1"/>
  <c r="J1250" i="1"/>
  <c r="J1251" i="1"/>
  <c r="J1252" i="1"/>
  <c r="K1245" i="1"/>
  <c r="K1246" i="1"/>
  <c r="K1247" i="1"/>
  <c r="K1248" i="1"/>
  <c r="K1249" i="1"/>
  <c r="K1250" i="1"/>
  <c r="K1251" i="1"/>
  <c r="K1252" i="1"/>
  <c r="B1244" i="1"/>
  <c r="I1244" i="1"/>
  <c r="J1244" i="1"/>
  <c r="K1244" i="1"/>
  <c r="B1236" i="1"/>
  <c r="B1237" i="1"/>
  <c r="B1238" i="1"/>
  <c r="B1239" i="1"/>
  <c r="B1240" i="1"/>
  <c r="B1241" i="1"/>
  <c r="B1242" i="1"/>
  <c r="B1243" i="1"/>
  <c r="I1236" i="1"/>
  <c r="I1237" i="1"/>
  <c r="I1238" i="1"/>
  <c r="I1239" i="1"/>
  <c r="I1240" i="1"/>
  <c r="I1241" i="1"/>
  <c r="I1242" i="1"/>
  <c r="I1243" i="1"/>
  <c r="J1236" i="1"/>
  <c r="J1237" i="1"/>
  <c r="J1238" i="1"/>
  <c r="J1239" i="1"/>
  <c r="J1240" i="1"/>
  <c r="J1241" i="1"/>
  <c r="J1242" i="1"/>
  <c r="J1243" i="1"/>
  <c r="K1236" i="1"/>
  <c r="K1237" i="1"/>
  <c r="K1238" i="1"/>
  <c r="K1239" i="1"/>
  <c r="K1240" i="1"/>
  <c r="K1241" i="1"/>
  <c r="K1242" i="1"/>
  <c r="K1243" i="1"/>
  <c r="B1235" i="1"/>
  <c r="I1235" i="1"/>
  <c r="J1235" i="1"/>
  <c r="K1235" i="1"/>
  <c r="B1227" i="1"/>
  <c r="B1228" i="1"/>
  <c r="B1229" i="1"/>
  <c r="B1230" i="1"/>
  <c r="B1231" i="1"/>
  <c r="B1232" i="1"/>
  <c r="B1233" i="1"/>
  <c r="B1234" i="1"/>
  <c r="I1227" i="1"/>
  <c r="I1228" i="1"/>
  <c r="I1229" i="1"/>
  <c r="I1230" i="1"/>
  <c r="I1231" i="1"/>
  <c r="I1232" i="1"/>
  <c r="I1233" i="1"/>
  <c r="I1234" i="1"/>
  <c r="J1227" i="1"/>
  <c r="J1228" i="1"/>
  <c r="J1229" i="1"/>
  <c r="J1230" i="1"/>
  <c r="J1231" i="1"/>
  <c r="J1232" i="1"/>
  <c r="J1233" i="1"/>
  <c r="J1234" i="1"/>
  <c r="K1227" i="1"/>
  <c r="K1228" i="1"/>
  <c r="K1229" i="1"/>
  <c r="K1230" i="1"/>
  <c r="K1231" i="1"/>
  <c r="K1232" i="1"/>
  <c r="K1233" i="1"/>
  <c r="K1234" i="1"/>
  <c r="B1226" i="1"/>
  <c r="I1226" i="1"/>
  <c r="J1226" i="1"/>
  <c r="K1226" i="1"/>
  <c r="B1218" i="1"/>
  <c r="B1219" i="1"/>
  <c r="B1220" i="1"/>
  <c r="B1221" i="1"/>
  <c r="B1222" i="1"/>
  <c r="B1223" i="1"/>
  <c r="B1224" i="1"/>
  <c r="B1225" i="1"/>
  <c r="I1218" i="1"/>
  <c r="I1219" i="1"/>
  <c r="I1220" i="1"/>
  <c r="I1221" i="1"/>
  <c r="I1222" i="1"/>
  <c r="I1223" i="1"/>
  <c r="I1224" i="1"/>
  <c r="I1225" i="1"/>
  <c r="J1218" i="1"/>
  <c r="J1219" i="1"/>
  <c r="J1220" i="1"/>
  <c r="J1221" i="1"/>
  <c r="J1222" i="1"/>
  <c r="J1223" i="1"/>
  <c r="J1224" i="1"/>
  <c r="J1225" i="1"/>
  <c r="K1218" i="1"/>
  <c r="K1219" i="1"/>
  <c r="K1220" i="1"/>
  <c r="K1221" i="1"/>
  <c r="K1222" i="1"/>
  <c r="K1223" i="1"/>
  <c r="K1224" i="1"/>
  <c r="K1225" i="1"/>
  <c r="B1217" i="1"/>
  <c r="I1217" i="1"/>
  <c r="J1217" i="1"/>
  <c r="K1217" i="1"/>
  <c r="B1209" i="1"/>
  <c r="B1210" i="1"/>
  <c r="B1211" i="1"/>
  <c r="B1212" i="1"/>
  <c r="B1213" i="1"/>
  <c r="B1214" i="1"/>
  <c r="B1215" i="1"/>
  <c r="B1216" i="1"/>
  <c r="I1209" i="1"/>
  <c r="I1210" i="1"/>
  <c r="I1211" i="1"/>
  <c r="I1212" i="1"/>
  <c r="I1213" i="1"/>
  <c r="I1214" i="1"/>
  <c r="I1215" i="1"/>
  <c r="I1216" i="1"/>
  <c r="J1209" i="1"/>
  <c r="J1210" i="1"/>
  <c r="J1211" i="1"/>
  <c r="J1212" i="1"/>
  <c r="J1213" i="1"/>
  <c r="J1214" i="1"/>
  <c r="J1215" i="1"/>
  <c r="J1216" i="1"/>
  <c r="K1209" i="1"/>
  <c r="K1210" i="1"/>
  <c r="K1211" i="1"/>
  <c r="K1212" i="1"/>
  <c r="K1213" i="1"/>
  <c r="K1214" i="1"/>
  <c r="K1215" i="1"/>
  <c r="K1216" i="1"/>
  <c r="B1208" i="1"/>
  <c r="I1208" i="1"/>
  <c r="J1208" i="1"/>
  <c r="K1208" i="1"/>
  <c r="B1200" i="1"/>
  <c r="B1201" i="1"/>
  <c r="B1202" i="1"/>
  <c r="B1203" i="1"/>
  <c r="B1204" i="1"/>
  <c r="B1205" i="1"/>
  <c r="B1206" i="1"/>
  <c r="B1207" i="1"/>
  <c r="I1200" i="1"/>
  <c r="I1201" i="1"/>
  <c r="I1202" i="1"/>
  <c r="I1203" i="1"/>
  <c r="I1204" i="1"/>
  <c r="I1205" i="1"/>
  <c r="I1206" i="1"/>
  <c r="I1207" i="1"/>
  <c r="J1200" i="1"/>
  <c r="J1201" i="1"/>
  <c r="J1202" i="1"/>
  <c r="J1203" i="1"/>
  <c r="J1204" i="1"/>
  <c r="J1205" i="1"/>
  <c r="J1206" i="1"/>
  <c r="J1207" i="1"/>
  <c r="K1200" i="1"/>
  <c r="K1201" i="1"/>
  <c r="K1202" i="1"/>
  <c r="K1203" i="1"/>
  <c r="K1204" i="1"/>
  <c r="K1205" i="1"/>
  <c r="K1206" i="1"/>
  <c r="K1207" i="1"/>
  <c r="B1199" i="1"/>
  <c r="I1199" i="1"/>
  <c r="J1199" i="1"/>
  <c r="K1199" i="1"/>
  <c r="B1191" i="1"/>
  <c r="B1192" i="1"/>
  <c r="B1193" i="1"/>
  <c r="B1194" i="1"/>
  <c r="B1195" i="1"/>
  <c r="B1196" i="1"/>
  <c r="B1197" i="1"/>
  <c r="B1198" i="1"/>
  <c r="I1191" i="1"/>
  <c r="I1192" i="1"/>
  <c r="I1193" i="1"/>
  <c r="I1194" i="1"/>
  <c r="I1195" i="1"/>
  <c r="I1196" i="1"/>
  <c r="I1197" i="1"/>
  <c r="I1198" i="1"/>
  <c r="J1191" i="1"/>
  <c r="J1192" i="1"/>
  <c r="J1193" i="1"/>
  <c r="J1194" i="1"/>
  <c r="J1195" i="1"/>
  <c r="J1196" i="1"/>
  <c r="J1197" i="1"/>
  <c r="J1198" i="1"/>
  <c r="K1191" i="1"/>
  <c r="K1192" i="1"/>
  <c r="K1193" i="1"/>
  <c r="K1194" i="1"/>
  <c r="K1195" i="1"/>
  <c r="K1196" i="1"/>
  <c r="K1197" i="1"/>
  <c r="K1198" i="1"/>
  <c r="B1190" i="1"/>
  <c r="I1190" i="1"/>
  <c r="J1190" i="1"/>
  <c r="K1190" i="1"/>
  <c r="B1182" i="1"/>
  <c r="B1183" i="1"/>
  <c r="B1184" i="1"/>
  <c r="B1185" i="1"/>
  <c r="B1186" i="1"/>
  <c r="B1187" i="1"/>
  <c r="B1188" i="1"/>
  <c r="B1189" i="1"/>
  <c r="I1182" i="1"/>
  <c r="I1183" i="1"/>
  <c r="I1184" i="1"/>
  <c r="I1185" i="1"/>
  <c r="I1186" i="1"/>
  <c r="I1187" i="1"/>
  <c r="I1188" i="1"/>
  <c r="I1189" i="1"/>
  <c r="J1182" i="1"/>
  <c r="J1183" i="1"/>
  <c r="J1184" i="1"/>
  <c r="J1185" i="1"/>
  <c r="J1186" i="1"/>
  <c r="J1187" i="1"/>
  <c r="J1188" i="1"/>
  <c r="J1189" i="1"/>
  <c r="K1182" i="1"/>
  <c r="K1183" i="1"/>
  <c r="K1184" i="1"/>
  <c r="K1185" i="1"/>
  <c r="K1186" i="1"/>
  <c r="K1187" i="1"/>
  <c r="K1188" i="1"/>
  <c r="K1189" i="1"/>
  <c r="B1181" i="1"/>
  <c r="I1181" i="1"/>
  <c r="J1181" i="1"/>
  <c r="K1181" i="1"/>
  <c r="B1173" i="1"/>
  <c r="B1174" i="1"/>
  <c r="B1175" i="1"/>
  <c r="B1176" i="1"/>
  <c r="B1177" i="1"/>
  <c r="B1178" i="1"/>
  <c r="B1179" i="1"/>
  <c r="B1180" i="1"/>
  <c r="I1173" i="1"/>
  <c r="I1174" i="1"/>
  <c r="I1175" i="1"/>
  <c r="I1176" i="1"/>
  <c r="I1177" i="1"/>
  <c r="I1178" i="1"/>
  <c r="I1179" i="1"/>
  <c r="I1180" i="1"/>
  <c r="J1173" i="1"/>
  <c r="J1174" i="1"/>
  <c r="J1175" i="1"/>
  <c r="J1176" i="1"/>
  <c r="J1177" i="1"/>
  <c r="J1178" i="1"/>
  <c r="J1179" i="1"/>
  <c r="J1180" i="1"/>
  <c r="K1173" i="1"/>
  <c r="K1174" i="1"/>
  <c r="K1175" i="1"/>
  <c r="K1176" i="1"/>
  <c r="K1177" i="1"/>
  <c r="K1178" i="1"/>
  <c r="K1179" i="1"/>
  <c r="K1180" i="1"/>
  <c r="B1172" i="1"/>
  <c r="I1172" i="1"/>
  <c r="J1172" i="1"/>
  <c r="K1172" i="1"/>
  <c r="B1164" i="1"/>
  <c r="B1165" i="1"/>
  <c r="B1166" i="1"/>
  <c r="B1167" i="1"/>
  <c r="B1168" i="1"/>
  <c r="B1169" i="1"/>
  <c r="B1170" i="1"/>
  <c r="B1171" i="1"/>
  <c r="I1164" i="1"/>
  <c r="I1165" i="1"/>
  <c r="I1166" i="1"/>
  <c r="I1167" i="1"/>
  <c r="I1168" i="1"/>
  <c r="I1169" i="1"/>
  <c r="I1170" i="1"/>
  <c r="I1171" i="1"/>
  <c r="J1164" i="1"/>
  <c r="J1165" i="1"/>
  <c r="J1166" i="1"/>
  <c r="J1167" i="1"/>
  <c r="J1168" i="1"/>
  <c r="J1169" i="1"/>
  <c r="J1170" i="1"/>
  <c r="J1171" i="1"/>
  <c r="K1164" i="1"/>
  <c r="K1165" i="1"/>
  <c r="K1166" i="1"/>
  <c r="K1167" i="1"/>
  <c r="K1168" i="1"/>
  <c r="K1169" i="1"/>
  <c r="K1170" i="1"/>
  <c r="K1171" i="1"/>
  <c r="B1163" i="1"/>
  <c r="I1163" i="1"/>
  <c r="J1163" i="1"/>
  <c r="K1163" i="1"/>
  <c r="B1155" i="1"/>
  <c r="B1156" i="1"/>
  <c r="B1157" i="1"/>
  <c r="B1158" i="1"/>
  <c r="B1159" i="1"/>
  <c r="B1160" i="1"/>
  <c r="B1161" i="1"/>
  <c r="B1162" i="1"/>
  <c r="I1155" i="1"/>
  <c r="I1156" i="1"/>
  <c r="I1157" i="1"/>
  <c r="I1158" i="1"/>
  <c r="I1159" i="1"/>
  <c r="I1160" i="1"/>
  <c r="I1161" i="1"/>
  <c r="I1162" i="1"/>
  <c r="J1155" i="1"/>
  <c r="J1156" i="1"/>
  <c r="J1157" i="1"/>
  <c r="J1158" i="1"/>
  <c r="J1159" i="1"/>
  <c r="J1160" i="1"/>
  <c r="J1161" i="1"/>
  <c r="J1162" i="1"/>
  <c r="K1155" i="1"/>
  <c r="K1156" i="1"/>
  <c r="K1157" i="1"/>
  <c r="K1158" i="1"/>
  <c r="K1159" i="1"/>
  <c r="K1160" i="1"/>
  <c r="K1161" i="1"/>
  <c r="K1162" i="1"/>
  <c r="B1154" i="1"/>
  <c r="I1154" i="1"/>
  <c r="J1154" i="1"/>
  <c r="K1154" i="1"/>
  <c r="B1146" i="1"/>
  <c r="B1147" i="1"/>
  <c r="B1148" i="1"/>
  <c r="B1149" i="1"/>
  <c r="B1150" i="1"/>
  <c r="B1151" i="1"/>
  <c r="B1152" i="1"/>
  <c r="B1153" i="1"/>
  <c r="I1146" i="1"/>
  <c r="I1147" i="1"/>
  <c r="I1148" i="1"/>
  <c r="I1149" i="1"/>
  <c r="I1150" i="1"/>
  <c r="I1151" i="1"/>
  <c r="I1152" i="1"/>
  <c r="I1153" i="1"/>
  <c r="J1146" i="1"/>
  <c r="J1147" i="1"/>
  <c r="J1148" i="1"/>
  <c r="J1149" i="1"/>
  <c r="J1150" i="1"/>
  <c r="J1151" i="1"/>
  <c r="J1152" i="1"/>
  <c r="J1153" i="1"/>
  <c r="K1146" i="1"/>
  <c r="K1147" i="1"/>
  <c r="K1148" i="1"/>
  <c r="K1149" i="1"/>
  <c r="K1150" i="1"/>
  <c r="K1151" i="1"/>
  <c r="K1152" i="1"/>
  <c r="K1153" i="1"/>
  <c r="B1145" i="1"/>
  <c r="I1145" i="1"/>
  <c r="J1145" i="1"/>
  <c r="K1145" i="1"/>
  <c r="B1137" i="1"/>
  <c r="B1138" i="1"/>
  <c r="B1139" i="1"/>
  <c r="B1140" i="1"/>
  <c r="B1141" i="1"/>
  <c r="B1142" i="1"/>
  <c r="B1143" i="1"/>
  <c r="B1144" i="1"/>
  <c r="I1137" i="1"/>
  <c r="I1138" i="1"/>
  <c r="I1139" i="1"/>
  <c r="I1140" i="1"/>
  <c r="I1141" i="1"/>
  <c r="I1142" i="1"/>
  <c r="I1143" i="1"/>
  <c r="I1144" i="1"/>
  <c r="J1137" i="1"/>
  <c r="J1138" i="1"/>
  <c r="J1139" i="1"/>
  <c r="J1140" i="1"/>
  <c r="J1141" i="1"/>
  <c r="J1142" i="1"/>
  <c r="J1143" i="1"/>
  <c r="J1144" i="1"/>
  <c r="K1137" i="1"/>
  <c r="K1138" i="1"/>
  <c r="K1139" i="1"/>
  <c r="K1140" i="1"/>
  <c r="K1141" i="1"/>
  <c r="K1142" i="1"/>
  <c r="K1143" i="1"/>
  <c r="K1144" i="1"/>
  <c r="B1136" i="1"/>
  <c r="I1136" i="1"/>
  <c r="J1136" i="1"/>
  <c r="K1136" i="1"/>
  <c r="B1128" i="1"/>
  <c r="B1129" i="1"/>
  <c r="B1130" i="1"/>
  <c r="B1131" i="1"/>
  <c r="B1132" i="1"/>
  <c r="B1133" i="1"/>
  <c r="B1134" i="1"/>
  <c r="B1135" i="1"/>
  <c r="I1128" i="1"/>
  <c r="I1129" i="1"/>
  <c r="I1130" i="1"/>
  <c r="I1131" i="1"/>
  <c r="I1132" i="1"/>
  <c r="I1133" i="1"/>
  <c r="I1134" i="1"/>
  <c r="I1135" i="1"/>
  <c r="J1128" i="1"/>
  <c r="J1129" i="1"/>
  <c r="J1130" i="1"/>
  <c r="J1131" i="1"/>
  <c r="J1132" i="1"/>
  <c r="J1133" i="1"/>
  <c r="J1134" i="1"/>
  <c r="J1135" i="1"/>
  <c r="K1128" i="1"/>
  <c r="K1129" i="1"/>
  <c r="K1130" i="1"/>
  <c r="K1131" i="1"/>
  <c r="K1132" i="1"/>
  <c r="K1133" i="1"/>
  <c r="K1134" i="1"/>
  <c r="K1135" i="1"/>
  <c r="B1127" i="1"/>
  <c r="I1127" i="1"/>
  <c r="J1127" i="1"/>
  <c r="K1127" i="1"/>
  <c r="B1119" i="1"/>
  <c r="B1120" i="1"/>
  <c r="B1121" i="1"/>
  <c r="B1122" i="1"/>
  <c r="B1123" i="1"/>
  <c r="B1124" i="1"/>
  <c r="B1125" i="1"/>
  <c r="B1126" i="1"/>
  <c r="I1119" i="1"/>
  <c r="I1120" i="1"/>
  <c r="I1121" i="1"/>
  <c r="I1122" i="1"/>
  <c r="I1123" i="1"/>
  <c r="I1124" i="1"/>
  <c r="I1125" i="1"/>
  <c r="I1126" i="1"/>
  <c r="J1119" i="1"/>
  <c r="J1120" i="1"/>
  <c r="J1121" i="1"/>
  <c r="J1122" i="1"/>
  <c r="J1123" i="1"/>
  <c r="J1124" i="1"/>
  <c r="J1125" i="1"/>
  <c r="J1126" i="1"/>
  <c r="K1119" i="1"/>
  <c r="K1120" i="1"/>
  <c r="K1121" i="1"/>
  <c r="K1122" i="1"/>
  <c r="K1123" i="1"/>
  <c r="K1124" i="1"/>
  <c r="K1125" i="1"/>
  <c r="K1126" i="1"/>
  <c r="B1118" i="1"/>
  <c r="I1118" i="1"/>
  <c r="J1118" i="1"/>
  <c r="K1118" i="1"/>
  <c r="B1110" i="1"/>
  <c r="B1111" i="1"/>
  <c r="B1112" i="1"/>
  <c r="B1113" i="1"/>
  <c r="B1114" i="1"/>
  <c r="B1115" i="1"/>
  <c r="B1116" i="1"/>
  <c r="B1117" i="1"/>
  <c r="I1110" i="1"/>
  <c r="I1111" i="1"/>
  <c r="I1112" i="1"/>
  <c r="I1113" i="1"/>
  <c r="I1114" i="1"/>
  <c r="I1115" i="1"/>
  <c r="I1116" i="1"/>
  <c r="I1117" i="1"/>
  <c r="J1110" i="1"/>
  <c r="J1111" i="1"/>
  <c r="J1112" i="1"/>
  <c r="J1113" i="1"/>
  <c r="J1114" i="1"/>
  <c r="J1115" i="1"/>
  <c r="J1116" i="1"/>
  <c r="J1117" i="1"/>
  <c r="K1110" i="1"/>
  <c r="K1111" i="1"/>
  <c r="K1112" i="1"/>
  <c r="K1113" i="1"/>
  <c r="K1114" i="1"/>
  <c r="K1115" i="1"/>
  <c r="K1116" i="1"/>
  <c r="K1117" i="1"/>
  <c r="B1109" i="1"/>
  <c r="I1109" i="1"/>
  <c r="J1109" i="1"/>
  <c r="K1109" i="1"/>
  <c r="B1101" i="1"/>
  <c r="B1102" i="1"/>
  <c r="B1103" i="1"/>
  <c r="B1104" i="1"/>
  <c r="B1105" i="1"/>
  <c r="B1106" i="1"/>
  <c r="B1107" i="1"/>
  <c r="B1108" i="1"/>
  <c r="I1101" i="1"/>
  <c r="I1102" i="1"/>
  <c r="I1103" i="1"/>
  <c r="I1104" i="1"/>
  <c r="I1105" i="1"/>
  <c r="I1106" i="1"/>
  <c r="I1107" i="1"/>
  <c r="I1108" i="1"/>
  <c r="J1101" i="1"/>
  <c r="J1102" i="1"/>
  <c r="J1103" i="1"/>
  <c r="J1104" i="1"/>
  <c r="J1105" i="1"/>
  <c r="J1106" i="1"/>
  <c r="J1107" i="1"/>
  <c r="J1108" i="1"/>
  <c r="K1101" i="1"/>
  <c r="K1102" i="1"/>
  <c r="K1103" i="1"/>
  <c r="K1104" i="1"/>
  <c r="K1105" i="1"/>
  <c r="K1106" i="1"/>
  <c r="K1107" i="1"/>
  <c r="K1108" i="1"/>
  <c r="B1100" i="1"/>
  <c r="I1100" i="1"/>
  <c r="J1100" i="1"/>
  <c r="K1100" i="1"/>
  <c r="B1092" i="1"/>
  <c r="B1093" i="1"/>
  <c r="B1094" i="1"/>
  <c r="B1095" i="1"/>
  <c r="B1096" i="1"/>
  <c r="B1097" i="1"/>
  <c r="B1098" i="1"/>
  <c r="B1099" i="1"/>
  <c r="I1092" i="1"/>
  <c r="I1093" i="1"/>
  <c r="I1094" i="1"/>
  <c r="I1095" i="1"/>
  <c r="I1096" i="1"/>
  <c r="I1097" i="1"/>
  <c r="I1098" i="1"/>
  <c r="I1099" i="1"/>
  <c r="J1092" i="1"/>
  <c r="J1093" i="1"/>
  <c r="J1094" i="1"/>
  <c r="J1095" i="1"/>
  <c r="J1096" i="1"/>
  <c r="J1097" i="1"/>
  <c r="J1098" i="1"/>
  <c r="J1099" i="1"/>
  <c r="K1092" i="1"/>
  <c r="K1093" i="1"/>
  <c r="K1094" i="1"/>
  <c r="K1095" i="1"/>
  <c r="K1096" i="1"/>
  <c r="K1097" i="1"/>
  <c r="K1098" i="1"/>
  <c r="K1099" i="1"/>
  <c r="B1091" i="1"/>
  <c r="I1091" i="1"/>
  <c r="J1091" i="1"/>
  <c r="K1091" i="1"/>
  <c r="B1083" i="1"/>
  <c r="B1084" i="1"/>
  <c r="B1085" i="1"/>
  <c r="B1086" i="1"/>
  <c r="B1087" i="1"/>
  <c r="B1088" i="1"/>
  <c r="B1089" i="1"/>
  <c r="B1090" i="1"/>
  <c r="I1083" i="1"/>
  <c r="I1084" i="1"/>
  <c r="I1085" i="1"/>
  <c r="I1086" i="1"/>
  <c r="I1087" i="1"/>
  <c r="I1088" i="1"/>
  <c r="I1089" i="1"/>
  <c r="I1090" i="1"/>
  <c r="J1083" i="1"/>
  <c r="J1084" i="1"/>
  <c r="J1085" i="1"/>
  <c r="J1086" i="1"/>
  <c r="J1087" i="1"/>
  <c r="J1088" i="1"/>
  <c r="J1089" i="1"/>
  <c r="J1090" i="1"/>
  <c r="K1083" i="1"/>
  <c r="K1084" i="1"/>
  <c r="K1085" i="1"/>
  <c r="K1086" i="1"/>
  <c r="K1087" i="1"/>
  <c r="K1088" i="1"/>
  <c r="K1089" i="1"/>
  <c r="K1090" i="1"/>
  <c r="B1082" i="1"/>
  <c r="I1082" i="1"/>
  <c r="J1082" i="1"/>
  <c r="K1082" i="1"/>
  <c r="G6" i="3"/>
  <c r="G5" i="3"/>
  <c r="B1074" i="1"/>
  <c r="B1075" i="1"/>
  <c r="B1076" i="1"/>
  <c r="B1077" i="1"/>
  <c r="B1078" i="1"/>
  <c r="B1079" i="1"/>
  <c r="B1080" i="1"/>
  <c r="B1081" i="1"/>
  <c r="I1074" i="1"/>
  <c r="I1075" i="1"/>
  <c r="I1076" i="1"/>
  <c r="I1077" i="1"/>
  <c r="I1078" i="1"/>
  <c r="I1079" i="1"/>
  <c r="I1080" i="1"/>
  <c r="I1081" i="1"/>
  <c r="J1074" i="1"/>
  <c r="J1075" i="1"/>
  <c r="J1076" i="1"/>
  <c r="J1077" i="1"/>
  <c r="J1078" i="1"/>
  <c r="J1079" i="1"/>
  <c r="J1080" i="1"/>
  <c r="J1081" i="1"/>
  <c r="K1074" i="1"/>
  <c r="K1075" i="1"/>
  <c r="K1076" i="1"/>
  <c r="K1077" i="1"/>
  <c r="K1078" i="1"/>
  <c r="K1079" i="1"/>
  <c r="K1080" i="1"/>
  <c r="K1081" i="1"/>
  <c r="B1073" i="1"/>
  <c r="I1073" i="1"/>
  <c r="J1073" i="1"/>
  <c r="K1073" i="1"/>
  <c r="B1065" i="1"/>
  <c r="B1066" i="1"/>
  <c r="B1067" i="1"/>
  <c r="B1068" i="1"/>
  <c r="B1069" i="1"/>
  <c r="B1070" i="1"/>
  <c r="B1071" i="1"/>
  <c r="B1072" i="1"/>
  <c r="I1065" i="1"/>
  <c r="I1066" i="1"/>
  <c r="I1067" i="1"/>
  <c r="I1068" i="1"/>
  <c r="I1069" i="1"/>
  <c r="I1070" i="1"/>
  <c r="I1071" i="1"/>
  <c r="I1072" i="1"/>
  <c r="J1065" i="1"/>
  <c r="J1066" i="1"/>
  <c r="J1067" i="1"/>
  <c r="J1068" i="1"/>
  <c r="J1069" i="1"/>
  <c r="J1070" i="1"/>
  <c r="J1071" i="1"/>
  <c r="J1072" i="1"/>
  <c r="K1065" i="1"/>
  <c r="K1066" i="1"/>
  <c r="K1067" i="1"/>
  <c r="K1068" i="1"/>
  <c r="K1069" i="1"/>
  <c r="K1070" i="1"/>
  <c r="K1071" i="1"/>
  <c r="K1072" i="1"/>
  <c r="B1064" i="1"/>
  <c r="I1064" i="1"/>
  <c r="J1064" i="1"/>
  <c r="K1064" i="1"/>
  <c r="B1056" i="1"/>
  <c r="B1057" i="1"/>
  <c r="B1058" i="1"/>
  <c r="B1059" i="1"/>
  <c r="B1060" i="1"/>
  <c r="B1061" i="1"/>
  <c r="B1062" i="1"/>
  <c r="B1063" i="1"/>
  <c r="I1056" i="1"/>
  <c r="I1057" i="1"/>
  <c r="I1058" i="1"/>
  <c r="I1059" i="1"/>
  <c r="I1060" i="1"/>
  <c r="I1061" i="1"/>
  <c r="I1062" i="1"/>
  <c r="I1063" i="1"/>
  <c r="J1056" i="1"/>
  <c r="J1057" i="1"/>
  <c r="J1058" i="1"/>
  <c r="J1059" i="1"/>
  <c r="J1060" i="1"/>
  <c r="J1061" i="1"/>
  <c r="J1062" i="1"/>
  <c r="J1063" i="1"/>
  <c r="K1056" i="1"/>
  <c r="K1057" i="1"/>
  <c r="K1058" i="1"/>
  <c r="K1059" i="1"/>
  <c r="K1060" i="1"/>
  <c r="K1061" i="1"/>
  <c r="K1062" i="1"/>
  <c r="K1063" i="1"/>
  <c r="B1055" i="1"/>
  <c r="I1055" i="1"/>
  <c r="J1055" i="1"/>
  <c r="K1055" i="1"/>
  <c r="B1047" i="1"/>
  <c r="B1048" i="1"/>
  <c r="B1049" i="1"/>
  <c r="B1050" i="1"/>
  <c r="B1051" i="1"/>
  <c r="B1052" i="1"/>
  <c r="B1053" i="1"/>
  <c r="B1054" i="1"/>
  <c r="I1047" i="1"/>
  <c r="I1048" i="1"/>
  <c r="I1049" i="1"/>
  <c r="I1050" i="1"/>
  <c r="I1051" i="1"/>
  <c r="I1052" i="1"/>
  <c r="I1053" i="1"/>
  <c r="I1054" i="1"/>
  <c r="J1047" i="1"/>
  <c r="J1048" i="1"/>
  <c r="J1049" i="1"/>
  <c r="J1050" i="1"/>
  <c r="J1051" i="1"/>
  <c r="J1052" i="1"/>
  <c r="J1053" i="1"/>
  <c r="J1054" i="1"/>
  <c r="K1047" i="1"/>
  <c r="K1048" i="1"/>
  <c r="K1049" i="1"/>
  <c r="K1050" i="1"/>
  <c r="K1051" i="1"/>
  <c r="K1052" i="1"/>
  <c r="K1053" i="1"/>
  <c r="K1054" i="1"/>
  <c r="B1046" i="1"/>
  <c r="I1046" i="1"/>
  <c r="J1046" i="1"/>
  <c r="K1046" i="1"/>
  <c r="B1038" i="1"/>
  <c r="B1039" i="1"/>
  <c r="B1040" i="1"/>
  <c r="B1041" i="1"/>
  <c r="B1042" i="1"/>
  <c r="B1043" i="1"/>
  <c r="B1044" i="1"/>
  <c r="B1045" i="1"/>
  <c r="I1038" i="1"/>
  <c r="I1039" i="1"/>
  <c r="I1040" i="1"/>
  <c r="I1041" i="1"/>
  <c r="I1042" i="1"/>
  <c r="I1043" i="1"/>
  <c r="I1044" i="1"/>
  <c r="I1045" i="1"/>
  <c r="J1038" i="1"/>
  <c r="J1039" i="1"/>
  <c r="J1040" i="1"/>
  <c r="J1041" i="1"/>
  <c r="J1042" i="1"/>
  <c r="J1043" i="1"/>
  <c r="J1044" i="1"/>
  <c r="J1045" i="1"/>
  <c r="K1038" i="1"/>
  <c r="K1039" i="1"/>
  <c r="K1040" i="1"/>
  <c r="K1041" i="1"/>
  <c r="K1042" i="1"/>
  <c r="K1043" i="1"/>
  <c r="K1044" i="1"/>
  <c r="K1045" i="1"/>
  <c r="B1037" i="1"/>
  <c r="I1037" i="1"/>
  <c r="J1037" i="1"/>
  <c r="K1037" i="1"/>
  <c r="B1029" i="1"/>
  <c r="B1030" i="1"/>
  <c r="B1031" i="1"/>
  <c r="B1032" i="1"/>
  <c r="B1033" i="1"/>
  <c r="B1034" i="1"/>
  <c r="B1035" i="1"/>
  <c r="B1036" i="1"/>
  <c r="I1029" i="1"/>
  <c r="I1030" i="1"/>
  <c r="I1031" i="1"/>
  <c r="I1032" i="1"/>
  <c r="I1033" i="1"/>
  <c r="I1034" i="1"/>
  <c r="I1035" i="1"/>
  <c r="I1036" i="1"/>
  <c r="J1029" i="1"/>
  <c r="J1030" i="1"/>
  <c r="J1031" i="1"/>
  <c r="J1032" i="1"/>
  <c r="J1033" i="1"/>
  <c r="J1034" i="1"/>
  <c r="J1035" i="1"/>
  <c r="J1036" i="1"/>
  <c r="K1029" i="1"/>
  <c r="K1030" i="1"/>
  <c r="K1031" i="1"/>
  <c r="K1032" i="1"/>
  <c r="K1033" i="1"/>
  <c r="K1034" i="1"/>
  <c r="K1035" i="1"/>
  <c r="K1036" i="1"/>
  <c r="B1028" i="1"/>
  <c r="I1028" i="1"/>
  <c r="J1028" i="1"/>
  <c r="K1028" i="1"/>
  <c r="B1020" i="1"/>
  <c r="B1021" i="1"/>
  <c r="B1022" i="1"/>
  <c r="B1023" i="1"/>
  <c r="B1024" i="1"/>
  <c r="B1025" i="1"/>
  <c r="B1026" i="1"/>
  <c r="B1027" i="1"/>
  <c r="I1020" i="1"/>
  <c r="I1021" i="1"/>
  <c r="I1022" i="1"/>
  <c r="I1023" i="1"/>
  <c r="I1024" i="1"/>
  <c r="I1025" i="1"/>
  <c r="I1026" i="1"/>
  <c r="I1027" i="1"/>
  <c r="J1020" i="1"/>
  <c r="J1021" i="1"/>
  <c r="J1022" i="1"/>
  <c r="J1023" i="1"/>
  <c r="J1024" i="1"/>
  <c r="J1025" i="1"/>
  <c r="J1026" i="1"/>
  <c r="J1027" i="1"/>
  <c r="K1020" i="1"/>
  <c r="K1021" i="1"/>
  <c r="K1022" i="1"/>
  <c r="K1023" i="1"/>
  <c r="K1024" i="1"/>
  <c r="K1025" i="1"/>
  <c r="K1026" i="1"/>
  <c r="K1027" i="1"/>
  <c r="B1019" i="1"/>
  <c r="I1019" i="1"/>
  <c r="J1019" i="1"/>
  <c r="K1019" i="1"/>
  <c r="B1011" i="1"/>
  <c r="B1012" i="1"/>
  <c r="B1013" i="1"/>
  <c r="B1014" i="1"/>
  <c r="B1015" i="1"/>
  <c r="B1016" i="1"/>
  <c r="B1017" i="1"/>
  <c r="B1018" i="1"/>
  <c r="I1011" i="1"/>
  <c r="I1012" i="1"/>
  <c r="I1013" i="1"/>
  <c r="I1014" i="1"/>
  <c r="I1015" i="1"/>
  <c r="I1016" i="1"/>
  <c r="I1017" i="1"/>
  <c r="I1018" i="1"/>
  <c r="J1011" i="1"/>
  <c r="J1012" i="1"/>
  <c r="J1013" i="1"/>
  <c r="J1014" i="1"/>
  <c r="J1015" i="1"/>
  <c r="J1016" i="1"/>
  <c r="J1017" i="1"/>
  <c r="J1018" i="1"/>
  <c r="K1011" i="1"/>
  <c r="K1012" i="1"/>
  <c r="K1013" i="1"/>
  <c r="K1014" i="1"/>
  <c r="K1015" i="1"/>
  <c r="K1016" i="1"/>
  <c r="K1017" i="1"/>
  <c r="K1018" i="1"/>
  <c r="B1010" i="1"/>
  <c r="I1010" i="1"/>
  <c r="J1010" i="1"/>
  <c r="K1010" i="1"/>
  <c r="B1002" i="1"/>
  <c r="B1003" i="1"/>
  <c r="B1004" i="1"/>
  <c r="B1005" i="1"/>
  <c r="B1006" i="1"/>
  <c r="B1007" i="1"/>
  <c r="B1008" i="1"/>
  <c r="B1009" i="1"/>
  <c r="I1002" i="1"/>
  <c r="I1003" i="1"/>
  <c r="I1004" i="1"/>
  <c r="I1005" i="1"/>
  <c r="I1006" i="1"/>
  <c r="I1007" i="1"/>
  <c r="I1008" i="1"/>
  <c r="I1009" i="1"/>
  <c r="J1002" i="1"/>
  <c r="J1003" i="1"/>
  <c r="J1004" i="1"/>
  <c r="J1005" i="1"/>
  <c r="J1006" i="1"/>
  <c r="J1007" i="1"/>
  <c r="J1008" i="1"/>
  <c r="J1009" i="1"/>
  <c r="K1002" i="1"/>
  <c r="K1003" i="1"/>
  <c r="K1004" i="1"/>
  <c r="K1005" i="1"/>
  <c r="K1006" i="1"/>
  <c r="K1007" i="1"/>
  <c r="K1008" i="1"/>
  <c r="K1009" i="1"/>
  <c r="B1001" i="1"/>
  <c r="I1001" i="1"/>
  <c r="J1001" i="1"/>
  <c r="K1001" i="1"/>
  <c r="B993" i="1"/>
  <c r="B994" i="1"/>
  <c r="B995" i="1"/>
  <c r="B996" i="1"/>
  <c r="B997" i="1"/>
  <c r="B998" i="1"/>
  <c r="B999" i="1"/>
  <c r="B1000" i="1"/>
  <c r="I993" i="1"/>
  <c r="I994" i="1"/>
  <c r="I995" i="1"/>
  <c r="I996" i="1"/>
  <c r="I997" i="1"/>
  <c r="I998" i="1"/>
  <c r="I999" i="1"/>
  <c r="I1000" i="1"/>
  <c r="J993" i="1"/>
  <c r="J994" i="1"/>
  <c r="J995" i="1"/>
  <c r="J996" i="1"/>
  <c r="J997" i="1"/>
  <c r="J998" i="1"/>
  <c r="J999" i="1"/>
  <c r="J1000" i="1"/>
  <c r="K993" i="1"/>
  <c r="K994" i="1"/>
  <c r="K995" i="1"/>
  <c r="K996" i="1"/>
  <c r="K997" i="1"/>
  <c r="K998" i="1"/>
  <c r="K999" i="1"/>
  <c r="K1000" i="1"/>
  <c r="B992" i="1"/>
  <c r="I992" i="1"/>
  <c r="J992" i="1"/>
  <c r="K992" i="1"/>
  <c r="B984" i="1"/>
  <c r="B985" i="1"/>
  <c r="B986" i="1"/>
  <c r="B987" i="1"/>
  <c r="B988" i="1"/>
  <c r="B989" i="1"/>
  <c r="B990" i="1"/>
  <c r="B991" i="1"/>
  <c r="I984" i="1"/>
  <c r="I985" i="1"/>
  <c r="I986" i="1"/>
  <c r="I987" i="1"/>
  <c r="I988" i="1"/>
  <c r="I989" i="1"/>
  <c r="I990" i="1"/>
  <c r="I991" i="1"/>
  <c r="J984" i="1"/>
  <c r="J985" i="1"/>
  <c r="J986" i="1"/>
  <c r="J987" i="1"/>
  <c r="J988" i="1"/>
  <c r="J989" i="1"/>
  <c r="J990" i="1"/>
  <c r="J991" i="1"/>
  <c r="K984" i="1"/>
  <c r="K985" i="1"/>
  <c r="K986" i="1"/>
  <c r="K987" i="1"/>
  <c r="K988" i="1"/>
  <c r="K989" i="1"/>
  <c r="K990" i="1"/>
  <c r="K991" i="1"/>
  <c r="B983" i="1"/>
  <c r="I983" i="1"/>
  <c r="J983" i="1"/>
  <c r="K983" i="1"/>
  <c r="B975" i="1"/>
  <c r="B976" i="1"/>
  <c r="B977" i="1"/>
  <c r="B978" i="1"/>
  <c r="B979" i="1"/>
  <c r="B980" i="1"/>
  <c r="B981" i="1"/>
  <c r="B982" i="1"/>
  <c r="I975" i="1"/>
  <c r="I976" i="1"/>
  <c r="I977" i="1"/>
  <c r="I978" i="1"/>
  <c r="I979" i="1"/>
  <c r="I980" i="1"/>
  <c r="I981" i="1"/>
  <c r="I982" i="1"/>
  <c r="J975" i="1"/>
  <c r="J976" i="1"/>
  <c r="J977" i="1"/>
  <c r="J978" i="1"/>
  <c r="J979" i="1"/>
  <c r="J980" i="1"/>
  <c r="J981" i="1"/>
  <c r="J982" i="1"/>
  <c r="K975" i="1"/>
  <c r="K976" i="1"/>
  <c r="K977" i="1"/>
  <c r="K978" i="1"/>
  <c r="K979" i="1"/>
  <c r="K980" i="1"/>
  <c r="K981" i="1"/>
  <c r="K982" i="1"/>
  <c r="B974" i="1"/>
  <c r="I974" i="1"/>
  <c r="J974" i="1"/>
  <c r="K974" i="1"/>
  <c r="B966" i="1"/>
  <c r="B967" i="1"/>
  <c r="B968" i="1"/>
  <c r="B969" i="1"/>
  <c r="B970" i="1"/>
  <c r="B971" i="1"/>
  <c r="B972" i="1"/>
  <c r="B973" i="1"/>
  <c r="I966" i="1"/>
  <c r="I967" i="1"/>
  <c r="I968" i="1"/>
  <c r="I969" i="1"/>
  <c r="I970" i="1"/>
  <c r="I971" i="1"/>
  <c r="I972" i="1"/>
  <c r="I973" i="1"/>
  <c r="J966" i="1"/>
  <c r="J967" i="1"/>
  <c r="J968" i="1"/>
  <c r="J969" i="1"/>
  <c r="J970" i="1"/>
  <c r="J971" i="1"/>
  <c r="J972" i="1"/>
  <c r="J973" i="1"/>
  <c r="K966" i="1"/>
  <c r="K967" i="1"/>
  <c r="K968" i="1"/>
  <c r="K969" i="1"/>
  <c r="K970" i="1"/>
  <c r="K971" i="1"/>
  <c r="K972" i="1"/>
  <c r="K973" i="1"/>
  <c r="B965" i="1"/>
  <c r="I965" i="1"/>
  <c r="J965" i="1"/>
  <c r="K965" i="1"/>
  <c r="B957" i="1"/>
  <c r="B958" i="1"/>
  <c r="B959" i="1"/>
  <c r="B960" i="1"/>
  <c r="B961" i="1"/>
  <c r="B962" i="1"/>
  <c r="B963" i="1"/>
  <c r="B964" i="1"/>
  <c r="I957" i="1"/>
  <c r="I958" i="1"/>
  <c r="I959" i="1"/>
  <c r="I960" i="1"/>
  <c r="I961" i="1"/>
  <c r="I962" i="1"/>
  <c r="I963" i="1"/>
  <c r="I964" i="1"/>
  <c r="J957" i="1"/>
  <c r="J958" i="1"/>
  <c r="J959" i="1"/>
  <c r="J960" i="1"/>
  <c r="J961" i="1"/>
  <c r="J962" i="1"/>
  <c r="J963" i="1"/>
  <c r="J964" i="1"/>
  <c r="K957" i="1"/>
  <c r="K958" i="1"/>
  <c r="K959" i="1"/>
  <c r="K960" i="1"/>
  <c r="K961" i="1"/>
  <c r="K962" i="1"/>
  <c r="K963" i="1"/>
  <c r="K964" i="1"/>
  <c r="B956" i="1"/>
  <c r="I956" i="1"/>
  <c r="J956" i="1"/>
  <c r="K956" i="1"/>
  <c r="B948" i="1"/>
  <c r="B949" i="1"/>
  <c r="B950" i="1"/>
  <c r="B951" i="1"/>
  <c r="B952" i="1"/>
  <c r="B953" i="1"/>
  <c r="B954" i="1"/>
  <c r="B955" i="1"/>
  <c r="I948" i="1"/>
  <c r="I949" i="1"/>
  <c r="I950" i="1"/>
  <c r="I951" i="1"/>
  <c r="I952" i="1"/>
  <c r="I953" i="1"/>
  <c r="I954" i="1"/>
  <c r="I955" i="1"/>
  <c r="J948" i="1"/>
  <c r="J949" i="1"/>
  <c r="J950" i="1"/>
  <c r="J951" i="1"/>
  <c r="J952" i="1"/>
  <c r="J953" i="1"/>
  <c r="J954" i="1"/>
  <c r="J955" i="1"/>
  <c r="K948" i="1"/>
  <c r="K949" i="1"/>
  <c r="K950" i="1"/>
  <c r="K951" i="1"/>
  <c r="K952" i="1"/>
  <c r="K953" i="1"/>
  <c r="K954" i="1"/>
  <c r="K955" i="1"/>
  <c r="B947" i="1"/>
  <c r="I947" i="1"/>
  <c r="J947" i="1"/>
  <c r="K947" i="1"/>
  <c r="B939" i="1"/>
  <c r="B940" i="1"/>
  <c r="B941" i="1"/>
  <c r="B942" i="1"/>
  <c r="B943" i="1"/>
  <c r="B944" i="1"/>
  <c r="B945" i="1"/>
  <c r="B946" i="1"/>
  <c r="I939" i="1"/>
  <c r="I940" i="1"/>
  <c r="I941" i="1"/>
  <c r="I942" i="1"/>
  <c r="I943" i="1"/>
  <c r="I944" i="1"/>
  <c r="I945" i="1"/>
  <c r="I946" i="1"/>
  <c r="J939" i="1"/>
  <c r="J940" i="1"/>
  <c r="J941" i="1"/>
  <c r="J942" i="1"/>
  <c r="J943" i="1"/>
  <c r="J944" i="1"/>
  <c r="J945" i="1"/>
  <c r="J946" i="1"/>
  <c r="K939" i="1"/>
  <c r="K940" i="1"/>
  <c r="K941" i="1"/>
  <c r="K942" i="1"/>
  <c r="K943" i="1"/>
  <c r="K944" i="1"/>
  <c r="K945" i="1"/>
  <c r="K946" i="1"/>
  <c r="B938" i="1"/>
  <c r="I938" i="1"/>
  <c r="J938" i="1"/>
  <c r="K938" i="1"/>
  <c r="B930" i="1"/>
  <c r="B931" i="1"/>
  <c r="B932" i="1"/>
  <c r="B933" i="1"/>
  <c r="B934" i="1"/>
  <c r="B935" i="1"/>
  <c r="B936" i="1"/>
  <c r="B937" i="1"/>
  <c r="I930" i="1"/>
  <c r="I931" i="1"/>
  <c r="I932" i="1"/>
  <c r="I933" i="1"/>
  <c r="I934" i="1"/>
  <c r="I935" i="1"/>
  <c r="I936" i="1"/>
  <c r="I937" i="1"/>
  <c r="J930" i="1"/>
  <c r="J931" i="1"/>
  <c r="J932" i="1"/>
  <c r="J933" i="1"/>
  <c r="J934" i="1"/>
  <c r="J935" i="1"/>
  <c r="J936" i="1"/>
  <c r="J937" i="1"/>
  <c r="K930" i="1"/>
  <c r="K931" i="1"/>
  <c r="K932" i="1"/>
  <c r="K933" i="1"/>
  <c r="K934" i="1"/>
  <c r="K935" i="1"/>
  <c r="K936" i="1"/>
  <c r="K937" i="1"/>
  <c r="B929" i="1"/>
  <c r="I929" i="1"/>
  <c r="J929" i="1"/>
  <c r="K929" i="1"/>
  <c r="B921" i="1"/>
  <c r="B922" i="1"/>
  <c r="B923" i="1"/>
  <c r="B924" i="1"/>
  <c r="B925" i="1"/>
  <c r="B926" i="1"/>
  <c r="B927" i="1"/>
  <c r="B928" i="1"/>
  <c r="I921" i="1"/>
  <c r="I922" i="1"/>
  <c r="I923" i="1"/>
  <c r="I924" i="1"/>
  <c r="I925" i="1"/>
  <c r="I926" i="1"/>
  <c r="I927" i="1"/>
  <c r="I928" i="1"/>
  <c r="J921" i="1"/>
  <c r="J922" i="1"/>
  <c r="J923" i="1"/>
  <c r="J924" i="1"/>
  <c r="J925" i="1"/>
  <c r="J926" i="1"/>
  <c r="J927" i="1"/>
  <c r="J928" i="1"/>
  <c r="K921" i="1"/>
  <c r="K922" i="1"/>
  <c r="K923" i="1"/>
  <c r="K924" i="1"/>
  <c r="K925" i="1"/>
  <c r="K926" i="1"/>
  <c r="K927" i="1"/>
  <c r="K928" i="1"/>
  <c r="B920" i="1"/>
  <c r="I920" i="1"/>
  <c r="J920" i="1"/>
  <c r="K920" i="1"/>
  <c r="B912" i="1"/>
  <c r="B913" i="1"/>
  <c r="B914" i="1"/>
  <c r="B915" i="1"/>
  <c r="B916" i="1"/>
  <c r="B917" i="1"/>
  <c r="B918" i="1"/>
  <c r="B919" i="1"/>
  <c r="I912" i="1"/>
  <c r="I913" i="1"/>
  <c r="I914" i="1"/>
  <c r="I915" i="1"/>
  <c r="I916" i="1"/>
  <c r="I917" i="1"/>
  <c r="I918" i="1"/>
  <c r="I919" i="1"/>
  <c r="J912" i="1"/>
  <c r="J913" i="1"/>
  <c r="J914" i="1"/>
  <c r="J915" i="1"/>
  <c r="J916" i="1"/>
  <c r="J917" i="1"/>
  <c r="J918" i="1"/>
  <c r="J919" i="1"/>
  <c r="K912" i="1"/>
  <c r="K913" i="1"/>
  <c r="K914" i="1"/>
  <c r="K915" i="1"/>
  <c r="K916" i="1"/>
  <c r="K917" i="1"/>
  <c r="K918" i="1"/>
  <c r="K919" i="1"/>
  <c r="B911" i="1"/>
  <c r="I911" i="1"/>
  <c r="J911" i="1"/>
  <c r="K911" i="1"/>
  <c r="B903" i="1"/>
  <c r="B904" i="1"/>
  <c r="B905" i="1"/>
  <c r="B906" i="1"/>
  <c r="B907" i="1"/>
  <c r="B908" i="1"/>
  <c r="B909" i="1"/>
  <c r="B910" i="1"/>
  <c r="I903" i="1"/>
  <c r="I904" i="1"/>
  <c r="I905" i="1"/>
  <c r="I906" i="1"/>
  <c r="I907" i="1"/>
  <c r="I908" i="1"/>
  <c r="I909" i="1"/>
  <c r="I910" i="1"/>
  <c r="J903" i="1"/>
  <c r="J904" i="1"/>
  <c r="J905" i="1"/>
  <c r="J906" i="1"/>
  <c r="J907" i="1"/>
  <c r="J908" i="1"/>
  <c r="J909" i="1"/>
  <c r="J910" i="1"/>
  <c r="K903" i="1"/>
  <c r="K904" i="1"/>
  <c r="K905" i="1"/>
  <c r="K906" i="1"/>
  <c r="K907" i="1"/>
  <c r="K908" i="1"/>
  <c r="K909" i="1"/>
  <c r="K910" i="1"/>
  <c r="B902" i="1"/>
  <c r="I902" i="1"/>
  <c r="J902" i="1"/>
  <c r="K902" i="1"/>
  <c r="B894" i="1"/>
  <c r="B895" i="1"/>
  <c r="B896" i="1"/>
  <c r="B897" i="1"/>
  <c r="B898" i="1"/>
  <c r="B899" i="1"/>
  <c r="B900" i="1"/>
  <c r="B901" i="1"/>
  <c r="I894" i="1"/>
  <c r="I895" i="1"/>
  <c r="I896" i="1"/>
  <c r="I897" i="1"/>
  <c r="I898" i="1"/>
  <c r="I899" i="1"/>
  <c r="I900" i="1"/>
  <c r="I901" i="1"/>
  <c r="J894" i="1"/>
  <c r="J895" i="1"/>
  <c r="J896" i="1"/>
  <c r="J897" i="1"/>
  <c r="J898" i="1"/>
  <c r="J899" i="1"/>
  <c r="J900" i="1"/>
  <c r="J901" i="1"/>
  <c r="K894" i="1"/>
  <c r="K895" i="1"/>
  <c r="K896" i="1"/>
  <c r="K897" i="1"/>
  <c r="K898" i="1"/>
  <c r="K899" i="1"/>
  <c r="K900" i="1"/>
  <c r="K901" i="1"/>
  <c r="B893" i="1"/>
  <c r="I893" i="1"/>
  <c r="J893" i="1"/>
  <c r="K893" i="1"/>
  <c r="B885" i="1" l="1"/>
  <c r="B886" i="1"/>
  <c r="B887" i="1"/>
  <c r="B888" i="1"/>
  <c r="B889" i="1"/>
  <c r="B890" i="1"/>
  <c r="B891" i="1"/>
  <c r="B892" i="1"/>
  <c r="I885" i="1"/>
  <c r="I886" i="1"/>
  <c r="I887" i="1"/>
  <c r="I888" i="1"/>
  <c r="I889" i="1"/>
  <c r="I890" i="1"/>
  <c r="I891" i="1"/>
  <c r="I892" i="1"/>
  <c r="J885" i="1"/>
  <c r="J886" i="1"/>
  <c r="J887" i="1"/>
  <c r="J888" i="1"/>
  <c r="J889" i="1"/>
  <c r="J890" i="1"/>
  <c r="J891" i="1"/>
  <c r="J892" i="1"/>
  <c r="K885" i="1"/>
  <c r="K886" i="1"/>
  <c r="K887" i="1"/>
  <c r="K888" i="1"/>
  <c r="K889" i="1"/>
  <c r="K890" i="1"/>
  <c r="K891" i="1"/>
  <c r="K892" i="1"/>
  <c r="B884" i="1"/>
  <c r="I884" i="1"/>
  <c r="J884" i="1"/>
  <c r="K884" i="1"/>
  <c r="B876" i="1"/>
  <c r="B877" i="1"/>
  <c r="B878" i="1"/>
  <c r="B879" i="1"/>
  <c r="B880" i="1"/>
  <c r="B881" i="1"/>
  <c r="B882" i="1"/>
  <c r="B883" i="1"/>
  <c r="I876" i="1"/>
  <c r="I877" i="1"/>
  <c r="I878" i="1"/>
  <c r="I879" i="1"/>
  <c r="I880" i="1"/>
  <c r="I881" i="1"/>
  <c r="I882" i="1"/>
  <c r="I883" i="1"/>
  <c r="J876" i="1"/>
  <c r="J877" i="1"/>
  <c r="J878" i="1"/>
  <c r="J879" i="1"/>
  <c r="J880" i="1"/>
  <c r="J881" i="1"/>
  <c r="J882" i="1"/>
  <c r="J883" i="1"/>
  <c r="K876" i="1"/>
  <c r="K877" i="1"/>
  <c r="K878" i="1"/>
  <c r="K879" i="1"/>
  <c r="K880" i="1"/>
  <c r="K881" i="1"/>
  <c r="K882" i="1"/>
  <c r="K883" i="1"/>
  <c r="B875" i="1"/>
  <c r="I875" i="1"/>
  <c r="J875" i="1"/>
  <c r="K875" i="1"/>
  <c r="B867" i="1"/>
  <c r="B868" i="1"/>
  <c r="B869" i="1"/>
  <c r="B870" i="1"/>
  <c r="B871" i="1"/>
  <c r="B872" i="1"/>
  <c r="B873" i="1"/>
  <c r="B874" i="1"/>
  <c r="I867" i="1"/>
  <c r="I868" i="1"/>
  <c r="I869" i="1"/>
  <c r="I870" i="1"/>
  <c r="I871" i="1"/>
  <c r="I872" i="1"/>
  <c r="I873" i="1"/>
  <c r="I874" i="1"/>
  <c r="J867" i="1"/>
  <c r="J868" i="1"/>
  <c r="J869" i="1"/>
  <c r="J870" i="1"/>
  <c r="J871" i="1"/>
  <c r="J872" i="1"/>
  <c r="J873" i="1"/>
  <c r="J874" i="1"/>
  <c r="K867" i="1"/>
  <c r="K868" i="1"/>
  <c r="K869" i="1"/>
  <c r="K870" i="1"/>
  <c r="K871" i="1"/>
  <c r="K872" i="1"/>
  <c r="K873" i="1"/>
  <c r="K874" i="1"/>
  <c r="B866" i="1"/>
  <c r="I866" i="1"/>
  <c r="J866" i="1"/>
  <c r="K866" i="1"/>
  <c r="F5" i="3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K2" i="2"/>
  <c r="L2" i="2"/>
  <c r="K3" i="2"/>
  <c r="L3" i="2"/>
  <c r="K4" i="2"/>
  <c r="L4" i="2"/>
  <c r="K5" i="2"/>
  <c r="L5" i="2"/>
  <c r="K6" i="2"/>
  <c r="L6" i="2"/>
  <c r="K7" i="2"/>
  <c r="L7" i="2"/>
  <c r="K8" i="2"/>
  <c r="L8" i="2"/>
  <c r="K9" i="2"/>
  <c r="L9" i="2"/>
  <c r="K10" i="2"/>
  <c r="L10" i="2"/>
  <c r="K11" i="2"/>
  <c r="L11" i="2"/>
  <c r="K12" i="2"/>
  <c r="L12" i="2"/>
  <c r="K13" i="2"/>
  <c r="L13" i="2"/>
  <c r="K14" i="2"/>
  <c r="L14" i="2"/>
  <c r="K15" i="2"/>
  <c r="L15" i="2"/>
  <c r="K16" i="2"/>
  <c r="L16" i="2"/>
  <c r="K17" i="2"/>
  <c r="L17" i="2"/>
  <c r="K18" i="2"/>
  <c r="L18" i="2"/>
  <c r="K19" i="2"/>
  <c r="L19" i="2"/>
  <c r="K20" i="2"/>
  <c r="L20" i="2"/>
  <c r="K21" i="2"/>
  <c r="L21" i="2"/>
  <c r="K22" i="2"/>
  <c r="L22" i="2"/>
  <c r="K23" i="2"/>
  <c r="L23" i="2"/>
  <c r="K24" i="2"/>
  <c r="L24" i="2"/>
  <c r="K25" i="2"/>
  <c r="L25" i="2"/>
  <c r="K26" i="2"/>
  <c r="L26" i="2"/>
  <c r="K27" i="2"/>
  <c r="L27" i="2"/>
  <c r="K28" i="2"/>
  <c r="L28" i="2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<sst xmlns="http://schemas.openxmlformats.org/spreadsheetml/2006/main" count="3652" uniqueCount="46">
  <si>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</si>
  <si>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</si>
  <si>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</si>
  <si>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</si>
  <si>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</si>
  <si>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</si>
  <si>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</si>
  <si>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</si>
  <si>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</si>
  <si>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</si>
  <si>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</si>
  <si>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</si>
  <si>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</si>
  <si>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</si>
  <si>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</si>
  <si>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</si>
  <si>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</si>
  <si>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</si>
  <si>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</si>
  <si>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</si>
  <si>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</si>
  <si>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</si>
  <si>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</si>
  <si>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</si>
  <si>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</si>
  <si>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</si>
  <si>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</si>
  <si>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</si>
  <si>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</si>
  <si>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</si>
  <si>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</si>
  <si>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</si>
  <si>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</si>
  <si>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</si>
  <si>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</si>
  <si>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</si>
  <si>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</si>
  <si>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</si>
  <si>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</si>
  <si>
    <t>FAT.JUNHO</t>
  </si>
  <si>
    <t>FAT.JULHO</t>
  </si>
  <si>
    <t>FAT.AGOSTO</t>
  </si>
  <si>
    <t>FOR. JULHO</t>
  </si>
  <si>
    <t>FOR. AGOSTO</t>
  </si>
  <si>
    <t>FOR. SETEMBRO</t>
  </si>
  <si>
    <t>16.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</si>
</sst>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7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3" fontId="6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2" fontId="6" fillId="0" borderId="0" xfId="1" applyNumberFormat="1" applyFont="1" applyFill="1" applyBorder="1" applyAlignment="1">
      <alignment horizontal="center"/>
    </xf>
    <xf numFmtId="14" fontId="6" fillId="0" borderId="0" xfId="0" applyNumberFormat="1" applyFont="1" applyFill="1" applyAlignment="1">
      <alignment horizontal="center"/>
    </xf>
    <xf numFmtId="0" fontId="6" fillId="0" borderId="0" xfId="0" applyNumberFormat="1" applyFont="1" applyFill="1" applyAlignment="1">
      <alignment horizontal="center"/>
    </xf>
    <xf numFmtId="3" fontId="6" fillId="0" borderId="0" xfId="0" applyNumberFormat="1" applyFont="1" applyFill="1" applyAlignment="1">
      <alignment horizontal="center"/>
    </xf>
    <xf numFmtId="1" fontId="6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1792" totalsRowShown="0" headerRowDxfId="13" dataDxfId="12" tableBorderDxfId="11">
  <autoFilter ref="A1:K1792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901"/>
  <sheetViews>
    <sheetView showGridLines="0" tabSelected="1" zoomScale="90" zoomScaleNormal="90" zoomScaleSheetLayoutView="70" workbookViewId="0">
      <pane ySplit="1" topLeftCell="A1777" activePane="bottomLeft" state="frozen"/>
      <selection pane="bottomLeft" activeCell="O1787" sqref="O1787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5" width="9.109375" style="17"/>
    <col min="16" max="16" width="9.21875" style="17" customWidth="1"/>
    <col min="17" max="17" width="9.109375" style="17" customWidth="1"/>
    <col min="18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 x14ac:dyDescent="0.3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 x14ac:dyDescent="0.3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 x14ac:dyDescent="0.3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 x14ac:dyDescent="0.3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 x14ac:dyDescent="0.3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 x14ac:dyDescent="0.3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 x14ac:dyDescent="0.3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 x14ac:dyDescent="0.3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 x14ac:dyDescent="0.3">
      <c r="A857" s="11">
        <v>46168</v>
      </c>
      <c r="B857" s="12" t="str">
        <f>UPPER(TEXT(A857,"MMMM"))</f>
        <v>MAIO</v>
      </c>
      <c r="C857" s="12" t="s">
        <v>15</v>
      </c>
      <c r="D857" s="12" t="s">
        <v>12</v>
      </c>
      <c r="E857" s="13">
        <v>60</v>
      </c>
      <c r="F857" s="13">
        <v>59</v>
      </c>
      <c r="G857" s="12">
        <v>4</v>
      </c>
      <c r="H857" s="14">
        <v>4</v>
      </c>
      <c r="I857" s="12">
        <f>IFERROR(IF(T_PROD[[#This Row],[PREVISTO]]-T_PROD[[#This Row],[EFETIVO]]&lt; 0,0,T_PROD[[#This Row],[PREVISTO]]-T_PROD[[#This Row],[EFETIVO]] ),"")</f>
        <v>0</v>
      </c>
      <c r="J857" s="15">
        <f>IFERROR(IF(T_PROD[[#This Row],[META]]&gt;0,(T_PROD[[#This Row],[META]]/T_PROD[[#This Row],[PREVISTO]]),""),"")</f>
        <v>15</v>
      </c>
      <c r="K857" s="15">
        <f>IFERROR(IF(T_PROD[[#This Row],[PRODUÇÃO]]&gt;0,(T_PROD[[#This Row],[PRODUÇÃO]]/T_PROD[[#This Row],[EFETIVO]]),""),"")</f>
        <v>14.75</v>
      </c>
    </row>
    <row r="858" spans="1:11" s="6" customFormat="1" x14ac:dyDescent="0.3">
      <c r="A858" s="11">
        <v>46168</v>
      </c>
      <c r="B858" s="12" t="str">
        <f t="shared" ref="B858:B865" si="94">UPPER(TEXT(A858,"MMMM"))</f>
        <v>MAIO</v>
      </c>
      <c r="C858" s="12" t="s">
        <v>16</v>
      </c>
      <c r="D858" s="12" t="s">
        <v>12</v>
      </c>
      <c r="E858" s="13">
        <v>153</v>
      </c>
      <c r="F858" s="13">
        <v>83</v>
      </c>
      <c r="G858" s="12">
        <v>4.5</v>
      </c>
      <c r="H858" s="14">
        <v>4.5</v>
      </c>
      <c r="I858" s="12">
        <f>IFERROR(IF(T_PROD[[#This Row],[PREVISTO]]-T_PROD[[#This Row],[EFETIVO]]&lt; 0,0,T_PROD[[#This Row],[PREVISTO]]-T_PROD[[#This Row],[EFETIVO]] ),"")</f>
        <v>0</v>
      </c>
      <c r="J858" s="15">
        <f>IFERROR(IF(T_PROD[[#This Row],[META]]&gt;0,(T_PROD[[#This Row],[META]]/T_PROD[[#This Row],[PREVISTO]]),""),"")</f>
        <v>34</v>
      </c>
      <c r="K858" s="15">
        <f>IFERROR(IF(T_PROD[[#This Row],[PRODUÇÃO]]&gt;0,(T_PROD[[#This Row],[PRODUÇÃO]]/T_PROD[[#This Row],[EFETIVO]]),""),"")</f>
        <v>18.444444444444443</v>
      </c>
    </row>
    <row r="859" spans="1:11" s="6" customFormat="1" x14ac:dyDescent="0.3">
      <c r="A859" s="11">
        <v>46168</v>
      </c>
      <c r="B859" s="12" t="str">
        <f t="shared" si="94"/>
        <v>MAIO</v>
      </c>
      <c r="C859" s="12" t="s">
        <v>17</v>
      </c>
      <c r="D859" s="12" t="s">
        <v>12</v>
      </c>
      <c r="E859" s="13">
        <v>176</v>
      </c>
      <c r="F859" s="13">
        <v>111</v>
      </c>
      <c r="G859" s="12">
        <v>11</v>
      </c>
      <c r="H859" s="14">
        <v>11</v>
      </c>
      <c r="I859" s="12">
        <f>IFERROR(IF(T_PROD[[#This Row],[PREVISTO]]-T_PROD[[#This Row],[EFETIVO]]&lt; 0,0,T_PROD[[#This Row],[PREVISTO]]-T_PROD[[#This Row],[EFETIVO]] ),"")</f>
        <v>0</v>
      </c>
      <c r="J859" s="15">
        <f>IFERROR(IF(T_PROD[[#This Row],[META]]&gt;0,(T_PROD[[#This Row],[META]]/T_PROD[[#This Row],[PREVISTO]]),""),"")</f>
        <v>16</v>
      </c>
      <c r="K859" s="15">
        <f>IFERROR(IF(T_PROD[[#This Row],[PRODUÇÃO]]&gt;0,(T_PROD[[#This Row],[PRODUÇÃO]]/T_PROD[[#This Row],[EFETIVO]]),""),"")</f>
        <v>10.090909090909092</v>
      </c>
    </row>
    <row r="860" spans="1:11" s="6" customFormat="1" x14ac:dyDescent="0.3">
      <c r="A860" s="11">
        <v>46168</v>
      </c>
      <c r="B860" s="12" t="str">
        <f t="shared" si="94"/>
        <v>MAIO</v>
      </c>
      <c r="C860" s="12" t="s">
        <v>18</v>
      </c>
      <c r="D860" s="12" t="s">
        <v>12</v>
      </c>
      <c r="E860" s="13"/>
      <c r="F860" s="13"/>
      <c r="G860" s="12"/>
      <c r="H860" s="14"/>
      <c r="I860" s="12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 x14ac:dyDescent="0.3">
      <c r="A861" s="11">
        <v>46168</v>
      </c>
      <c r="B861" s="12" t="str">
        <f t="shared" si="94"/>
        <v>MAIO</v>
      </c>
      <c r="C861" s="12" t="s">
        <v>19</v>
      </c>
      <c r="D861" s="12" t="s">
        <v>12</v>
      </c>
      <c r="E861" s="13"/>
      <c r="F861" s="13"/>
      <c r="G861" s="12"/>
      <c r="H861" s="14"/>
      <c r="I861" s="12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 x14ac:dyDescent="0.3">
      <c r="A862" s="11">
        <v>46168</v>
      </c>
      <c r="B862" s="12" t="str">
        <f t="shared" si="94"/>
        <v>MAIO</v>
      </c>
      <c r="C862" s="12" t="s">
        <v>20</v>
      </c>
      <c r="D862" s="12" t="s">
        <v>12</v>
      </c>
      <c r="E862" s="13">
        <v>389</v>
      </c>
      <c r="F862" s="13">
        <v>253</v>
      </c>
      <c r="G862" s="12">
        <v>90</v>
      </c>
      <c r="H862" s="14">
        <v>90</v>
      </c>
      <c r="I862" s="12">
        <f>IFERROR(IF(T_PROD[[#This Row],[PREVISTO]]-T_PROD[[#This Row],[EFETIVO]]&lt; 0,0,T_PROD[[#This Row],[PREVISTO]]-T_PROD[[#This Row],[EFETIVO]] ),"")</f>
        <v>0</v>
      </c>
      <c r="J862" s="15">
        <f>IFERROR(IF(T_PROD[[#This Row],[META]]&gt;0,(T_PROD[[#This Row],[META]]/T_PROD[[#This Row],[PREVISTO]]),""),"")</f>
        <v>4.322222222222222</v>
      </c>
      <c r="K862" s="15">
        <f>IFERROR(IF(T_PROD[[#This Row],[PRODUÇÃO]]&gt;0,(T_PROD[[#This Row],[PRODUÇÃO]]/T_PROD[[#This Row],[EFETIVO]]),""),"")</f>
        <v>2.8111111111111109</v>
      </c>
    </row>
    <row r="863" spans="1:11" s="6" customFormat="1" x14ac:dyDescent="0.3">
      <c r="A863" s="11">
        <v>46168</v>
      </c>
      <c r="B863" s="12" t="str">
        <f t="shared" si="94"/>
        <v>MAIO</v>
      </c>
      <c r="C863" s="12" t="s">
        <v>11</v>
      </c>
      <c r="D863" s="12" t="s">
        <v>12</v>
      </c>
      <c r="E863" s="13">
        <v>600</v>
      </c>
      <c r="F863" s="13">
        <v>554</v>
      </c>
      <c r="G863" s="12">
        <v>30</v>
      </c>
      <c r="H863" s="14">
        <v>30</v>
      </c>
      <c r="I863" s="12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 x14ac:dyDescent="0.3">
      <c r="A864" s="11">
        <v>46168</v>
      </c>
      <c r="B864" s="12" t="str">
        <f t="shared" si="94"/>
        <v>MAIO</v>
      </c>
      <c r="C864" s="12" t="s">
        <v>32</v>
      </c>
      <c r="D864" s="12" t="s">
        <v>12</v>
      </c>
      <c r="E864" s="13">
        <v>99</v>
      </c>
      <c r="F864" s="13">
        <v>104</v>
      </c>
      <c r="G864" s="12">
        <v>9</v>
      </c>
      <c r="H864" s="14">
        <v>9</v>
      </c>
      <c r="I864" s="12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 x14ac:dyDescent="0.3">
      <c r="A865" s="11">
        <v>46168</v>
      </c>
      <c r="B865" s="12" t="str">
        <f t="shared" si="94"/>
        <v>MAIO</v>
      </c>
      <c r="C865" s="12" t="s">
        <v>14</v>
      </c>
      <c r="D865" s="12" t="s">
        <v>12</v>
      </c>
      <c r="E865" s="13">
        <v>699</v>
      </c>
      <c r="F865" s="13">
        <v>658</v>
      </c>
      <c r="G865" s="12">
        <v>90</v>
      </c>
      <c r="H865" s="14">
        <v>88</v>
      </c>
      <c r="I865" s="12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 x14ac:dyDescent="0.3">
      <c r="A866" s="11">
        <v>46169</v>
      </c>
      <c r="B866" s="12" t="str">
        <f>UPPER(TEXT(A866,"MMMM"))</f>
        <v>MAIO</v>
      </c>
      <c r="C866" s="12" t="s">
        <v>15</v>
      </c>
      <c r="D866" s="12" t="s">
        <v>12</v>
      </c>
      <c r="E866" s="13">
        <v>75</v>
      </c>
      <c r="F866" s="13">
        <v>60</v>
      </c>
      <c r="G866" s="12">
        <v>5</v>
      </c>
      <c r="H866" s="14">
        <v>5</v>
      </c>
      <c r="I866" s="12">
        <f>IFERROR(IF(T_PROD[[#This Row],[PREVISTO]]-T_PROD[[#This Row],[EFETIVO]]&lt; 0,0,T_PROD[[#This Row],[PREVISTO]]-T_PROD[[#This Row],[EFETIVO]] ),"")</f>
        <v>0</v>
      </c>
      <c r="J866" s="15">
        <f>IFERROR(IF(T_PROD[[#This Row],[META]]&gt;0,(T_PROD[[#This Row],[META]]/T_PROD[[#This Row],[PREVISTO]]),""),"")</f>
        <v>15</v>
      </c>
      <c r="K866" s="15">
        <f>IFERROR(IF(T_PROD[[#This Row],[PRODUÇÃO]]&gt;0,(T_PROD[[#This Row],[PRODUÇÃO]]/T_PROD[[#This Row],[EFETIVO]]),""),"")</f>
        <v>12</v>
      </c>
    </row>
    <row r="867" spans="1:11" s="6" customFormat="1" x14ac:dyDescent="0.3">
      <c r="A867" s="11">
        <v>46169</v>
      </c>
      <c r="B867" s="12" t="str">
        <f t="shared" ref="B867:B874" si="95">UPPER(TEXT(A867,"MMMM"))</f>
        <v>MAIO</v>
      </c>
      <c r="C867" s="12" t="s">
        <v>16</v>
      </c>
      <c r="D867" s="12" t="s">
        <v>12</v>
      </c>
      <c r="E867" s="13">
        <v>153</v>
      </c>
      <c r="F867" s="13">
        <v>155</v>
      </c>
      <c r="G867" s="12">
        <v>4.5</v>
      </c>
      <c r="H867" s="14">
        <v>4.5</v>
      </c>
      <c r="I867" s="12">
        <f>IFERROR(IF(T_PROD[[#This Row],[PREVISTO]]-T_PROD[[#This Row],[EFETIVO]]&lt; 0,0,T_PROD[[#This Row],[PREVISTO]]-T_PROD[[#This Row],[EFETIVO]] ),"")</f>
        <v>0</v>
      </c>
      <c r="J867" s="15">
        <f>IFERROR(IF(T_PROD[[#This Row],[META]]&gt;0,(T_PROD[[#This Row],[META]]/T_PROD[[#This Row],[PREVISTO]]),""),"")</f>
        <v>34</v>
      </c>
      <c r="K867" s="15">
        <f>IFERROR(IF(T_PROD[[#This Row],[PRODUÇÃO]]&gt;0,(T_PROD[[#This Row],[PRODUÇÃO]]/T_PROD[[#This Row],[EFETIVO]]),""),"")</f>
        <v>34.444444444444443</v>
      </c>
    </row>
    <row r="868" spans="1:11" s="6" customFormat="1" x14ac:dyDescent="0.3">
      <c r="A868" s="11">
        <v>46169</v>
      </c>
      <c r="B868" s="12" t="str">
        <f t="shared" si="95"/>
        <v>MAIO</v>
      </c>
      <c r="C868" s="12" t="s">
        <v>17</v>
      </c>
      <c r="D868" s="12" t="s">
        <v>12</v>
      </c>
      <c r="E868" s="13">
        <v>160</v>
      </c>
      <c r="F868" s="13">
        <v>30</v>
      </c>
      <c r="G868" s="12">
        <v>10</v>
      </c>
      <c r="H868" s="14">
        <v>10</v>
      </c>
      <c r="I868" s="12">
        <f>IFERROR(IF(T_PROD[[#This Row],[PREVISTO]]-T_PROD[[#This Row],[EFETIVO]]&lt; 0,0,T_PROD[[#This Row],[PREVISTO]]-T_PROD[[#This Row],[EFETIVO]] ),"")</f>
        <v>0</v>
      </c>
      <c r="J868" s="15">
        <f>IFERROR(IF(T_PROD[[#This Row],[META]]&gt;0,(T_PROD[[#This Row],[META]]/T_PROD[[#This Row],[PREVISTO]]),""),"")</f>
        <v>16</v>
      </c>
      <c r="K868" s="15">
        <f>IFERROR(IF(T_PROD[[#This Row],[PRODUÇÃO]]&gt;0,(T_PROD[[#This Row],[PRODUÇÃO]]/T_PROD[[#This Row],[EFETIVO]]),""),"")</f>
        <v>3</v>
      </c>
    </row>
    <row r="869" spans="1:11" s="6" customFormat="1" x14ac:dyDescent="0.3">
      <c r="A869" s="11">
        <v>46169</v>
      </c>
      <c r="B869" s="12" t="str">
        <f t="shared" si="95"/>
        <v>MAIO</v>
      </c>
      <c r="C869" s="12" t="s">
        <v>18</v>
      </c>
      <c r="D869" s="12" t="s">
        <v>12</v>
      </c>
      <c r="E869" s="13"/>
      <c r="F869" s="13"/>
      <c r="G869" s="12"/>
      <c r="H869" s="14"/>
      <c r="I869" s="12">
        <f>IFERROR(IF(T_PROD[[#This Row],[PREVISTO]]-T_PROD[[#This Row],[EFETIVO]]&lt; 0,0,T_PROD[[#This Row],[PREVISTO]]-T_PROD[[#This Row],[EFETIVO]] ),"")</f>
        <v>0</v>
      </c>
      <c r="J869" s="15" t="str">
        <f>IFERROR(IF(T_PROD[[#This Row],[META]]&gt;0,(T_PROD[[#This Row],[META]]/T_PROD[[#This Row],[PREVISTO]]),""),"")</f>
        <v/>
      </c>
      <c r="K869" s="15" t="str">
        <f>IFERROR(IF(T_PROD[[#This Row],[PRODUÇÃO]]&gt;0,(T_PROD[[#This Row],[PRODUÇÃO]]/T_PROD[[#This Row],[EFETIVO]]),""),"")</f>
        <v/>
      </c>
    </row>
    <row r="870" spans="1:11" s="6" customFormat="1" x14ac:dyDescent="0.3">
      <c r="A870" s="11">
        <v>46169</v>
      </c>
      <c r="B870" s="12" t="str">
        <f t="shared" si="95"/>
        <v>MAIO</v>
      </c>
      <c r="C870" s="12" t="s">
        <v>19</v>
      </c>
      <c r="D870" s="12" t="s">
        <v>12</v>
      </c>
      <c r="E870" s="13"/>
      <c r="F870" s="13"/>
      <c r="G870" s="12"/>
      <c r="H870" s="14"/>
      <c r="I870" s="12">
        <f>IFERROR(IF(T_PROD[[#This Row],[PREVISTO]]-T_PROD[[#This Row],[EFETIVO]]&lt; 0,0,T_PROD[[#This Row],[PREVISTO]]-T_PROD[[#This Row],[EFETIVO]] ),"")</f>
        <v>0</v>
      </c>
      <c r="J870" s="15" t="str">
        <f>IFERROR(IF(T_PROD[[#This Row],[META]]&gt;0,(T_PROD[[#This Row],[META]]/T_PROD[[#This Row],[PREVISTO]]),""),"")</f>
        <v/>
      </c>
      <c r="K870" s="15" t="str">
        <f>IFERROR(IF(T_PROD[[#This Row],[PRODUÇÃO]]&gt;0,(T_PROD[[#This Row],[PRODUÇÃO]]/T_PROD[[#This Row],[EFETIVO]]),""),"")</f>
        <v/>
      </c>
    </row>
    <row r="871" spans="1:11" s="6" customFormat="1" x14ac:dyDescent="0.3">
      <c r="A871" s="11">
        <v>46169</v>
      </c>
      <c r="B871" s="12" t="str">
        <f t="shared" si="95"/>
        <v>MAIO</v>
      </c>
      <c r="C871" s="12" t="s">
        <v>20</v>
      </c>
      <c r="D871" s="12" t="s">
        <v>12</v>
      </c>
      <c r="E871" s="13">
        <v>388</v>
      </c>
      <c r="F871" s="13">
        <v>245</v>
      </c>
      <c r="G871" s="12">
        <v>90</v>
      </c>
      <c r="H871" s="14">
        <v>90</v>
      </c>
      <c r="I871" s="12">
        <f>IFERROR(IF(T_PROD[[#This Row],[PREVISTO]]-T_PROD[[#This Row],[EFETIVO]]&lt; 0,0,T_PROD[[#This Row],[PREVISTO]]-T_PROD[[#This Row],[EFETIVO]] ),"")</f>
        <v>0</v>
      </c>
      <c r="J871" s="15">
        <f>IFERROR(IF(T_PROD[[#This Row],[META]]&gt;0,(T_PROD[[#This Row],[META]]/T_PROD[[#This Row],[PREVISTO]]),""),"")</f>
        <v>4.3111111111111109</v>
      </c>
      <c r="K871" s="15">
        <f>IFERROR(IF(T_PROD[[#This Row],[PRODUÇÃO]]&gt;0,(T_PROD[[#This Row],[PRODUÇÃO]]/T_PROD[[#This Row],[EFETIVO]]),""),"")</f>
        <v>2.7222222222222223</v>
      </c>
    </row>
    <row r="872" spans="1:11" s="6" customFormat="1" x14ac:dyDescent="0.3">
      <c r="A872" s="11">
        <v>46169</v>
      </c>
      <c r="B872" s="12" t="str">
        <f t="shared" si="95"/>
        <v>MAIO</v>
      </c>
      <c r="C872" s="12" t="s">
        <v>11</v>
      </c>
      <c r="D872" s="12" t="s">
        <v>12</v>
      </c>
      <c r="E872" s="13">
        <v>620</v>
      </c>
      <c r="F872" s="13">
        <v>650</v>
      </c>
      <c r="G872" s="12">
        <v>31</v>
      </c>
      <c r="H872" s="14">
        <v>31</v>
      </c>
      <c r="I872" s="12">
        <f>IFERROR(IF(T_PROD[[#This Row],[PREVISTO]]-T_PROD[[#This Row],[EFETIVO]]&lt; 0,0,T_PROD[[#This Row],[PREVISTO]]-T_PROD[[#This Row],[EFETIVO]] ),"")</f>
        <v>0</v>
      </c>
      <c r="J872" s="15">
        <f>IFERROR(IF(T_PROD[[#This Row],[META]]&gt;0,(T_PROD[[#This Row],[META]]/T_PROD[[#This Row],[PREVISTO]]),""),"")</f>
        <v>20</v>
      </c>
      <c r="K872" s="15">
        <f>IFERROR(IF(T_PROD[[#This Row],[PRODUÇÃO]]&gt;0,(T_PROD[[#This Row],[PRODUÇÃO]]/T_PROD[[#This Row],[EFETIVO]]),""),"")</f>
        <v>20.967741935483872</v>
      </c>
    </row>
    <row r="873" spans="1:11" s="6" customFormat="1" x14ac:dyDescent="0.3">
      <c r="A873" s="11">
        <v>46169</v>
      </c>
      <c r="B873" s="12" t="str">
        <f t="shared" si="95"/>
        <v>MAIO</v>
      </c>
      <c r="C873" s="12" t="s">
        <v>32</v>
      </c>
      <c r="D873" s="12" t="s">
        <v>12</v>
      </c>
      <c r="E873" s="13">
        <v>99</v>
      </c>
      <c r="F873" s="13">
        <v>92</v>
      </c>
      <c r="G873" s="12">
        <v>9</v>
      </c>
      <c r="H873" s="14">
        <v>9</v>
      </c>
      <c r="I873" s="12">
        <f>IFERROR(IF(T_PROD[[#This Row],[PREVISTO]]-T_PROD[[#This Row],[EFETIVO]]&lt; 0,0,T_PROD[[#This Row],[PREVISTO]]-T_PROD[[#This Row],[EFETIVO]] ),"")</f>
        <v>0</v>
      </c>
      <c r="J873" s="15">
        <f>IFERROR(IF(T_PROD[[#This Row],[META]]&gt;0,(T_PROD[[#This Row],[META]]/T_PROD[[#This Row],[PREVISTO]]),""),"")</f>
        <v>11</v>
      </c>
      <c r="K873" s="15">
        <f>IFERROR(IF(T_PROD[[#This Row],[PRODUÇÃO]]&gt;0,(T_PROD[[#This Row],[PRODUÇÃO]]/T_PROD[[#This Row],[EFETIVO]]),""),"")</f>
        <v>10.222222222222221</v>
      </c>
    </row>
    <row r="874" spans="1:11" s="6" customFormat="1" x14ac:dyDescent="0.3">
      <c r="A874" s="11">
        <v>46169</v>
      </c>
      <c r="B874" s="12" t="str">
        <f t="shared" si="95"/>
        <v>MAIO</v>
      </c>
      <c r="C874" s="12" t="s">
        <v>14</v>
      </c>
      <c r="D874" s="12" t="s">
        <v>12</v>
      </c>
      <c r="E874" s="13">
        <v>719</v>
      </c>
      <c r="F874" s="13">
        <v>742</v>
      </c>
      <c r="G874" s="12">
        <v>88</v>
      </c>
      <c r="H874" s="14">
        <v>84</v>
      </c>
      <c r="I874" s="12">
        <f>IFERROR(IF(T_PROD[[#This Row],[PREVISTO]]-T_PROD[[#This Row],[EFETIVO]]&lt; 0,0,T_PROD[[#This Row],[PREVISTO]]-T_PROD[[#This Row],[EFETIVO]] ),"")</f>
        <v>4</v>
      </c>
      <c r="J874" s="15">
        <f>IFERROR(IF(T_PROD[[#This Row],[META]]&gt;0,(T_PROD[[#This Row],[META]]/T_PROD[[#This Row],[PREVISTO]]),""),"")</f>
        <v>8.170454545454545</v>
      </c>
      <c r="K874" s="15">
        <f>IFERROR(IF(T_PROD[[#This Row],[PRODUÇÃO]]&gt;0,(T_PROD[[#This Row],[PRODUÇÃO]]/T_PROD[[#This Row],[EFETIVO]]),""),"")</f>
        <v>8.8333333333333339</v>
      </c>
    </row>
    <row r="875" spans="1:11" s="6" customFormat="1" x14ac:dyDescent="0.3">
      <c r="A875" s="11">
        <v>46170</v>
      </c>
      <c r="B875" s="12" t="str">
        <f>UPPER(TEXT(A875,"MMMM"))</f>
        <v>MAIO</v>
      </c>
      <c r="C875" s="12" t="s">
        <v>15</v>
      </c>
      <c r="D875" s="12" t="s">
        <v>12</v>
      </c>
      <c r="E875" s="13">
        <v>67.5</v>
      </c>
      <c r="F875" s="13">
        <v>67</v>
      </c>
      <c r="G875" s="12">
        <v>4.5</v>
      </c>
      <c r="H875" s="14">
        <v>4.5</v>
      </c>
      <c r="I875" s="12">
        <f>IFERROR(IF(T_PROD[[#This Row],[PREVISTO]]-T_PROD[[#This Row],[EFETIVO]]&lt; 0,0,T_PROD[[#This Row],[PREVISTO]]-T_PROD[[#This Row],[EFETIVO]] ),"")</f>
        <v>0</v>
      </c>
      <c r="J875" s="15">
        <f>IFERROR(IF(T_PROD[[#This Row],[META]]&gt;0,(T_PROD[[#This Row],[META]]/T_PROD[[#This Row],[PREVISTO]]),""),"")</f>
        <v>15</v>
      </c>
      <c r="K875" s="15">
        <f>IFERROR(IF(T_PROD[[#This Row],[PRODUÇÃO]]&gt;0,(T_PROD[[#This Row],[PRODUÇÃO]]/T_PROD[[#This Row],[EFETIVO]]),""),"")</f>
        <v>14.888888888888889</v>
      </c>
    </row>
    <row r="876" spans="1:11" s="6" customFormat="1" x14ac:dyDescent="0.3">
      <c r="A876" s="11">
        <v>46170</v>
      </c>
      <c r="B876" s="12" t="str">
        <f t="shared" ref="B876:B883" si="96">UPPER(TEXT(A876,"MMMM"))</f>
        <v>MAIO</v>
      </c>
      <c r="C876" s="12" t="s">
        <v>16</v>
      </c>
      <c r="D876" s="12" t="s">
        <v>12</v>
      </c>
      <c r="E876" s="13">
        <v>119</v>
      </c>
      <c r="F876" s="13">
        <v>50</v>
      </c>
      <c r="G876" s="12">
        <v>3.5</v>
      </c>
      <c r="H876" s="14">
        <v>3.5</v>
      </c>
      <c r="I876" s="12">
        <f>IFERROR(IF(T_PROD[[#This Row],[PREVISTO]]-T_PROD[[#This Row],[EFETIVO]]&lt; 0,0,T_PROD[[#This Row],[PREVISTO]]-T_PROD[[#This Row],[EFETIVO]] ),"")</f>
        <v>0</v>
      </c>
      <c r="J876" s="15">
        <f>IFERROR(IF(T_PROD[[#This Row],[META]]&gt;0,(T_PROD[[#This Row],[META]]/T_PROD[[#This Row],[PREVISTO]]),""),"")</f>
        <v>34</v>
      </c>
      <c r="K876" s="15">
        <f>IFERROR(IF(T_PROD[[#This Row],[PRODUÇÃO]]&gt;0,(T_PROD[[#This Row],[PRODUÇÃO]]/T_PROD[[#This Row],[EFETIVO]]),""),"")</f>
        <v>14.285714285714286</v>
      </c>
    </row>
    <row r="877" spans="1:11" s="6" customFormat="1" x14ac:dyDescent="0.3">
      <c r="A877" s="11">
        <v>46170</v>
      </c>
      <c r="B877" s="12" t="str">
        <f t="shared" si="96"/>
        <v>MAIO</v>
      </c>
      <c r="C877" s="12" t="s">
        <v>17</v>
      </c>
      <c r="D877" s="12" t="s">
        <v>12</v>
      </c>
      <c r="E877" s="13">
        <v>136</v>
      </c>
      <c r="F877" s="13">
        <v>63</v>
      </c>
      <c r="G877" s="12">
        <v>8.5</v>
      </c>
      <c r="H877" s="14">
        <v>8.5</v>
      </c>
      <c r="I877" s="12">
        <f>IFERROR(IF(T_PROD[[#This Row],[PREVISTO]]-T_PROD[[#This Row],[EFETIVO]]&lt; 0,0,T_PROD[[#This Row],[PREVISTO]]-T_PROD[[#This Row],[EFETIVO]] ),"")</f>
        <v>0</v>
      </c>
      <c r="J877" s="15">
        <f>IFERROR(IF(T_PROD[[#This Row],[META]]&gt;0,(T_PROD[[#This Row],[META]]/T_PROD[[#This Row],[PREVISTO]]),""),"")</f>
        <v>16</v>
      </c>
      <c r="K877" s="15">
        <f>IFERROR(IF(T_PROD[[#This Row],[PRODUÇÃO]]&gt;0,(T_PROD[[#This Row],[PRODUÇÃO]]/T_PROD[[#This Row],[EFETIVO]]),""),"")</f>
        <v>7.4117647058823533</v>
      </c>
    </row>
    <row r="878" spans="1:11" s="6" customFormat="1" x14ac:dyDescent="0.3">
      <c r="A878" s="11">
        <v>46170</v>
      </c>
      <c r="B878" s="12" t="str">
        <f t="shared" si="96"/>
        <v>MAIO</v>
      </c>
      <c r="C878" s="12" t="s">
        <v>18</v>
      </c>
      <c r="D878" s="12" t="s">
        <v>12</v>
      </c>
      <c r="E878" s="13"/>
      <c r="F878" s="13"/>
      <c r="G878" s="12"/>
      <c r="H878" s="14"/>
      <c r="I878" s="12">
        <f>IFERROR(IF(T_PROD[[#This Row],[PREVISTO]]-T_PROD[[#This Row],[EFETIVO]]&lt; 0,0,T_PROD[[#This Row],[PREVISTO]]-T_PROD[[#This Row],[EFETIVO]] ),"")</f>
        <v>0</v>
      </c>
      <c r="J878" s="15" t="str">
        <f>IFERROR(IF(T_PROD[[#This Row],[META]]&gt;0,(T_PROD[[#This Row],[META]]/T_PROD[[#This Row],[PREVISTO]]),""),"")</f>
        <v/>
      </c>
      <c r="K878" s="15" t="str">
        <f>IFERROR(IF(T_PROD[[#This Row],[PRODUÇÃO]]&gt;0,(T_PROD[[#This Row],[PRODUÇÃO]]/T_PROD[[#This Row],[EFETIVO]]),""),"")</f>
        <v/>
      </c>
    </row>
    <row r="879" spans="1:11" s="6" customFormat="1" x14ac:dyDescent="0.3">
      <c r="A879" s="11">
        <v>46170</v>
      </c>
      <c r="B879" s="12" t="str">
        <f t="shared" si="96"/>
        <v>MAIO</v>
      </c>
      <c r="C879" s="12" t="s">
        <v>19</v>
      </c>
      <c r="D879" s="12" t="s">
        <v>12</v>
      </c>
      <c r="E879" s="13"/>
      <c r="F879" s="13"/>
      <c r="G879" s="12"/>
      <c r="H879" s="14"/>
      <c r="I879" s="12">
        <f>IFERROR(IF(T_PROD[[#This Row],[PREVISTO]]-T_PROD[[#This Row],[EFETIVO]]&lt; 0,0,T_PROD[[#This Row],[PREVISTO]]-T_PROD[[#This Row],[EFETIVO]] ),"")</f>
        <v>0</v>
      </c>
      <c r="J879" s="15" t="str">
        <f>IFERROR(IF(T_PROD[[#This Row],[META]]&gt;0,(T_PROD[[#This Row],[META]]/T_PROD[[#This Row],[PREVISTO]]),""),"")</f>
        <v/>
      </c>
      <c r="K879" s="15" t="str">
        <f>IFERROR(IF(T_PROD[[#This Row],[PRODUÇÃO]]&gt;0,(T_PROD[[#This Row],[PRODUÇÃO]]/T_PROD[[#This Row],[EFETIVO]]),""),"")</f>
        <v/>
      </c>
    </row>
    <row r="880" spans="1:11" s="6" customFormat="1" x14ac:dyDescent="0.3">
      <c r="A880" s="11">
        <v>46170</v>
      </c>
      <c r="B880" s="12" t="str">
        <f t="shared" si="96"/>
        <v>MAIO</v>
      </c>
      <c r="C880" s="12" t="s">
        <v>20</v>
      </c>
      <c r="D880" s="12" t="s">
        <v>12</v>
      </c>
      <c r="E880" s="13">
        <v>323</v>
      </c>
      <c r="F880" s="13">
        <v>180</v>
      </c>
      <c r="G880" s="12">
        <v>90</v>
      </c>
      <c r="H880" s="14">
        <v>90</v>
      </c>
      <c r="I880" s="12">
        <f>IFERROR(IF(T_PROD[[#This Row],[PREVISTO]]-T_PROD[[#This Row],[EFETIVO]]&lt; 0,0,T_PROD[[#This Row],[PREVISTO]]-T_PROD[[#This Row],[EFETIVO]] ),"")</f>
        <v>0</v>
      </c>
      <c r="J880" s="15">
        <f>IFERROR(IF(T_PROD[[#This Row],[META]]&gt;0,(T_PROD[[#This Row],[META]]/T_PROD[[#This Row],[PREVISTO]]),""),"")</f>
        <v>3.588888888888889</v>
      </c>
      <c r="K880" s="15">
        <f>IFERROR(IF(T_PROD[[#This Row],[PRODUÇÃO]]&gt;0,(T_PROD[[#This Row],[PRODUÇÃO]]/T_PROD[[#This Row],[EFETIVO]]),""),"")</f>
        <v>2</v>
      </c>
    </row>
    <row r="881" spans="1:11" s="6" customFormat="1" x14ac:dyDescent="0.3">
      <c r="A881" s="11">
        <v>46170</v>
      </c>
      <c r="B881" s="12" t="str">
        <f t="shared" si="96"/>
        <v>MAIO</v>
      </c>
      <c r="C881" s="12" t="s">
        <v>11</v>
      </c>
      <c r="D881" s="12" t="s">
        <v>12</v>
      </c>
      <c r="E881" s="13">
        <v>640</v>
      </c>
      <c r="F881" s="13">
        <v>649</v>
      </c>
      <c r="G881" s="12">
        <v>32</v>
      </c>
      <c r="H881" s="14">
        <v>32</v>
      </c>
      <c r="I881" s="12">
        <f>IFERROR(IF(T_PROD[[#This Row],[PREVISTO]]-T_PROD[[#This Row],[EFETIVO]]&lt; 0,0,T_PROD[[#This Row],[PREVISTO]]-T_PROD[[#This Row],[EFETIVO]] ),"")</f>
        <v>0</v>
      </c>
      <c r="J881" s="15">
        <f>IFERROR(IF(T_PROD[[#This Row],[META]]&gt;0,(T_PROD[[#This Row],[META]]/T_PROD[[#This Row],[PREVISTO]]),""),"")</f>
        <v>20</v>
      </c>
      <c r="K881" s="15">
        <f>IFERROR(IF(T_PROD[[#This Row],[PRODUÇÃO]]&gt;0,(T_PROD[[#This Row],[PRODUÇÃO]]/T_PROD[[#This Row],[EFETIVO]]),""),"")</f>
        <v>20.28125</v>
      </c>
    </row>
    <row r="882" spans="1:11" s="6" customFormat="1" x14ac:dyDescent="0.3">
      <c r="A882" s="11">
        <v>46170</v>
      </c>
      <c r="B882" s="12" t="str">
        <f t="shared" si="96"/>
        <v>MAIO</v>
      </c>
      <c r="C882" s="12" t="s">
        <v>32</v>
      </c>
      <c r="D882" s="12" t="s">
        <v>12</v>
      </c>
      <c r="E882" s="13">
        <v>110</v>
      </c>
      <c r="F882" s="13">
        <v>117</v>
      </c>
      <c r="G882" s="12">
        <v>10</v>
      </c>
      <c r="H882" s="14">
        <v>10</v>
      </c>
      <c r="I882" s="12">
        <f>IFERROR(IF(T_PROD[[#This Row],[PREVISTO]]-T_PROD[[#This Row],[EFETIVO]]&lt; 0,0,T_PROD[[#This Row],[PREVISTO]]-T_PROD[[#This Row],[EFETIVO]] ),"")</f>
        <v>0</v>
      </c>
      <c r="J882" s="15">
        <f>IFERROR(IF(T_PROD[[#This Row],[META]]&gt;0,(T_PROD[[#This Row],[META]]/T_PROD[[#This Row],[PREVISTO]]),""),"")</f>
        <v>11</v>
      </c>
      <c r="K882" s="15">
        <f>IFERROR(IF(T_PROD[[#This Row],[PRODUÇÃO]]&gt;0,(T_PROD[[#This Row],[PRODUÇÃO]]/T_PROD[[#This Row],[EFETIVO]]),""),"")</f>
        <v>11.7</v>
      </c>
    </row>
    <row r="883" spans="1:11" s="6" customFormat="1" x14ac:dyDescent="0.3">
      <c r="A883" s="11">
        <v>46170</v>
      </c>
      <c r="B883" s="12" t="str">
        <f t="shared" si="96"/>
        <v>MAIO</v>
      </c>
      <c r="C883" s="12" t="s">
        <v>14</v>
      </c>
      <c r="D883" s="12" t="s">
        <v>12</v>
      </c>
      <c r="E883" s="13">
        <v>750</v>
      </c>
      <c r="F883" s="13">
        <v>766</v>
      </c>
      <c r="G883" s="12">
        <v>90</v>
      </c>
      <c r="H883" s="14">
        <v>88</v>
      </c>
      <c r="I883" s="12">
        <f>IFERROR(IF(T_PROD[[#This Row],[PREVISTO]]-T_PROD[[#This Row],[EFETIVO]]&lt; 0,0,T_PROD[[#This Row],[PREVISTO]]-T_PROD[[#This Row],[EFETIVO]] ),"")</f>
        <v>2</v>
      </c>
      <c r="J883" s="15">
        <f>IFERROR(IF(T_PROD[[#This Row],[META]]&gt;0,(T_PROD[[#This Row],[META]]/T_PROD[[#This Row],[PREVISTO]]),""),"")</f>
        <v>8.3333333333333339</v>
      </c>
      <c r="K883" s="15">
        <f>IFERROR(IF(T_PROD[[#This Row],[PRODUÇÃO]]&gt;0,(T_PROD[[#This Row],[PRODUÇÃO]]/T_PROD[[#This Row],[EFETIVO]]),""),"")</f>
        <v>8.704545454545455</v>
      </c>
    </row>
    <row r="884" spans="1:11" s="6" customFormat="1" x14ac:dyDescent="0.3">
      <c r="A884" s="11">
        <v>46171</v>
      </c>
      <c r="B884" s="12" t="str">
        <f>UPPER(TEXT(A884,"MMMM"))</f>
        <v>MAIO</v>
      </c>
      <c r="C884" s="12" t="s">
        <v>15</v>
      </c>
      <c r="D884" s="12" t="s">
        <v>12</v>
      </c>
      <c r="E884" s="13">
        <v>52.5</v>
      </c>
      <c r="F884" s="13">
        <v>1</v>
      </c>
      <c r="G884" s="12">
        <v>3.5</v>
      </c>
      <c r="H884" s="14">
        <v>3.5</v>
      </c>
      <c r="I884" s="12">
        <f>IFERROR(IF(T_PROD[[#This Row],[PREVISTO]]-T_PROD[[#This Row],[EFETIVO]]&lt; 0,0,T_PROD[[#This Row],[PREVISTO]]-T_PROD[[#This Row],[EFETIVO]] ),"")</f>
        <v>0</v>
      </c>
      <c r="J884" s="15">
        <f>IFERROR(IF(T_PROD[[#This Row],[META]]&gt;0,(T_PROD[[#This Row],[META]]/T_PROD[[#This Row],[PREVISTO]]),""),"")</f>
        <v>15</v>
      </c>
      <c r="K884" s="15">
        <f>IFERROR(IF(T_PROD[[#This Row],[PRODUÇÃO]]&gt;0,(T_PROD[[#This Row],[PRODUÇÃO]]/T_PROD[[#This Row],[EFETIVO]]),""),"")</f>
        <v>0.2857142857142857</v>
      </c>
    </row>
    <row r="885" spans="1:11" s="6" customFormat="1" x14ac:dyDescent="0.3">
      <c r="A885" s="11">
        <v>46171</v>
      </c>
      <c r="B885" s="12" t="str">
        <f t="shared" ref="B885:B892" si="97">UPPER(TEXT(A885,"MMMM"))</f>
        <v>MAIO</v>
      </c>
      <c r="C885" s="12" t="s">
        <v>16</v>
      </c>
      <c r="D885" s="12" t="s">
        <v>12</v>
      </c>
      <c r="E885" s="13">
        <v>153</v>
      </c>
      <c r="F885" s="13">
        <v>124</v>
      </c>
      <c r="G885" s="12">
        <v>4.5</v>
      </c>
      <c r="H885" s="14">
        <v>4.5</v>
      </c>
      <c r="I885" s="12">
        <f>IFERROR(IF(T_PROD[[#This Row],[PREVISTO]]-T_PROD[[#This Row],[EFETIVO]]&lt; 0,0,T_PROD[[#This Row],[PREVISTO]]-T_PROD[[#This Row],[EFETIVO]] ),"")</f>
        <v>0</v>
      </c>
      <c r="J885" s="15">
        <f>IFERROR(IF(T_PROD[[#This Row],[META]]&gt;0,(T_PROD[[#This Row],[META]]/T_PROD[[#This Row],[PREVISTO]]),""),"")</f>
        <v>34</v>
      </c>
      <c r="K885" s="15">
        <f>IFERROR(IF(T_PROD[[#This Row],[PRODUÇÃO]]&gt;0,(T_PROD[[#This Row],[PRODUÇÃO]]/T_PROD[[#This Row],[EFETIVO]]),""),"")</f>
        <v>27.555555555555557</v>
      </c>
    </row>
    <row r="886" spans="1:11" s="6" customFormat="1" x14ac:dyDescent="0.3">
      <c r="A886" s="11">
        <v>46171</v>
      </c>
      <c r="B886" s="12" t="str">
        <f t="shared" si="97"/>
        <v>MAIO</v>
      </c>
      <c r="C886" s="12" t="s">
        <v>17</v>
      </c>
      <c r="D886" s="12" t="s">
        <v>12</v>
      </c>
      <c r="E886" s="13">
        <v>136</v>
      </c>
      <c r="F886" s="13">
        <v>125</v>
      </c>
      <c r="G886" s="12">
        <v>8.5</v>
      </c>
      <c r="H886" s="14">
        <v>8.5</v>
      </c>
      <c r="I886" s="12">
        <f>IFERROR(IF(T_PROD[[#This Row],[PREVISTO]]-T_PROD[[#This Row],[EFETIVO]]&lt; 0,0,T_PROD[[#This Row],[PREVISTO]]-T_PROD[[#This Row],[EFETIVO]] ),"")</f>
        <v>0</v>
      </c>
      <c r="J886" s="15">
        <f>IFERROR(IF(T_PROD[[#This Row],[META]]&gt;0,(T_PROD[[#This Row],[META]]/T_PROD[[#This Row],[PREVISTO]]),""),"")</f>
        <v>16</v>
      </c>
      <c r="K886" s="15">
        <f>IFERROR(IF(T_PROD[[#This Row],[PRODUÇÃO]]&gt;0,(T_PROD[[#This Row],[PRODUÇÃO]]/T_PROD[[#This Row],[EFETIVO]]),""),"")</f>
        <v>14.705882352941176</v>
      </c>
    </row>
    <row r="887" spans="1:11" s="6" customFormat="1" x14ac:dyDescent="0.3">
      <c r="A887" s="11">
        <v>46171</v>
      </c>
      <c r="B887" s="12" t="str">
        <f t="shared" si="97"/>
        <v>MAIO</v>
      </c>
      <c r="C887" s="12" t="s">
        <v>18</v>
      </c>
      <c r="D887" s="12" t="s">
        <v>12</v>
      </c>
      <c r="E887" s="13"/>
      <c r="F887" s="13"/>
      <c r="G887" s="12"/>
      <c r="H887" s="14"/>
      <c r="I887" s="12">
        <f>IFERROR(IF(T_PROD[[#This Row],[PREVISTO]]-T_PROD[[#This Row],[EFETIVO]]&lt; 0,0,T_PROD[[#This Row],[PREVISTO]]-T_PROD[[#This Row],[EFETIVO]] ),"")</f>
        <v>0</v>
      </c>
      <c r="J887" s="15" t="str">
        <f>IFERROR(IF(T_PROD[[#This Row],[META]]&gt;0,(T_PROD[[#This Row],[META]]/T_PROD[[#This Row],[PREVISTO]]),""),"")</f>
        <v/>
      </c>
      <c r="K887" s="15" t="str">
        <f>IFERROR(IF(T_PROD[[#This Row],[PRODUÇÃO]]&gt;0,(T_PROD[[#This Row],[PRODUÇÃO]]/T_PROD[[#This Row],[EFETIVO]]),""),"")</f>
        <v/>
      </c>
    </row>
    <row r="888" spans="1:11" s="6" customFormat="1" x14ac:dyDescent="0.3">
      <c r="A888" s="11">
        <v>46171</v>
      </c>
      <c r="B888" s="12" t="str">
        <f t="shared" si="97"/>
        <v>MAIO</v>
      </c>
      <c r="C888" s="12" t="s">
        <v>19</v>
      </c>
      <c r="D888" s="12" t="s">
        <v>12</v>
      </c>
      <c r="E888" s="13"/>
      <c r="F888" s="13"/>
      <c r="G888" s="12"/>
      <c r="H888" s="14"/>
      <c r="I888" s="12">
        <f>IFERROR(IF(T_PROD[[#This Row],[PREVISTO]]-T_PROD[[#This Row],[EFETIVO]]&lt; 0,0,T_PROD[[#This Row],[PREVISTO]]-T_PROD[[#This Row],[EFETIVO]] ),"")</f>
        <v>0</v>
      </c>
      <c r="J888" s="15" t="str">
        <f>IFERROR(IF(T_PROD[[#This Row],[META]]&gt;0,(T_PROD[[#This Row],[META]]/T_PROD[[#This Row],[PREVISTO]]),""),"")</f>
        <v/>
      </c>
      <c r="K888" s="15" t="str">
        <f>IFERROR(IF(T_PROD[[#This Row],[PRODUÇÃO]]&gt;0,(T_PROD[[#This Row],[PRODUÇÃO]]/T_PROD[[#This Row],[EFETIVO]]),""),"")</f>
        <v/>
      </c>
    </row>
    <row r="889" spans="1:11" s="6" customFormat="1" x14ac:dyDescent="0.3">
      <c r="A889" s="11">
        <v>46171</v>
      </c>
      <c r="B889" s="12" t="str">
        <f t="shared" si="97"/>
        <v>MAIO</v>
      </c>
      <c r="C889" s="12" t="s">
        <v>20</v>
      </c>
      <c r="D889" s="12" t="s">
        <v>12</v>
      </c>
      <c r="E889" s="13">
        <v>342</v>
      </c>
      <c r="F889" s="13">
        <v>250</v>
      </c>
      <c r="G889" s="12">
        <v>90</v>
      </c>
      <c r="H889" s="14">
        <v>90</v>
      </c>
      <c r="I889" s="12">
        <f>IFERROR(IF(T_PROD[[#This Row],[PREVISTO]]-T_PROD[[#This Row],[EFETIVO]]&lt; 0,0,T_PROD[[#This Row],[PREVISTO]]-T_PROD[[#This Row],[EFETIVO]] ),"")</f>
        <v>0</v>
      </c>
      <c r="J889" s="15">
        <f>IFERROR(IF(T_PROD[[#This Row],[META]]&gt;0,(T_PROD[[#This Row],[META]]/T_PROD[[#This Row],[PREVISTO]]),""),"")</f>
        <v>3.8</v>
      </c>
      <c r="K889" s="15">
        <f>IFERROR(IF(T_PROD[[#This Row],[PRODUÇÃO]]&gt;0,(T_PROD[[#This Row],[PRODUÇÃO]]/T_PROD[[#This Row],[EFETIVO]]),""),"")</f>
        <v>2.7777777777777777</v>
      </c>
    </row>
    <row r="890" spans="1:11" s="6" customFormat="1" x14ac:dyDescent="0.3">
      <c r="A890" s="11">
        <v>46171</v>
      </c>
      <c r="B890" s="12" t="str">
        <f t="shared" si="97"/>
        <v>MAIO</v>
      </c>
      <c r="C890" s="12" t="s">
        <v>11</v>
      </c>
      <c r="D890" s="12" t="s">
        <v>12</v>
      </c>
      <c r="E890" s="13">
        <v>500</v>
      </c>
      <c r="F890" s="13">
        <v>500</v>
      </c>
      <c r="G890" s="12">
        <v>25</v>
      </c>
      <c r="H890" s="14">
        <v>25</v>
      </c>
      <c r="I890" s="12">
        <f>IFERROR(IF(T_PROD[[#This Row],[PREVISTO]]-T_PROD[[#This Row],[EFETIVO]]&lt; 0,0,T_PROD[[#This Row],[PREVISTO]]-T_PROD[[#This Row],[EFETIVO]] ),"")</f>
        <v>0</v>
      </c>
      <c r="J890" s="15">
        <f>IFERROR(IF(T_PROD[[#This Row],[META]]&gt;0,(T_PROD[[#This Row],[META]]/T_PROD[[#This Row],[PREVISTO]]),""),"")</f>
        <v>20</v>
      </c>
      <c r="K890" s="15">
        <f>IFERROR(IF(T_PROD[[#This Row],[PRODUÇÃO]]&gt;0,(T_PROD[[#This Row],[PRODUÇÃO]]/T_PROD[[#This Row],[EFETIVO]]),""),"")</f>
        <v>20</v>
      </c>
    </row>
    <row r="891" spans="1:11" s="6" customFormat="1" x14ac:dyDescent="0.3">
      <c r="A891" s="11">
        <v>46171</v>
      </c>
      <c r="B891" s="12" t="str">
        <f t="shared" si="97"/>
        <v>MAIO</v>
      </c>
      <c r="C891" s="12" t="s">
        <v>32</v>
      </c>
      <c r="D891" s="12" t="s">
        <v>12</v>
      </c>
      <c r="E891" s="13">
        <v>88</v>
      </c>
      <c r="F891" s="13">
        <v>97</v>
      </c>
      <c r="G891" s="12">
        <v>8</v>
      </c>
      <c r="H891" s="14">
        <v>8</v>
      </c>
      <c r="I891" s="12">
        <f>IFERROR(IF(T_PROD[[#This Row],[PREVISTO]]-T_PROD[[#This Row],[EFETIVO]]&lt; 0,0,T_PROD[[#This Row],[PREVISTO]]-T_PROD[[#This Row],[EFETIVO]] ),"")</f>
        <v>0</v>
      </c>
      <c r="J891" s="15">
        <f>IFERROR(IF(T_PROD[[#This Row],[META]]&gt;0,(T_PROD[[#This Row],[META]]/T_PROD[[#This Row],[PREVISTO]]),""),"")</f>
        <v>11</v>
      </c>
      <c r="K891" s="15">
        <f>IFERROR(IF(T_PROD[[#This Row],[PRODUÇÃO]]&gt;0,(T_PROD[[#This Row],[PRODUÇÃO]]/T_PROD[[#This Row],[EFETIVO]]),""),"")</f>
        <v>12.125</v>
      </c>
    </row>
    <row r="892" spans="1:11" s="6" customFormat="1" x14ac:dyDescent="0.3">
      <c r="A892" s="11">
        <v>46171</v>
      </c>
      <c r="B892" s="12" t="str">
        <f t="shared" si="97"/>
        <v>MAIO</v>
      </c>
      <c r="C892" s="12" t="s">
        <v>14</v>
      </c>
      <c r="D892" s="12" t="s">
        <v>12</v>
      </c>
      <c r="E892" s="13">
        <v>588</v>
      </c>
      <c r="F892" s="13">
        <v>597</v>
      </c>
      <c r="G892" s="12">
        <v>80</v>
      </c>
      <c r="H892" s="14">
        <v>80</v>
      </c>
      <c r="I892" s="12">
        <f>IFERROR(IF(T_PROD[[#This Row],[PREVISTO]]-T_PROD[[#This Row],[EFETIVO]]&lt; 0,0,T_PROD[[#This Row],[PREVISTO]]-T_PROD[[#This Row],[EFETIVO]] ),"")</f>
        <v>0</v>
      </c>
      <c r="J892" s="15">
        <f>IFERROR(IF(T_PROD[[#This Row],[META]]&gt;0,(T_PROD[[#This Row],[META]]/T_PROD[[#This Row],[PREVISTO]]),""),"")</f>
        <v>7.35</v>
      </c>
      <c r="K892" s="15">
        <f>IFERROR(IF(T_PROD[[#This Row],[PRODUÇÃO]]&gt;0,(T_PROD[[#This Row],[PRODUÇÃO]]/T_PROD[[#This Row],[EFETIVO]]),""),"")</f>
        <v>7.4625000000000004</v>
      </c>
    </row>
    <row r="893" spans="1:11" s="6" customFormat="1" x14ac:dyDescent="0.3">
      <c r="A893" s="7">
        <v>46174</v>
      </c>
      <c r="B893" s="6" t="str">
        <f>UPPER(TEXT(A893,"MMMM"))</f>
        <v>JUNHO</v>
      </c>
      <c r="C893" s="12" t="s">
        <v>15</v>
      </c>
      <c r="D893" s="12" t="s">
        <v>12</v>
      </c>
      <c r="E893" s="8">
        <v>75</v>
      </c>
      <c r="F893" s="8">
        <v>66</v>
      </c>
      <c r="G893" s="6">
        <v>5</v>
      </c>
      <c r="H893" s="9">
        <v>5</v>
      </c>
      <c r="I893" s="6">
        <f>IFERROR(IF(T_PROD[[#This Row],[PREVISTO]]-T_PROD[[#This Row],[EFETIVO]]&lt; 0,0,T_PROD[[#This Row],[PREVISTO]]-T_PROD[[#This Row],[EFETIVO]] ),"")</f>
        <v>0</v>
      </c>
      <c r="J893" s="10">
        <f>IFERROR(IF(T_PROD[[#This Row],[META]]&gt;0,(T_PROD[[#This Row],[META]]/T_PROD[[#This Row],[PREVISTO]]),""),"")</f>
        <v>15</v>
      </c>
      <c r="K893" s="10">
        <f>IFERROR(IF(T_PROD[[#This Row],[PRODUÇÃO]]&gt;0,(T_PROD[[#This Row],[PRODUÇÃO]]/T_PROD[[#This Row],[EFETIVO]]),""),"")</f>
        <v>13.2</v>
      </c>
    </row>
    <row r="894" spans="1:11" s="6" customFormat="1" x14ac:dyDescent="0.3">
      <c r="A894" s="7">
        <v>46174</v>
      </c>
      <c r="B894" s="6" t="str">
        <f t="shared" ref="B894:B901" si="98">UPPER(TEXT(A894,"MMMM"))</f>
        <v>JUNHO</v>
      </c>
      <c r="C894" s="12" t="s">
        <v>16</v>
      </c>
      <c r="D894" s="12" t="s">
        <v>12</v>
      </c>
      <c r="E894" s="8">
        <v>170</v>
      </c>
      <c r="F894" s="8">
        <v>162</v>
      </c>
      <c r="G894" s="6">
        <v>5</v>
      </c>
      <c r="H894" s="9">
        <v>5</v>
      </c>
      <c r="I894" s="6">
        <f>IFERROR(IF(T_PROD[[#This Row],[PREVISTO]]-T_PROD[[#This Row],[EFETIVO]]&lt; 0,0,T_PROD[[#This Row],[PREVISTO]]-T_PROD[[#This Row],[EFETIVO]] ),"")</f>
        <v>0</v>
      </c>
      <c r="J894" s="10">
        <f>IFERROR(IF(T_PROD[[#This Row],[META]]&gt;0,(T_PROD[[#This Row],[META]]/T_PROD[[#This Row],[PREVISTO]]),""),"")</f>
        <v>34</v>
      </c>
      <c r="K894" s="10">
        <f>IFERROR(IF(T_PROD[[#This Row],[PRODUÇÃO]]&gt;0,(T_PROD[[#This Row],[PRODUÇÃO]]/T_PROD[[#This Row],[EFETIVO]]),""),"")</f>
        <v>32.4</v>
      </c>
    </row>
    <row r="895" spans="1:11" s="6" customFormat="1" x14ac:dyDescent="0.3">
      <c r="A895" s="7">
        <v>46174</v>
      </c>
      <c r="B895" s="6" t="str">
        <f t="shared" si="98"/>
        <v>JUNHO</v>
      </c>
      <c r="C895" s="12" t="s">
        <v>17</v>
      </c>
      <c r="D895" s="12" t="s">
        <v>12</v>
      </c>
      <c r="E895" s="8">
        <v>168</v>
      </c>
      <c r="F895" s="8">
        <v>168</v>
      </c>
      <c r="G895" s="6">
        <v>10.5</v>
      </c>
      <c r="H895" s="9">
        <v>10.5</v>
      </c>
      <c r="I895" s="6">
        <f>IFERROR(IF(T_PROD[[#This Row],[PREVISTO]]-T_PROD[[#This Row],[EFETIVO]]&lt; 0,0,T_PROD[[#This Row],[PREVISTO]]-T_PROD[[#This Row],[EFETIVO]] ),"")</f>
        <v>0</v>
      </c>
      <c r="J895" s="10">
        <f>IFERROR(IF(T_PROD[[#This Row],[META]]&gt;0,(T_PROD[[#This Row],[META]]/T_PROD[[#This Row],[PREVISTO]]),""),"")</f>
        <v>16</v>
      </c>
      <c r="K895" s="10">
        <f>IFERROR(IF(T_PROD[[#This Row],[PRODUÇÃO]]&gt;0,(T_PROD[[#This Row],[PRODUÇÃO]]/T_PROD[[#This Row],[EFETIVO]]),""),"")</f>
        <v>16</v>
      </c>
    </row>
    <row r="896" spans="1:11" s="6" customFormat="1" x14ac:dyDescent="0.3">
      <c r="A896" s="7">
        <v>46174</v>
      </c>
      <c r="B896" s="6" t="str">
        <f t="shared" si="98"/>
        <v>JUNHO</v>
      </c>
      <c r="C896" s="12" t="s">
        <v>18</v>
      </c>
      <c r="D896" s="12" t="s">
        <v>12</v>
      </c>
      <c r="E896" s="8"/>
      <c r="F896" s="8"/>
      <c r="H896" s="9"/>
      <c r="I896" s="6">
        <f>IFERROR(IF(T_PROD[[#This Row],[PREVISTO]]-T_PROD[[#This Row],[EFETIVO]]&lt; 0,0,T_PROD[[#This Row],[PREVISTO]]-T_PROD[[#This Row],[EFETIVO]] ),"")</f>
        <v>0</v>
      </c>
      <c r="J896" s="10" t="str">
        <f>IFERROR(IF(T_PROD[[#This Row],[META]]&gt;0,(T_PROD[[#This Row],[META]]/T_PROD[[#This Row],[PREVISTO]]),""),"")</f>
        <v/>
      </c>
      <c r="K896" s="10" t="str">
        <f>IFERROR(IF(T_PROD[[#This Row],[PRODUÇÃO]]&gt;0,(T_PROD[[#This Row],[PRODUÇÃO]]/T_PROD[[#This Row],[EFETIVO]]),""),"")</f>
        <v/>
      </c>
    </row>
    <row r="897" spans="1:11" s="6" customFormat="1" x14ac:dyDescent="0.3">
      <c r="A897" s="7">
        <v>46174</v>
      </c>
      <c r="B897" s="6" t="str">
        <f t="shared" si="98"/>
        <v>JUNHO</v>
      </c>
      <c r="C897" s="12" t="s">
        <v>19</v>
      </c>
      <c r="D897" s="12" t="s">
        <v>12</v>
      </c>
      <c r="E897" s="8"/>
      <c r="F897" s="8"/>
      <c r="H897" s="9"/>
      <c r="I897" s="6">
        <f>IFERROR(IF(T_PROD[[#This Row],[PREVISTO]]-T_PROD[[#This Row],[EFETIVO]]&lt; 0,0,T_PROD[[#This Row],[PREVISTO]]-T_PROD[[#This Row],[EFETIVO]] ),"")</f>
        <v>0</v>
      </c>
      <c r="J897" s="10" t="str">
        <f>IFERROR(IF(T_PROD[[#This Row],[META]]&gt;0,(T_PROD[[#This Row],[META]]/T_PROD[[#This Row],[PREVISTO]]),""),"")</f>
        <v/>
      </c>
      <c r="K897" s="10" t="str">
        <f>IFERROR(IF(T_PROD[[#This Row],[PRODUÇÃO]]&gt;0,(T_PROD[[#This Row],[PRODUÇÃO]]/T_PROD[[#This Row],[EFETIVO]]),""),"")</f>
        <v/>
      </c>
    </row>
    <row r="898" spans="1:11" s="6" customFormat="1" x14ac:dyDescent="0.3">
      <c r="A898" s="7">
        <v>46174</v>
      </c>
      <c r="B898" s="6" t="str">
        <f t="shared" si="98"/>
        <v>JUNHO</v>
      </c>
      <c r="C898" s="12" t="s">
        <v>20</v>
      </c>
      <c r="D898" s="12" t="s">
        <v>12</v>
      </c>
      <c r="E898" s="8">
        <v>413</v>
      </c>
      <c r="F898" s="8">
        <v>396</v>
      </c>
      <c r="G898" s="6">
        <v>90</v>
      </c>
      <c r="H898" s="9">
        <v>90</v>
      </c>
      <c r="I898" s="6">
        <f>IFERROR(IF(T_PROD[[#This Row],[PREVISTO]]-T_PROD[[#This Row],[EFETIVO]]&lt; 0,0,T_PROD[[#This Row],[PREVISTO]]-T_PROD[[#This Row],[EFETIVO]] ),"")</f>
        <v>0</v>
      </c>
      <c r="J898" s="10">
        <f>IFERROR(IF(T_PROD[[#This Row],[META]]&gt;0,(T_PROD[[#This Row],[META]]/T_PROD[[#This Row],[PREVISTO]]),""),"")</f>
        <v>4.5888888888888886</v>
      </c>
      <c r="K898" s="10">
        <f>IFERROR(IF(T_PROD[[#This Row],[PRODUÇÃO]]&gt;0,(T_PROD[[#This Row],[PRODUÇÃO]]/T_PROD[[#This Row],[EFETIVO]]),""),"")</f>
        <v>4.4000000000000004</v>
      </c>
    </row>
    <row r="899" spans="1:11" s="6" customFormat="1" x14ac:dyDescent="0.3">
      <c r="A899" s="7">
        <v>46174</v>
      </c>
      <c r="B899" s="6" t="str">
        <f t="shared" si="98"/>
        <v>JUNHO</v>
      </c>
      <c r="C899" s="12" t="s">
        <v>11</v>
      </c>
      <c r="D899" s="12" t="s">
        <v>12</v>
      </c>
      <c r="E899" s="8">
        <v>600</v>
      </c>
      <c r="F899" s="8">
        <v>630</v>
      </c>
      <c r="G899" s="6">
        <v>30</v>
      </c>
      <c r="H899" s="9">
        <v>30</v>
      </c>
      <c r="I899" s="6">
        <f>IFERROR(IF(T_PROD[[#This Row],[PREVISTO]]-T_PROD[[#This Row],[EFETIVO]]&lt; 0,0,T_PROD[[#This Row],[PREVISTO]]-T_PROD[[#This Row],[EFETIVO]] ),"")</f>
        <v>0</v>
      </c>
      <c r="J899" s="10">
        <f>IFERROR(IF(T_PROD[[#This Row],[META]]&gt;0,(T_PROD[[#This Row],[META]]/T_PROD[[#This Row],[PREVISTO]]),""),"")</f>
        <v>20</v>
      </c>
      <c r="K899" s="10">
        <f>IFERROR(IF(T_PROD[[#This Row],[PRODUÇÃO]]&gt;0,(T_PROD[[#This Row],[PRODUÇÃO]]/T_PROD[[#This Row],[EFETIVO]]),""),"")</f>
        <v>21</v>
      </c>
    </row>
    <row r="900" spans="1:11" s="6" customFormat="1" x14ac:dyDescent="0.3">
      <c r="A900" s="7">
        <v>46174</v>
      </c>
      <c r="B900" s="6" t="str">
        <f t="shared" si="98"/>
        <v>JUNHO</v>
      </c>
      <c r="C900" s="12" t="s">
        <v>32</v>
      </c>
      <c r="D900" s="12" t="s">
        <v>12</v>
      </c>
      <c r="E900" s="8">
        <v>110</v>
      </c>
      <c r="F900" s="8">
        <v>116</v>
      </c>
      <c r="G900" s="6">
        <v>10</v>
      </c>
      <c r="H900" s="9">
        <v>10</v>
      </c>
      <c r="I900" s="6">
        <f>IFERROR(IF(T_PROD[[#This Row],[PREVISTO]]-T_PROD[[#This Row],[EFETIVO]]&lt; 0,0,T_PROD[[#This Row],[PREVISTO]]-T_PROD[[#This Row],[EFETIVO]] ),"")</f>
        <v>0</v>
      </c>
      <c r="J900" s="10">
        <f>IFERROR(IF(T_PROD[[#This Row],[META]]&gt;0,(T_PROD[[#This Row],[META]]/T_PROD[[#This Row],[PREVISTO]]),""),"")</f>
        <v>11</v>
      </c>
      <c r="K900" s="10">
        <f>IFERROR(IF(T_PROD[[#This Row],[PRODUÇÃO]]&gt;0,(T_PROD[[#This Row],[PRODUÇÃO]]/T_PROD[[#This Row],[EFETIVO]]),""),"")</f>
        <v>11.6</v>
      </c>
    </row>
    <row r="901" spans="1:11" s="6" customFormat="1" x14ac:dyDescent="0.3">
      <c r="A901" s="7">
        <v>46174</v>
      </c>
      <c r="B901" s="6" t="str">
        <f t="shared" si="98"/>
        <v>JUNHO</v>
      </c>
      <c r="C901" s="12" t="s">
        <v>14</v>
      </c>
      <c r="D901" s="12" t="s">
        <v>12</v>
      </c>
      <c r="E901" s="8">
        <v>710</v>
      </c>
      <c r="F901" s="8">
        <v>746</v>
      </c>
      <c r="G901" s="6">
        <v>95</v>
      </c>
      <c r="H901" s="9">
        <v>92</v>
      </c>
      <c r="I901" s="6">
        <f>IFERROR(IF(T_PROD[[#This Row],[PREVISTO]]-T_PROD[[#This Row],[EFETIVO]]&lt; 0,0,T_PROD[[#This Row],[PREVISTO]]-T_PROD[[#This Row],[EFETIVO]] ),"")</f>
        <v>3</v>
      </c>
      <c r="J901" s="10">
        <f>IFERROR(IF(T_PROD[[#This Row],[META]]&gt;0,(T_PROD[[#This Row],[META]]/T_PROD[[#This Row],[PREVISTO]]),""),"")</f>
        <v>7.4736842105263159</v>
      </c>
      <c r="K901" s="10">
        <f>IFERROR(IF(T_PROD[[#This Row],[PRODUÇÃO]]&gt;0,(T_PROD[[#This Row],[PRODUÇÃO]]/T_PROD[[#This Row],[EFETIVO]]),""),"")</f>
        <v>8.1086956521739122</v>
      </c>
    </row>
    <row r="902" spans="1:11" s="6" customFormat="1" x14ac:dyDescent="0.3">
      <c r="A902" s="11">
        <v>46175</v>
      </c>
      <c r="B902" s="12" t="str">
        <f>UPPER(TEXT(A902,"MMMM"))</f>
        <v>JUNHO</v>
      </c>
      <c r="C902" s="12" t="s">
        <v>15</v>
      </c>
      <c r="D902" s="12" t="s">
        <v>12</v>
      </c>
      <c r="E902" s="13"/>
      <c r="F902" s="13"/>
      <c r="G902" s="12"/>
      <c r="H902" s="14"/>
      <c r="I902" s="12">
        <f>IFERROR(IF(T_PROD[[#This Row],[PREVISTO]]-T_PROD[[#This Row],[EFETIVO]]&lt; 0,0,T_PROD[[#This Row],[PREVISTO]]-T_PROD[[#This Row],[EFETIVO]] ),"")</f>
        <v>0</v>
      </c>
      <c r="J902" s="15" t="str">
        <f>IFERROR(IF(T_PROD[[#This Row],[META]]&gt;0,(T_PROD[[#This Row],[META]]/T_PROD[[#This Row],[PREVISTO]]),""),"")</f>
        <v/>
      </c>
      <c r="K902" s="15" t="str">
        <f>IFERROR(IF(T_PROD[[#This Row],[PRODUÇÃO]]&gt;0,(T_PROD[[#This Row],[PRODUÇÃO]]/T_PROD[[#This Row],[EFETIVO]]),""),"")</f>
        <v/>
      </c>
    </row>
    <row r="903" spans="1:11" s="6" customFormat="1" x14ac:dyDescent="0.3">
      <c r="A903" s="11">
        <v>46175</v>
      </c>
      <c r="B903" s="12" t="str">
        <f t="shared" ref="B903:B910" si="99">UPPER(TEXT(A903,"MMMM"))</f>
        <v>JUNHO</v>
      </c>
      <c r="C903" s="12" t="s">
        <v>16</v>
      </c>
      <c r="D903" s="12" t="s">
        <v>12</v>
      </c>
      <c r="E903" s="13">
        <v>170</v>
      </c>
      <c r="F903" s="13">
        <v>140</v>
      </c>
      <c r="G903" s="12">
        <v>5</v>
      </c>
      <c r="H903" s="14">
        <v>5</v>
      </c>
      <c r="I903" s="12">
        <f>IFERROR(IF(T_PROD[[#This Row],[PREVISTO]]-T_PROD[[#This Row],[EFETIVO]]&lt; 0,0,T_PROD[[#This Row],[PREVISTO]]-T_PROD[[#This Row],[EFETIVO]] ),"")</f>
        <v>0</v>
      </c>
      <c r="J903" s="15">
        <f>IFERROR(IF(T_PROD[[#This Row],[META]]&gt;0,(T_PROD[[#This Row],[META]]/T_PROD[[#This Row],[PREVISTO]]),""),"")</f>
        <v>34</v>
      </c>
      <c r="K903" s="15">
        <f>IFERROR(IF(T_PROD[[#This Row],[PRODUÇÃO]]&gt;0,(T_PROD[[#This Row],[PRODUÇÃO]]/T_PROD[[#This Row],[EFETIVO]]),""),"")</f>
        <v>28</v>
      </c>
    </row>
    <row r="904" spans="1:11" s="6" customFormat="1" x14ac:dyDescent="0.3">
      <c r="A904" s="11">
        <v>46175</v>
      </c>
      <c r="B904" s="12" t="str">
        <f t="shared" si="99"/>
        <v>JUNHO</v>
      </c>
      <c r="C904" s="12" t="s">
        <v>17</v>
      </c>
      <c r="D904" s="12" t="s">
        <v>12</v>
      </c>
      <c r="E904" s="13">
        <v>152</v>
      </c>
      <c r="F904" s="13">
        <v>105</v>
      </c>
      <c r="G904" s="12">
        <v>9.5</v>
      </c>
      <c r="H904" s="14">
        <v>9.5</v>
      </c>
      <c r="I904" s="12">
        <f>IFERROR(IF(T_PROD[[#This Row],[PREVISTO]]-T_PROD[[#This Row],[EFETIVO]]&lt; 0,0,T_PROD[[#This Row],[PREVISTO]]-T_PROD[[#This Row],[EFETIVO]] ),"")</f>
        <v>0</v>
      </c>
      <c r="J904" s="15">
        <f>IFERROR(IF(T_PROD[[#This Row],[META]]&gt;0,(T_PROD[[#This Row],[META]]/T_PROD[[#This Row],[PREVISTO]]),""),"")</f>
        <v>16</v>
      </c>
      <c r="K904" s="15">
        <f>IFERROR(IF(T_PROD[[#This Row],[PRODUÇÃO]]&gt;0,(T_PROD[[#This Row],[PRODUÇÃO]]/T_PROD[[#This Row],[EFETIVO]]),""),"")</f>
        <v>11.052631578947368</v>
      </c>
    </row>
    <row r="905" spans="1:11" s="6" customFormat="1" x14ac:dyDescent="0.3">
      <c r="A905" s="11">
        <v>46175</v>
      </c>
      <c r="B905" s="12" t="str">
        <f t="shared" si="99"/>
        <v>JUNHO</v>
      </c>
      <c r="C905" s="12" t="s">
        <v>18</v>
      </c>
      <c r="D905" s="12" t="s">
        <v>12</v>
      </c>
      <c r="E905" s="13"/>
      <c r="F905" s="13"/>
      <c r="G905" s="12"/>
      <c r="H905" s="14"/>
      <c r="I905" s="12">
        <f>IFERROR(IF(T_PROD[[#This Row],[PREVISTO]]-T_PROD[[#This Row],[EFETIVO]]&lt; 0,0,T_PROD[[#This Row],[PREVISTO]]-T_PROD[[#This Row],[EFETIVO]] ),"")</f>
        <v>0</v>
      </c>
      <c r="J905" s="15" t="str">
        <f>IFERROR(IF(T_PROD[[#This Row],[META]]&gt;0,(T_PROD[[#This Row],[META]]/T_PROD[[#This Row],[PREVISTO]]),""),"")</f>
        <v/>
      </c>
      <c r="K905" s="15" t="str">
        <f>IFERROR(IF(T_PROD[[#This Row],[PRODUÇÃO]]&gt;0,(T_PROD[[#This Row],[PRODUÇÃO]]/T_PROD[[#This Row],[EFETIVO]]),""),"")</f>
        <v/>
      </c>
    </row>
    <row r="906" spans="1:11" s="6" customFormat="1" x14ac:dyDescent="0.3">
      <c r="A906" s="11">
        <v>46175</v>
      </c>
      <c r="B906" s="12" t="str">
        <f t="shared" si="99"/>
        <v>JUNHO</v>
      </c>
      <c r="C906" s="12" t="s">
        <v>19</v>
      </c>
      <c r="D906" s="12" t="s">
        <v>12</v>
      </c>
      <c r="E906" s="13"/>
      <c r="F906" s="13"/>
      <c r="G906" s="12"/>
      <c r="H906" s="14"/>
      <c r="I906" s="12">
        <f>IFERROR(IF(T_PROD[[#This Row],[PREVISTO]]-T_PROD[[#This Row],[EFETIVO]]&lt; 0,0,T_PROD[[#This Row],[PREVISTO]]-T_PROD[[#This Row],[EFETIVO]] ),"")</f>
        <v>0</v>
      </c>
      <c r="J906" s="15" t="str">
        <f>IFERROR(IF(T_PROD[[#This Row],[META]]&gt;0,(T_PROD[[#This Row],[META]]/T_PROD[[#This Row],[PREVISTO]]),""),"")</f>
        <v/>
      </c>
      <c r="K906" s="15" t="str">
        <f>IFERROR(IF(T_PROD[[#This Row],[PRODUÇÃO]]&gt;0,(T_PROD[[#This Row],[PRODUÇÃO]]/T_PROD[[#This Row],[EFETIVO]]),""),"")</f>
        <v/>
      </c>
    </row>
    <row r="907" spans="1:11" s="6" customFormat="1" x14ac:dyDescent="0.3">
      <c r="A907" s="11">
        <v>46175</v>
      </c>
      <c r="B907" s="12" t="str">
        <f t="shared" si="99"/>
        <v>JUNHO</v>
      </c>
      <c r="C907" s="12" t="s">
        <v>20</v>
      </c>
      <c r="D907" s="12" t="s">
        <v>12</v>
      </c>
      <c r="E907" s="13">
        <v>322</v>
      </c>
      <c r="F907" s="13">
        <v>245</v>
      </c>
      <c r="G907" s="12">
        <v>90</v>
      </c>
      <c r="H907" s="14">
        <v>90</v>
      </c>
      <c r="I907" s="12">
        <f>IFERROR(IF(T_PROD[[#This Row],[PREVISTO]]-T_PROD[[#This Row],[EFETIVO]]&lt; 0,0,T_PROD[[#This Row],[PREVISTO]]-T_PROD[[#This Row],[EFETIVO]] ),"")</f>
        <v>0</v>
      </c>
      <c r="J907" s="15">
        <f>IFERROR(IF(T_PROD[[#This Row],[META]]&gt;0,(T_PROD[[#This Row],[META]]/T_PROD[[#This Row],[PREVISTO]]),""),"")</f>
        <v>3.5777777777777779</v>
      </c>
      <c r="K907" s="15">
        <f>IFERROR(IF(T_PROD[[#This Row],[PRODUÇÃO]]&gt;0,(T_PROD[[#This Row],[PRODUÇÃO]]/T_PROD[[#This Row],[EFETIVO]]),""),"")</f>
        <v>2.7222222222222223</v>
      </c>
    </row>
    <row r="908" spans="1:11" s="6" customFormat="1" x14ac:dyDescent="0.3">
      <c r="A908" s="11">
        <v>46175</v>
      </c>
      <c r="B908" s="12" t="str">
        <f t="shared" si="99"/>
        <v>JUNHO</v>
      </c>
      <c r="C908" s="12" t="s">
        <v>11</v>
      </c>
      <c r="D908" s="12" t="s">
        <v>12</v>
      </c>
      <c r="E908" s="13">
        <v>620</v>
      </c>
      <c r="F908" s="13">
        <v>650</v>
      </c>
      <c r="G908" s="12">
        <v>31</v>
      </c>
      <c r="H908" s="14">
        <v>31</v>
      </c>
      <c r="I908" s="12">
        <f>IFERROR(IF(T_PROD[[#This Row],[PREVISTO]]-T_PROD[[#This Row],[EFETIVO]]&lt; 0,0,T_PROD[[#This Row],[PREVISTO]]-T_PROD[[#This Row],[EFETIVO]] ),"")</f>
        <v>0</v>
      </c>
      <c r="J908" s="15">
        <f>IFERROR(IF(T_PROD[[#This Row],[META]]&gt;0,(T_PROD[[#This Row],[META]]/T_PROD[[#This Row],[PREVISTO]]),""),"")</f>
        <v>20</v>
      </c>
      <c r="K908" s="15">
        <f>IFERROR(IF(T_PROD[[#This Row],[PRODUÇÃO]]&gt;0,(T_PROD[[#This Row],[PRODUÇÃO]]/T_PROD[[#This Row],[EFETIVO]]),""),"")</f>
        <v>20.967741935483872</v>
      </c>
    </row>
    <row r="909" spans="1:11" s="6" customFormat="1" x14ac:dyDescent="0.3">
      <c r="A909" s="11">
        <v>46175</v>
      </c>
      <c r="B909" s="12" t="str">
        <f t="shared" si="99"/>
        <v>JUNHO</v>
      </c>
      <c r="C909" s="12" t="s">
        <v>32</v>
      </c>
      <c r="D909" s="12" t="s">
        <v>12</v>
      </c>
      <c r="E909" s="13">
        <v>121</v>
      </c>
      <c r="F909" s="13">
        <v>124</v>
      </c>
      <c r="G909" s="12">
        <v>11</v>
      </c>
      <c r="H909" s="14">
        <v>11</v>
      </c>
      <c r="I909" s="12">
        <f>IFERROR(IF(T_PROD[[#This Row],[PREVISTO]]-T_PROD[[#This Row],[EFETIVO]]&lt; 0,0,T_PROD[[#This Row],[PREVISTO]]-T_PROD[[#This Row],[EFETIVO]] ),"")</f>
        <v>0</v>
      </c>
      <c r="J909" s="15">
        <f>IFERROR(IF(T_PROD[[#This Row],[META]]&gt;0,(T_PROD[[#This Row],[META]]/T_PROD[[#This Row],[PREVISTO]]),""),"")</f>
        <v>11</v>
      </c>
      <c r="K909" s="15">
        <f>IFERROR(IF(T_PROD[[#This Row],[PRODUÇÃO]]&gt;0,(T_PROD[[#This Row],[PRODUÇÃO]]/T_PROD[[#This Row],[EFETIVO]]),""),"")</f>
        <v>11.272727272727273</v>
      </c>
    </row>
    <row r="910" spans="1:11" s="6" customFormat="1" x14ac:dyDescent="0.3">
      <c r="A910" s="11">
        <v>46175</v>
      </c>
      <c r="B910" s="12" t="str">
        <f t="shared" si="99"/>
        <v>JUNHO</v>
      </c>
      <c r="C910" s="12" t="s">
        <v>14</v>
      </c>
      <c r="D910" s="12" t="s">
        <v>12</v>
      </c>
      <c r="E910" s="13">
        <v>741</v>
      </c>
      <c r="F910" s="13">
        <v>774</v>
      </c>
      <c r="G910" s="12">
        <v>95</v>
      </c>
      <c r="H910" s="14">
        <v>91</v>
      </c>
      <c r="I910" s="12">
        <f>IFERROR(IF(T_PROD[[#This Row],[PREVISTO]]-T_PROD[[#This Row],[EFETIVO]]&lt; 0,0,T_PROD[[#This Row],[PREVISTO]]-T_PROD[[#This Row],[EFETIVO]] ),"")</f>
        <v>4</v>
      </c>
      <c r="J910" s="15">
        <f>IFERROR(IF(T_PROD[[#This Row],[META]]&gt;0,(T_PROD[[#This Row],[META]]/T_PROD[[#This Row],[PREVISTO]]),""),"")</f>
        <v>7.8</v>
      </c>
      <c r="K910" s="15">
        <f>IFERROR(IF(T_PROD[[#This Row],[PRODUÇÃO]]&gt;0,(T_PROD[[#This Row],[PRODUÇÃO]]/T_PROD[[#This Row],[EFETIVO]]),""),"")</f>
        <v>8.5054945054945055</v>
      </c>
    </row>
    <row r="911" spans="1:11" s="6" customFormat="1" x14ac:dyDescent="0.3">
      <c r="A911" s="11">
        <v>46176</v>
      </c>
      <c r="B911" s="12" t="str">
        <f>UPPER(TEXT(A911,"MMMM"))</f>
        <v>JUNHO</v>
      </c>
      <c r="C911" s="12" t="s">
        <v>15</v>
      </c>
      <c r="D911" s="12" t="s">
        <v>12</v>
      </c>
      <c r="E911" s="13">
        <v>75</v>
      </c>
      <c r="F911" s="13">
        <v>54</v>
      </c>
      <c r="G911" s="12">
        <v>5</v>
      </c>
      <c r="H911" s="14">
        <v>5</v>
      </c>
      <c r="I911" s="12">
        <f>IFERROR(IF(T_PROD[[#This Row],[PREVISTO]]-T_PROD[[#This Row],[EFETIVO]]&lt; 0,0,T_PROD[[#This Row],[PREVISTO]]-T_PROD[[#This Row],[EFETIVO]] ),"")</f>
        <v>0</v>
      </c>
      <c r="J911" s="15">
        <f>IFERROR(IF(T_PROD[[#This Row],[META]]&gt;0,(T_PROD[[#This Row],[META]]/T_PROD[[#This Row],[PREVISTO]]),""),"")</f>
        <v>15</v>
      </c>
      <c r="K911" s="15">
        <f>IFERROR(IF(T_PROD[[#This Row],[PRODUÇÃO]]&gt;0,(T_PROD[[#This Row],[PRODUÇÃO]]/T_PROD[[#This Row],[EFETIVO]]),""),"")</f>
        <v>10.8</v>
      </c>
    </row>
    <row r="912" spans="1:11" s="6" customFormat="1" x14ac:dyDescent="0.3">
      <c r="A912" s="11">
        <v>46176</v>
      </c>
      <c r="B912" s="12" t="str">
        <f t="shared" ref="B912:B919" si="100">UPPER(TEXT(A912,"MMMM"))</f>
        <v>JUNHO</v>
      </c>
      <c r="C912" s="12" t="s">
        <v>16</v>
      </c>
      <c r="D912" s="12" t="s">
        <v>12</v>
      </c>
      <c r="E912" s="13">
        <v>204</v>
      </c>
      <c r="F912" s="13">
        <v>194</v>
      </c>
      <c r="G912" s="12">
        <v>6</v>
      </c>
      <c r="H912" s="14">
        <v>6</v>
      </c>
      <c r="I912" s="12">
        <f>IFERROR(IF(T_PROD[[#This Row],[PREVISTO]]-T_PROD[[#This Row],[EFETIVO]]&lt; 0,0,T_PROD[[#This Row],[PREVISTO]]-T_PROD[[#This Row],[EFETIVO]] ),"")</f>
        <v>0</v>
      </c>
      <c r="J912" s="15">
        <f>IFERROR(IF(T_PROD[[#This Row],[META]]&gt;0,(T_PROD[[#This Row],[META]]/T_PROD[[#This Row],[PREVISTO]]),""),"")</f>
        <v>34</v>
      </c>
      <c r="K912" s="15">
        <f>IFERROR(IF(T_PROD[[#This Row],[PRODUÇÃO]]&gt;0,(T_PROD[[#This Row],[PRODUÇÃO]]/T_PROD[[#This Row],[EFETIVO]]),""),"")</f>
        <v>32.333333333333336</v>
      </c>
    </row>
    <row r="913" spans="1:11" s="6" customFormat="1" x14ac:dyDescent="0.3">
      <c r="A913" s="11">
        <v>46176</v>
      </c>
      <c r="B913" s="12" t="str">
        <f t="shared" si="100"/>
        <v>JUNHO</v>
      </c>
      <c r="C913" s="12" t="s">
        <v>17</v>
      </c>
      <c r="D913" s="12" t="s">
        <v>12</v>
      </c>
      <c r="E913" s="13">
        <v>176</v>
      </c>
      <c r="F913" s="13">
        <v>200</v>
      </c>
      <c r="G913" s="12">
        <v>11</v>
      </c>
      <c r="H913" s="14">
        <v>11</v>
      </c>
      <c r="I913" s="12">
        <f>IFERROR(IF(T_PROD[[#This Row],[PREVISTO]]-T_PROD[[#This Row],[EFETIVO]]&lt; 0,0,T_PROD[[#This Row],[PREVISTO]]-T_PROD[[#This Row],[EFETIVO]] ),"")</f>
        <v>0</v>
      </c>
      <c r="J913" s="15">
        <f>IFERROR(IF(T_PROD[[#This Row],[META]]&gt;0,(T_PROD[[#This Row],[META]]/T_PROD[[#This Row],[PREVISTO]]),""),"")</f>
        <v>16</v>
      </c>
      <c r="K913" s="15">
        <f>IFERROR(IF(T_PROD[[#This Row],[PRODUÇÃO]]&gt;0,(T_PROD[[#This Row],[PRODUÇÃO]]/T_PROD[[#This Row],[EFETIVO]]),""),"")</f>
        <v>18.181818181818183</v>
      </c>
    </row>
    <row r="914" spans="1:11" s="6" customFormat="1" x14ac:dyDescent="0.3">
      <c r="A914" s="11">
        <v>46176</v>
      </c>
      <c r="B914" s="12" t="str">
        <f t="shared" si="100"/>
        <v>JUNHO</v>
      </c>
      <c r="C914" s="12" t="s">
        <v>18</v>
      </c>
      <c r="D914" s="12" t="s">
        <v>12</v>
      </c>
      <c r="E914" s="13"/>
      <c r="F914" s="13"/>
      <c r="G914" s="12"/>
      <c r="H914" s="14"/>
      <c r="I914" s="12">
        <f>IFERROR(IF(T_PROD[[#This Row],[PREVISTO]]-T_PROD[[#This Row],[EFETIVO]]&lt; 0,0,T_PROD[[#This Row],[PREVISTO]]-T_PROD[[#This Row],[EFETIVO]] ),"")</f>
        <v>0</v>
      </c>
      <c r="J914" s="15" t="str">
        <f>IFERROR(IF(T_PROD[[#This Row],[META]]&gt;0,(T_PROD[[#This Row],[META]]/T_PROD[[#This Row],[PREVISTO]]),""),"")</f>
        <v/>
      </c>
      <c r="K914" s="15" t="str">
        <f>IFERROR(IF(T_PROD[[#This Row],[PRODUÇÃO]]&gt;0,(T_PROD[[#This Row],[PRODUÇÃO]]/T_PROD[[#This Row],[EFETIVO]]),""),"")</f>
        <v/>
      </c>
    </row>
    <row r="915" spans="1:11" s="6" customFormat="1" x14ac:dyDescent="0.3">
      <c r="A915" s="11">
        <v>46176</v>
      </c>
      <c r="B915" s="12" t="str">
        <f t="shared" si="100"/>
        <v>JUNHO</v>
      </c>
      <c r="C915" s="12" t="s">
        <v>19</v>
      </c>
      <c r="D915" s="12" t="s">
        <v>12</v>
      </c>
      <c r="E915" s="13"/>
      <c r="F915" s="13"/>
      <c r="G915" s="12"/>
      <c r="H915" s="14"/>
      <c r="I915" s="12">
        <f>IFERROR(IF(T_PROD[[#This Row],[PREVISTO]]-T_PROD[[#This Row],[EFETIVO]]&lt; 0,0,T_PROD[[#This Row],[PREVISTO]]-T_PROD[[#This Row],[EFETIVO]] ),"")</f>
        <v>0</v>
      </c>
      <c r="J915" s="15" t="str">
        <f>IFERROR(IF(T_PROD[[#This Row],[META]]&gt;0,(T_PROD[[#This Row],[META]]/T_PROD[[#This Row],[PREVISTO]]),""),"")</f>
        <v/>
      </c>
      <c r="K915" s="15" t="str">
        <f>IFERROR(IF(T_PROD[[#This Row],[PRODUÇÃO]]&gt;0,(T_PROD[[#This Row],[PRODUÇÃO]]/T_PROD[[#This Row],[EFETIVO]]),""),"")</f>
        <v/>
      </c>
    </row>
    <row r="916" spans="1:11" s="6" customFormat="1" x14ac:dyDescent="0.3">
      <c r="A916" s="11">
        <v>46176</v>
      </c>
      <c r="B916" s="12" t="str">
        <f t="shared" si="100"/>
        <v>JUNHO</v>
      </c>
      <c r="C916" s="12" t="s">
        <v>20</v>
      </c>
      <c r="D916" s="12" t="s">
        <v>12</v>
      </c>
      <c r="E916" s="13">
        <v>455</v>
      </c>
      <c r="F916" s="13">
        <v>448</v>
      </c>
      <c r="G916" s="12">
        <v>90</v>
      </c>
      <c r="H916" s="14">
        <v>90</v>
      </c>
      <c r="I916" s="12">
        <f>IFERROR(IF(T_PROD[[#This Row],[PREVISTO]]-T_PROD[[#This Row],[EFETIVO]]&lt; 0,0,T_PROD[[#This Row],[PREVISTO]]-T_PROD[[#This Row],[EFETIVO]] ),"")</f>
        <v>0</v>
      </c>
      <c r="J916" s="15">
        <f>IFERROR(IF(T_PROD[[#This Row],[META]]&gt;0,(T_PROD[[#This Row],[META]]/T_PROD[[#This Row],[PREVISTO]]),""),"")</f>
        <v>5.0555555555555554</v>
      </c>
      <c r="K916" s="15">
        <f>IFERROR(IF(T_PROD[[#This Row],[PRODUÇÃO]]&gt;0,(T_PROD[[#This Row],[PRODUÇÃO]]/T_PROD[[#This Row],[EFETIVO]]),""),"")</f>
        <v>4.9777777777777779</v>
      </c>
    </row>
    <row r="917" spans="1:11" s="6" customFormat="1" x14ac:dyDescent="0.3">
      <c r="A917" s="11">
        <v>46176</v>
      </c>
      <c r="B917" s="12" t="str">
        <f t="shared" si="100"/>
        <v>JUNHO</v>
      </c>
      <c r="C917" s="12" t="s">
        <v>11</v>
      </c>
      <c r="D917" s="12" t="s">
        <v>12</v>
      </c>
      <c r="E917" s="13">
        <v>620</v>
      </c>
      <c r="F917" s="13">
        <v>632</v>
      </c>
      <c r="G917" s="12">
        <v>31</v>
      </c>
      <c r="H917" s="14">
        <v>31</v>
      </c>
      <c r="I917" s="12">
        <f>IFERROR(IF(T_PROD[[#This Row],[PREVISTO]]-T_PROD[[#This Row],[EFETIVO]]&lt; 0,0,T_PROD[[#This Row],[PREVISTO]]-T_PROD[[#This Row],[EFETIVO]] ),"")</f>
        <v>0</v>
      </c>
      <c r="J917" s="15">
        <f>IFERROR(IF(T_PROD[[#This Row],[META]]&gt;0,(T_PROD[[#This Row],[META]]/T_PROD[[#This Row],[PREVISTO]]),""),"")</f>
        <v>20</v>
      </c>
      <c r="K917" s="15">
        <f>IFERROR(IF(T_PROD[[#This Row],[PRODUÇÃO]]&gt;0,(T_PROD[[#This Row],[PRODUÇÃO]]/T_PROD[[#This Row],[EFETIVO]]),""),"")</f>
        <v>20.387096774193548</v>
      </c>
    </row>
    <row r="918" spans="1:11" s="6" customFormat="1" x14ac:dyDescent="0.3">
      <c r="A918" s="11">
        <v>46176</v>
      </c>
      <c r="B918" s="12" t="str">
        <f t="shared" si="100"/>
        <v>JUNHO</v>
      </c>
      <c r="C918" s="12" t="s">
        <v>32</v>
      </c>
      <c r="D918" s="12" t="s">
        <v>12</v>
      </c>
      <c r="E918" s="13">
        <v>110</v>
      </c>
      <c r="F918" s="13">
        <v>123</v>
      </c>
      <c r="G918" s="12">
        <v>10</v>
      </c>
      <c r="H918" s="14">
        <v>11</v>
      </c>
      <c r="I918" s="12">
        <f>IFERROR(IF(T_PROD[[#This Row],[PREVISTO]]-T_PROD[[#This Row],[EFETIVO]]&lt; 0,0,T_PROD[[#This Row],[PREVISTO]]-T_PROD[[#This Row],[EFETIVO]] ),"")</f>
        <v>0</v>
      </c>
      <c r="J918" s="15">
        <f>IFERROR(IF(T_PROD[[#This Row],[META]]&gt;0,(T_PROD[[#This Row],[META]]/T_PROD[[#This Row],[PREVISTO]]),""),"")</f>
        <v>11</v>
      </c>
      <c r="K918" s="15">
        <f>IFERROR(IF(T_PROD[[#This Row],[PRODUÇÃO]]&gt;0,(T_PROD[[#This Row],[PRODUÇÃO]]/T_PROD[[#This Row],[EFETIVO]]),""),"")</f>
        <v>11.181818181818182</v>
      </c>
    </row>
    <row r="919" spans="1:11" s="6" customFormat="1" x14ac:dyDescent="0.3">
      <c r="A919" s="11">
        <v>46176</v>
      </c>
      <c r="B919" s="12" t="str">
        <f t="shared" si="100"/>
        <v>JUNHO</v>
      </c>
      <c r="C919" s="12" t="s">
        <v>14</v>
      </c>
      <c r="D919" s="12" t="s">
        <v>12</v>
      </c>
      <c r="E919" s="13">
        <v>730</v>
      </c>
      <c r="F919" s="13">
        <v>755</v>
      </c>
      <c r="G919" s="12">
        <v>95</v>
      </c>
      <c r="H919" s="14">
        <v>91</v>
      </c>
      <c r="I919" s="12">
        <f>IFERROR(IF(T_PROD[[#This Row],[PREVISTO]]-T_PROD[[#This Row],[EFETIVO]]&lt; 0,0,T_PROD[[#This Row],[PREVISTO]]-T_PROD[[#This Row],[EFETIVO]] ),"")</f>
        <v>4</v>
      </c>
      <c r="J919" s="15">
        <f>IFERROR(IF(T_PROD[[#This Row],[META]]&gt;0,(T_PROD[[#This Row],[META]]/T_PROD[[#This Row],[PREVISTO]]),""),"")</f>
        <v>7.6842105263157894</v>
      </c>
      <c r="K919" s="15">
        <f>IFERROR(IF(T_PROD[[#This Row],[PRODUÇÃO]]&gt;0,(T_PROD[[#This Row],[PRODUÇÃO]]/T_PROD[[#This Row],[EFETIVO]]),""),"")</f>
        <v>8.2967032967032974</v>
      </c>
    </row>
    <row r="920" spans="1:11" s="6" customFormat="1" x14ac:dyDescent="0.3">
      <c r="A920" s="11">
        <v>46178</v>
      </c>
      <c r="B920" s="12" t="str">
        <f>UPPER(TEXT(A920,"MMMM"))</f>
        <v>JUNHO</v>
      </c>
      <c r="C920" s="12" t="s">
        <v>15</v>
      </c>
      <c r="D920" s="12" t="s">
        <v>12</v>
      </c>
      <c r="E920" s="13"/>
      <c r="F920" s="13"/>
      <c r="G920" s="12"/>
      <c r="H920" s="14"/>
      <c r="I920" s="12">
        <f>IFERROR(IF(T_PROD[[#This Row],[PREVISTO]]-T_PROD[[#This Row],[EFETIVO]]&lt; 0,0,T_PROD[[#This Row],[PREVISTO]]-T_PROD[[#This Row],[EFETIVO]] ),"")</f>
        <v>0</v>
      </c>
      <c r="J920" s="15" t="str">
        <f>IFERROR(IF(T_PROD[[#This Row],[META]]&gt;0,(T_PROD[[#This Row],[META]]/T_PROD[[#This Row],[PREVISTO]]),""),"")</f>
        <v/>
      </c>
      <c r="K920" s="15" t="str">
        <f>IFERROR(IF(T_PROD[[#This Row],[PRODUÇÃO]]&gt;0,(T_PROD[[#This Row],[PRODUÇÃO]]/T_PROD[[#This Row],[EFETIVO]]),""),"")</f>
        <v/>
      </c>
    </row>
    <row r="921" spans="1:11" s="6" customFormat="1" x14ac:dyDescent="0.3">
      <c r="A921" s="11">
        <v>46178</v>
      </c>
      <c r="B921" s="12" t="str">
        <f t="shared" ref="B921:B928" si="101">UPPER(TEXT(A921,"MMMM"))</f>
        <v>JUNHO</v>
      </c>
      <c r="C921" s="12" t="s">
        <v>16</v>
      </c>
      <c r="D921" s="12" t="s">
        <v>12</v>
      </c>
      <c r="E921" s="13">
        <v>204</v>
      </c>
      <c r="F921" s="13">
        <v>161</v>
      </c>
      <c r="G921" s="12">
        <v>6</v>
      </c>
      <c r="H921" s="14">
        <v>6</v>
      </c>
      <c r="I921" s="12">
        <f>IFERROR(IF(T_PROD[[#This Row],[PREVISTO]]-T_PROD[[#This Row],[EFETIVO]]&lt; 0,0,T_PROD[[#This Row],[PREVISTO]]-T_PROD[[#This Row],[EFETIVO]] ),"")</f>
        <v>0</v>
      </c>
      <c r="J921" s="15">
        <f>IFERROR(IF(T_PROD[[#This Row],[META]]&gt;0,(T_PROD[[#This Row],[META]]/T_PROD[[#This Row],[PREVISTO]]),""),"")</f>
        <v>34</v>
      </c>
      <c r="K921" s="15">
        <f>IFERROR(IF(T_PROD[[#This Row],[PRODUÇÃO]]&gt;0,(T_PROD[[#This Row],[PRODUÇÃO]]/T_PROD[[#This Row],[EFETIVO]]),""),"")</f>
        <v>26.833333333333332</v>
      </c>
    </row>
    <row r="922" spans="1:11" s="6" customFormat="1" x14ac:dyDescent="0.3">
      <c r="A922" s="11">
        <v>46178</v>
      </c>
      <c r="B922" s="12" t="str">
        <f t="shared" si="101"/>
        <v>JUNHO</v>
      </c>
      <c r="C922" s="12" t="s">
        <v>17</v>
      </c>
      <c r="D922" s="12" t="s">
        <v>12</v>
      </c>
      <c r="E922" s="13">
        <v>176</v>
      </c>
      <c r="F922" s="13">
        <v>164</v>
      </c>
      <c r="G922" s="12">
        <v>11</v>
      </c>
      <c r="H922" s="14">
        <v>11</v>
      </c>
      <c r="I922" s="12">
        <f>IFERROR(IF(T_PROD[[#This Row],[PREVISTO]]-T_PROD[[#This Row],[EFETIVO]]&lt; 0,0,T_PROD[[#This Row],[PREVISTO]]-T_PROD[[#This Row],[EFETIVO]] ),"")</f>
        <v>0</v>
      </c>
      <c r="J922" s="15">
        <f>IFERROR(IF(T_PROD[[#This Row],[META]]&gt;0,(T_PROD[[#This Row],[META]]/T_PROD[[#This Row],[PREVISTO]]),""),"")</f>
        <v>16</v>
      </c>
      <c r="K922" s="15">
        <f>IFERROR(IF(T_PROD[[#This Row],[PRODUÇÃO]]&gt;0,(T_PROD[[#This Row],[PRODUÇÃO]]/T_PROD[[#This Row],[EFETIVO]]),""),"")</f>
        <v>14.909090909090908</v>
      </c>
    </row>
    <row r="923" spans="1:11" s="6" customFormat="1" x14ac:dyDescent="0.3">
      <c r="A923" s="11">
        <v>46178</v>
      </c>
      <c r="B923" s="12" t="str">
        <f t="shared" si="101"/>
        <v>JUNHO</v>
      </c>
      <c r="C923" s="12" t="s">
        <v>18</v>
      </c>
      <c r="D923" s="12" t="s">
        <v>12</v>
      </c>
      <c r="E923" s="13"/>
      <c r="F923" s="13"/>
      <c r="G923" s="12"/>
      <c r="H923" s="14"/>
      <c r="I923" s="12">
        <f>IFERROR(IF(T_PROD[[#This Row],[PREVISTO]]-T_PROD[[#This Row],[EFETIVO]]&lt; 0,0,T_PROD[[#This Row],[PREVISTO]]-T_PROD[[#This Row],[EFETIVO]] ),"")</f>
        <v>0</v>
      </c>
      <c r="J923" s="15" t="str">
        <f>IFERROR(IF(T_PROD[[#This Row],[META]]&gt;0,(T_PROD[[#This Row],[META]]/T_PROD[[#This Row],[PREVISTO]]),""),"")</f>
        <v/>
      </c>
      <c r="K923" s="15" t="str">
        <f>IFERROR(IF(T_PROD[[#This Row],[PRODUÇÃO]]&gt;0,(T_PROD[[#This Row],[PRODUÇÃO]]/T_PROD[[#This Row],[EFETIVO]]),""),"")</f>
        <v/>
      </c>
    </row>
    <row r="924" spans="1:11" s="6" customFormat="1" x14ac:dyDescent="0.3">
      <c r="A924" s="11">
        <v>46178</v>
      </c>
      <c r="B924" s="12" t="str">
        <f t="shared" si="101"/>
        <v>JUNHO</v>
      </c>
      <c r="C924" s="12" t="s">
        <v>19</v>
      </c>
      <c r="D924" s="12" t="s">
        <v>12</v>
      </c>
      <c r="E924" s="13"/>
      <c r="F924" s="13"/>
      <c r="G924" s="12"/>
      <c r="H924" s="14"/>
      <c r="I924" s="12">
        <f>IFERROR(IF(T_PROD[[#This Row],[PREVISTO]]-T_PROD[[#This Row],[EFETIVO]]&lt; 0,0,T_PROD[[#This Row],[PREVISTO]]-T_PROD[[#This Row],[EFETIVO]] ),"")</f>
        <v>0</v>
      </c>
      <c r="J924" s="15" t="str">
        <f>IFERROR(IF(T_PROD[[#This Row],[META]]&gt;0,(T_PROD[[#This Row],[META]]/T_PROD[[#This Row],[PREVISTO]]),""),"")</f>
        <v/>
      </c>
      <c r="K924" s="15" t="str">
        <f>IFERROR(IF(T_PROD[[#This Row],[PRODUÇÃO]]&gt;0,(T_PROD[[#This Row],[PRODUÇÃO]]/T_PROD[[#This Row],[EFETIVO]]),""),"")</f>
        <v/>
      </c>
    </row>
    <row r="925" spans="1:11" s="6" customFormat="1" x14ac:dyDescent="0.3">
      <c r="A925" s="11">
        <v>46178</v>
      </c>
      <c r="B925" s="12" t="str">
        <f t="shared" si="101"/>
        <v>JUNHO</v>
      </c>
      <c r="C925" s="12" t="s">
        <v>20</v>
      </c>
      <c r="D925" s="12" t="s">
        <v>12</v>
      </c>
      <c r="E925" s="13">
        <v>380</v>
      </c>
      <c r="F925" s="13">
        <v>325</v>
      </c>
      <c r="G925" s="12">
        <v>90</v>
      </c>
      <c r="H925" s="14">
        <v>90</v>
      </c>
      <c r="I925" s="12">
        <f>IFERROR(IF(T_PROD[[#This Row],[PREVISTO]]-T_PROD[[#This Row],[EFETIVO]]&lt; 0,0,T_PROD[[#This Row],[PREVISTO]]-T_PROD[[#This Row],[EFETIVO]] ),"")</f>
        <v>0</v>
      </c>
      <c r="J925" s="15">
        <f>IFERROR(IF(T_PROD[[#This Row],[META]]&gt;0,(T_PROD[[#This Row],[META]]/T_PROD[[#This Row],[PREVISTO]]),""),"")</f>
        <v>4.2222222222222223</v>
      </c>
      <c r="K925" s="15">
        <f>IFERROR(IF(T_PROD[[#This Row],[PRODUÇÃO]]&gt;0,(T_PROD[[#This Row],[PRODUÇÃO]]/T_PROD[[#This Row],[EFETIVO]]),""),"")</f>
        <v>3.6111111111111112</v>
      </c>
    </row>
    <row r="926" spans="1:11" s="6" customFormat="1" x14ac:dyDescent="0.3">
      <c r="A926" s="11">
        <v>46178</v>
      </c>
      <c r="B926" s="12" t="str">
        <f t="shared" si="101"/>
        <v>JUNHO</v>
      </c>
      <c r="C926" s="12" t="s">
        <v>11</v>
      </c>
      <c r="D926" s="12" t="s">
        <v>12</v>
      </c>
      <c r="E926" s="13">
        <v>500</v>
      </c>
      <c r="F926" s="13">
        <v>540</v>
      </c>
      <c r="G926" s="12">
        <v>25</v>
      </c>
      <c r="H926" s="14">
        <v>25</v>
      </c>
      <c r="I926" s="12">
        <f>IFERROR(IF(T_PROD[[#This Row],[PREVISTO]]-T_PROD[[#This Row],[EFETIVO]]&lt; 0,0,T_PROD[[#This Row],[PREVISTO]]-T_PROD[[#This Row],[EFETIVO]] ),"")</f>
        <v>0</v>
      </c>
      <c r="J926" s="15">
        <f>IFERROR(IF(T_PROD[[#This Row],[META]]&gt;0,(T_PROD[[#This Row],[META]]/T_PROD[[#This Row],[PREVISTO]]),""),"")</f>
        <v>20</v>
      </c>
      <c r="K926" s="15">
        <f>IFERROR(IF(T_PROD[[#This Row],[PRODUÇÃO]]&gt;0,(T_PROD[[#This Row],[PRODUÇÃO]]/T_PROD[[#This Row],[EFETIVO]]),""),"")</f>
        <v>21.6</v>
      </c>
    </row>
    <row r="927" spans="1:11" s="6" customFormat="1" x14ac:dyDescent="0.3">
      <c r="A927" s="11">
        <v>46178</v>
      </c>
      <c r="B927" s="12" t="str">
        <f t="shared" si="101"/>
        <v>JUNHO</v>
      </c>
      <c r="C927" s="12" t="s">
        <v>32</v>
      </c>
      <c r="D927" s="12" t="s">
        <v>12</v>
      </c>
      <c r="E927" s="13">
        <v>88</v>
      </c>
      <c r="F927" s="13">
        <v>91</v>
      </c>
      <c r="G927" s="12">
        <v>8</v>
      </c>
      <c r="H927" s="14">
        <v>8</v>
      </c>
      <c r="I927" s="12">
        <f>IFERROR(IF(T_PROD[[#This Row],[PREVISTO]]-T_PROD[[#This Row],[EFETIVO]]&lt; 0,0,T_PROD[[#This Row],[PREVISTO]]-T_PROD[[#This Row],[EFETIVO]] ),"")</f>
        <v>0</v>
      </c>
      <c r="J927" s="15">
        <f>IFERROR(IF(T_PROD[[#This Row],[META]]&gt;0,(T_PROD[[#This Row],[META]]/T_PROD[[#This Row],[PREVISTO]]),""),"")</f>
        <v>11</v>
      </c>
      <c r="K927" s="15">
        <f>IFERROR(IF(T_PROD[[#This Row],[PRODUÇÃO]]&gt;0,(T_PROD[[#This Row],[PRODUÇÃO]]/T_PROD[[#This Row],[EFETIVO]]),""),"")</f>
        <v>11.375</v>
      </c>
    </row>
    <row r="928" spans="1:11" s="6" customFormat="1" x14ac:dyDescent="0.3">
      <c r="A928" s="11">
        <v>46178</v>
      </c>
      <c r="B928" s="12" t="str">
        <f t="shared" si="101"/>
        <v>JUNHO</v>
      </c>
      <c r="C928" s="12" t="s">
        <v>14</v>
      </c>
      <c r="D928" s="12" t="s">
        <v>12</v>
      </c>
      <c r="E928" s="13">
        <v>588</v>
      </c>
      <c r="F928" s="13">
        <v>631</v>
      </c>
      <c r="G928" s="12">
        <v>80</v>
      </c>
      <c r="H928" s="14">
        <v>78</v>
      </c>
      <c r="I928" s="12">
        <f>IFERROR(IF(T_PROD[[#This Row],[PREVISTO]]-T_PROD[[#This Row],[EFETIVO]]&lt; 0,0,T_PROD[[#This Row],[PREVISTO]]-T_PROD[[#This Row],[EFETIVO]] ),"")</f>
        <v>2</v>
      </c>
      <c r="J928" s="15">
        <f>IFERROR(IF(T_PROD[[#This Row],[META]]&gt;0,(T_PROD[[#This Row],[META]]/T_PROD[[#This Row],[PREVISTO]]),""),"")</f>
        <v>7.35</v>
      </c>
      <c r="K928" s="15">
        <f>IFERROR(IF(T_PROD[[#This Row],[PRODUÇÃO]]&gt;0,(T_PROD[[#This Row],[PRODUÇÃO]]/T_PROD[[#This Row],[EFETIVO]]),""),"")</f>
        <v>8.0897435897435894</v>
      </c>
    </row>
    <row r="929" spans="1:11" s="6" customFormat="1" x14ac:dyDescent="0.3">
      <c r="A929" s="11">
        <v>46181</v>
      </c>
      <c r="B929" s="12" t="str">
        <f>UPPER(TEXT(A929,"MMMM"))</f>
        <v>JUNHO</v>
      </c>
      <c r="C929" s="12" t="s">
        <v>15</v>
      </c>
      <c r="D929" s="12" t="s">
        <v>12</v>
      </c>
      <c r="E929" s="13">
        <v>30</v>
      </c>
      <c r="F929" s="13">
        <v>21</v>
      </c>
      <c r="G929" s="12">
        <v>2</v>
      </c>
      <c r="H929" s="14">
        <v>2</v>
      </c>
      <c r="I929" s="12">
        <f>IFERROR(IF(T_PROD[[#This Row],[PREVISTO]]-T_PROD[[#This Row],[EFETIVO]]&lt; 0,0,T_PROD[[#This Row],[PREVISTO]]-T_PROD[[#This Row],[EFETIVO]] ),"")</f>
        <v>0</v>
      </c>
      <c r="J929" s="15">
        <f>IFERROR(IF(T_PROD[[#This Row],[META]]&gt;0,(T_PROD[[#This Row],[META]]/T_PROD[[#This Row],[PREVISTO]]),""),"")</f>
        <v>15</v>
      </c>
      <c r="K929" s="15">
        <f>IFERROR(IF(T_PROD[[#This Row],[PRODUÇÃO]]&gt;0,(T_PROD[[#This Row],[PRODUÇÃO]]/T_PROD[[#This Row],[EFETIVO]]),""),"")</f>
        <v>10.5</v>
      </c>
    </row>
    <row r="930" spans="1:11" s="6" customFormat="1" x14ac:dyDescent="0.3">
      <c r="A930" s="11">
        <v>46181</v>
      </c>
      <c r="B930" s="12" t="str">
        <f t="shared" ref="B930:B937" si="102">UPPER(TEXT(A930,"MMMM"))</f>
        <v>JUNHO</v>
      </c>
      <c r="C930" s="12" t="s">
        <v>16</v>
      </c>
      <c r="D930" s="12" t="s">
        <v>12</v>
      </c>
      <c r="E930" s="13">
        <v>170</v>
      </c>
      <c r="F930" s="13">
        <v>38</v>
      </c>
      <c r="G930" s="12">
        <v>5</v>
      </c>
      <c r="H930" s="14">
        <v>5</v>
      </c>
      <c r="I930" s="12">
        <f>IFERROR(IF(T_PROD[[#This Row],[PREVISTO]]-T_PROD[[#This Row],[EFETIVO]]&lt; 0,0,T_PROD[[#This Row],[PREVISTO]]-T_PROD[[#This Row],[EFETIVO]] ),"")</f>
        <v>0</v>
      </c>
      <c r="J930" s="15">
        <f>IFERROR(IF(T_PROD[[#This Row],[META]]&gt;0,(T_PROD[[#This Row],[META]]/T_PROD[[#This Row],[PREVISTO]]),""),"")</f>
        <v>34</v>
      </c>
      <c r="K930" s="15">
        <f>IFERROR(IF(T_PROD[[#This Row],[PRODUÇÃO]]&gt;0,(T_PROD[[#This Row],[PRODUÇÃO]]/T_PROD[[#This Row],[EFETIVO]]),""),"")</f>
        <v>7.6</v>
      </c>
    </row>
    <row r="931" spans="1:11" s="6" customFormat="1" x14ac:dyDescent="0.3">
      <c r="A931" s="11">
        <v>46181</v>
      </c>
      <c r="B931" s="12" t="str">
        <f t="shared" si="102"/>
        <v>JUNHO</v>
      </c>
      <c r="C931" s="12" t="s">
        <v>17</v>
      </c>
      <c r="D931" s="12" t="s">
        <v>12</v>
      </c>
      <c r="E931" s="13">
        <v>160</v>
      </c>
      <c r="F931" s="13">
        <v>126</v>
      </c>
      <c r="G931" s="12">
        <v>10</v>
      </c>
      <c r="H931" s="14">
        <v>10</v>
      </c>
      <c r="I931" s="12">
        <f>IFERROR(IF(T_PROD[[#This Row],[PREVISTO]]-T_PROD[[#This Row],[EFETIVO]]&lt; 0,0,T_PROD[[#This Row],[PREVISTO]]-T_PROD[[#This Row],[EFETIVO]] ),"")</f>
        <v>0</v>
      </c>
      <c r="J931" s="15">
        <f>IFERROR(IF(T_PROD[[#This Row],[META]]&gt;0,(T_PROD[[#This Row],[META]]/T_PROD[[#This Row],[PREVISTO]]),""),"")</f>
        <v>16</v>
      </c>
      <c r="K931" s="15">
        <f>IFERROR(IF(T_PROD[[#This Row],[PRODUÇÃO]]&gt;0,(T_PROD[[#This Row],[PRODUÇÃO]]/T_PROD[[#This Row],[EFETIVO]]),""),"")</f>
        <v>12.6</v>
      </c>
    </row>
    <row r="932" spans="1:11" s="6" customFormat="1" x14ac:dyDescent="0.3">
      <c r="A932" s="11">
        <v>46181</v>
      </c>
      <c r="B932" s="12" t="str">
        <f t="shared" si="102"/>
        <v>JUNHO</v>
      </c>
      <c r="C932" s="12" t="s">
        <v>18</v>
      </c>
      <c r="D932" s="12" t="s">
        <v>12</v>
      </c>
      <c r="E932" s="13"/>
      <c r="F932" s="13"/>
      <c r="G932" s="12"/>
      <c r="H932" s="14"/>
      <c r="I932" s="12">
        <f>IFERROR(IF(T_PROD[[#This Row],[PREVISTO]]-T_PROD[[#This Row],[EFETIVO]]&lt; 0,0,T_PROD[[#This Row],[PREVISTO]]-T_PROD[[#This Row],[EFETIVO]] ),"")</f>
        <v>0</v>
      </c>
      <c r="J932" s="15" t="str">
        <f>IFERROR(IF(T_PROD[[#This Row],[META]]&gt;0,(T_PROD[[#This Row],[META]]/T_PROD[[#This Row],[PREVISTO]]),""),"")</f>
        <v/>
      </c>
      <c r="K932" s="15" t="str">
        <f>IFERROR(IF(T_PROD[[#This Row],[PRODUÇÃO]]&gt;0,(T_PROD[[#This Row],[PRODUÇÃO]]/T_PROD[[#This Row],[EFETIVO]]),""),"")</f>
        <v/>
      </c>
    </row>
    <row r="933" spans="1:11" s="6" customFormat="1" x14ac:dyDescent="0.3">
      <c r="A933" s="11">
        <v>46181</v>
      </c>
      <c r="B933" s="12" t="str">
        <f t="shared" si="102"/>
        <v>JUNHO</v>
      </c>
      <c r="C933" s="12" t="s">
        <v>19</v>
      </c>
      <c r="D933" s="12" t="s">
        <v>12</v>
      </c>
      <c r="E933" s="13"/>
      <c r="F933" s="13"/>
      <c r="G933" s="12"/>
      <c r="H933" s="14"/>
      <c r="I933" s="12">
        <f>IFERROR(IF(T_PROD[[#This Row],[PREVISTO]]-T_PROD[[#This Row],[EFETIVO]]&lt; 0,0,T_PROD[[#This Row],[PREVISTO]]-T_PROD[[#This Row],[EFETIVO]] ),"")</f>
        <v>0</v>
      </c>
      <c r="J933" s="15" t="str">
        <f>IFERROR(IF(T_PROD[[#This Row],[META]]&gt;0,(T_PROD[[#This Row],[META]]/T_PROD[[#This Row],[PREVISTO]]),""),"")</f>
        <v/>
      </c>
      <c r="K933" s="15" t="str">
        <f>IFERROR(IF(T_PROD[[#This Row],[PRODUÇÃO]]&gt;0,(T_PROD[[#This Row],[PRODUÇÃO]]/T_PROD[[#This Row],[EFETIVO]]),""),"")</f>
        <v/>
      </c>
    </row>
    <row r="934" spans="1:11" s="6" customFormat="1" x14ac:dyDescent="0.3">
      <c r="A934" s="11">
        <v>46181</v>
      </c>
      <c r="B934" s="12" t="str">
        <f t="shared" si="102"/>
        <v>JUNHO</v>
      </c>
      <c r="C934" s="12" t="s">
        <v>20</v>
      </c>
      <c r="D934" s="12" t="s">
        <v>12</v>
      </c>
      <c r="E934" s="13">
        <v>360</v>
      </c>
      <c r="F934" s="13">
        <v>185</v>
      </c>
      <c r="G934" s="12">
        <v>90</v>
      </c>
      <c r="H934" s="14">
        <v>90</v>
      </c>
      <c r="I934" s="12">
        <f>IFERROR(IF(T_PROD[[#This Row],[PREVISTO]]-T_PROD[[#This Row],[EFETIVO]]&lt; 0,0,T_PROD[[#This Row],[PREVISTO]]-T_PROD[[#This Row],[EFETIVO]] ),"")</f>
        <v>0</v>
      </c>
      <c r="J934" s="15">
        <f>IFERROR(IF(T_PROD[[#This Row],[META]]&gt;0,(T_PROD[[#This Row],[META]]/T_PROD[[#This Row],[PREVISTO]]),""),"")</f>
        <v>4</v>
      </c>
      <c r="K934" s="15">
        <f>IFERROR(IF(T_PROD[[#This Row],[PRODUÇÃO]]&gt;0,(T_PROD[[#This Row],[PRODUÇÃO]]/T_PROD[[#This Row],[EFETIVO]]),""),"")</f>
        <v>2.0555555555555554</v>
      </c>
    </row>
    <row r="935" spans="1:11" s="6" customFormat="1" x14ac:dyDescent="0.3">
      <c r="A935" s="11">
        <v>46181</v>
      </c>
      <c r="B935" s="12" t="str">
        <f t="shared" si="102"/>
        <v>JUNHO</v>
      </c>
      <c r="C935" s="12" t="s">
        <v>11</v>
      </c>
      <c r="D935" s="12" t="s">
        <v>12</v>
      </c>
      <c r="E935" s="13">
        <v>640</v>
      </c>
      <c r="F935" s="13">
        <v>680</v>
      </c>
      <c r="G935" s="12">
        <v>32</v>
      </c>
      <c r="H935" s="14">
        <v>32</v>
      </c>
      <c r="I935" s="12">
        <f>IFERROR(IF(T_PROD[[#This Row],[PREVISTO]]-T_PROD[[#This Row],[EFETIVO]]&lt; 0,0,T_PROD[[#This Row],[PREVISTO]]-T_PROD[[#This Row],[EFETIVO]] ),"")</f>
        <v>0</v>
      </c>
      <c r="J935" s="15">
        <f>IFERROR(IF(T_PROD[[#This Row],[META]]&gt;0,(T_PROD[[#This Row],[META]]/T_PROD[[#This Row],[PREVISTO]]),""),"")</f>
        <v>20</v>
      </c>
      <c r="K935" s="15">
        <f>IFERROR(IF(T_PROD[[#This Row],[PRODUÇÃO]]&gt;0,(T_PROD[[#This Row],[PRODUÇÃO]]/T_PROD[[#This Row],[EFETIVO]]),""),"")</f>
        <v>21.25</v>
      </c>
    </row>
    <row r="936" spans="1:11" s="6" customFormat="1" x14ac:dyDescent="0.3">
      <c r="A936" s="11">
        <v>46181</v>
      </c>
      <c r="B936" s="12" t="str">
        <f t="shared" si="102"/>
        <v>JUNHO</v>
      </c>
      <c r="C936" s="12" t="s">
        <v>32</v>
      </c>
      <c r="D936" s="12" t="s">
        <v>12</v>
      </c>
      <c r="E936" s="13">
        <v>99</v>
      </c>
      <c r="F936" s="13">
        <v>101</v>
      </c>
      <c r="G936" s="12">
        <v>9</v>
      </c>
      <c r="H936" s="14">
        <v>9</v>
      </c>
      <c r="I936" s="12">
        <f>IFERROR(IF(T_PROD[[#This Row],[PREVISTO]]-T_PROD[[#This Row],[EFETIVO]]&lt; 0,0,T_PROD[[#This Row],[PREVISTO]]-T_PROD[[#This Row],[EFETIVO]] ),"")</f>
        <v>0</v>
      </c>
      <c r="J936" s="15">
        <f>IFERROR(IF(T_PROD[[#This Row],[META]]&gt;0,(T_PROD[[#This Row],[META]]/T_PROD[[#This Row],[PREVISTO]]),""),"")</f>
        <v>11</v>
      </c>
      <c r="K936" s="15">
        <f>IFERROR(IF(T_PROD[[#This Row],[PRODUÇÃO]]&gt;0,(T_PROD[[#This Row],[PRODUÇÃO]]/T_PROD[[#This Row],[EFETIVO]]),""),"")</f>
        <v>11.222222222222221</v>
      </c>
    </row>
    <row r="937" spans="1:11" s="6" customFormat="1" x14ac:dyDescent="0.3">
      <c r="A937" s="11">
        <v>46181</v>
      </c>
      <c r="B937" s="12" t="str">
        <f t="shared" si="102"/>
        <v>JUNHO</v>
      </c>
      <c r="C937" s="12" t="s">
        <v>14</v>
      </c>
      <c r="D937" s="12" t="s">
        <v>12</v>
      </c>
      <c r="E937" s="13">
        <v>739</v>
      </c>
      <c r="F937" s="13">
        <v>781</v>
      </c>
      <c r="G937" s="12">
        <v>95</v>
      </c>
      <c r="H937" s="14">
        <v>93</v>
      </c>
      <c r="I937" s="12">
        <f>IFERROR(IF(T_PROD[[#This Row],[PREVISTO]]-T_PROD[[#This Row],[EFETIVO]]&lt; 0,0,T_PROD[[#This Row],[PREVISTO]]-T_PROD[[#This Row],[EFETIVO]] ),"")</f>
        <v>2</v>
      </c>
      <c r="J937" s="15">
        <f>IFERROR(IF(T_PROD[[#This Row],[META]]&gt;0,(T_PROD[[#This Row],[META]]/T_PROD[[#This Row],[PREVISTO]]),""),"")</f>
        <v>7.7789473684210524</v>
      </c>
      <c r="K937" s="15">
        <f>IFERROR(IF(T_PROD[[#This Row],[PRODUÇÃO]]&gt;0,(T_PROD[[#This Row],[PRODUÇÃO]]/T_PROD[[#This Row],[EFETIVO]]),""),"")</f>
        <v>8.3978494623655919</v>
      </c>
    </row>
    <row r="938" spans="1:11" s="6" customFormat="1" x14ac:dyDescent="0.3">
      <c r="A938" s="11">
        <v>46182</v>
      </c>
      <c r="B938" s="12" t="str">
        <f>UPPER(TEXT(A938,"MMMM"))</f>
        <v>JUNHO</v>
      </c>
      <c r="C938" s="12" t="s">
        <v>15</v>
      </c>
      <c r="D938" s="12" t="s">
        <v>12</v>
      </c>
      <c r="E938" s="13">
        <v>75</v>
      </c>
      <c r="F938" s="13">
        <v>34</v>
      </c>
      <c r="G938" s="12">
        <v>5</v>
      </c>
      <c r="H938" s="14">
        <v>5</v>
      </c>
      <c r="I938" s="12">
        <f>IFERROR(IF(T_PROD[[#This Row],[PREVISTO]]-T_PROD[[#This Row],[EFETIVO]]&lt; 0,0,T_PROD[[#This Row],[PREVISTO]]-T_PROD[[#This Row],[EFETIVO]] ),"")</f>
        <v>0</v>
      </c>
      <c r="J938" s="15">
        <f>IFERROR(IF(T_PROD[[#This Row],[META]]&gt;0,(T_PROD[[#This Row],[META]]/T_PROD[[#This Row],[PREVISTO]]),""),"")</f>
        <v>15</v>
      </c>
      <c r="K938" s="15">
        <f>IFERROR(IF(T_PROD[[#This Row],[PRODUÇÃO]]&gt;0,(T_PROD[[#This Row],[PRODUÇÃO]]/T_PROD[[#This Row],[EFETIVO]]),""),"")</f>
        <v>6.8</v>
      </c>
    </row>
    <row r="939" spans="1:11" s="6" customFormat="1" x14ac:dyDescent="0.3">
      <c r="A939" s="11">
        <v>46182</v>
      </c>
      <c r="B939" s="12" t="str">
        <f t="shared" ref="B939:B946" si="103">UPPER(TEXT(A939,"MMMM"))</f>
        <v>JUNHO</v>
      </c>
      <c r="C939" s="12" t="s">
        <v>16</v>
      </c>
      <c r="D939" s="12" t="s">
        <v>12</v>
      </c>
      <c r="E939" s="13">
        <v>68</v>
      </c>
      <c r="F939" s="13">
        <v>34</v>
      </c>
      <c r="G939" s="12">
        <v>2</v>
      </c>
      <c r="H939" s="14">
        <v>2</v>
      </c>
      <c r="I939" s="12">
        <f>IFERROR(IF(T_PROD[[#This Row],[PREVISTO]]-T_PROD[[#This Row],[EFETIVO]]&lt; 0,0,T_PROD[[#This Row],[PREVISTO]]-T_PROD[[#This Row],[EFETIVO]] ),"")</f>
        <v>0</v>
      </c>
      <c r="J939" s="15">
        <f>IFERROR(IF(T_PROD[[#This Row],[META]]&gt;0,(T_PROD[[#This Row],[META]]/T_PROD[[#This Row],[PREVISTO]]),""),"")</f>
        <v>34</v>
      </c>
      <c r="K939" s="15">
        <f>IFERROR(IF(T_PROD[[#This Row],[PRODUÇÃO]]&gt;0,(T_PROD[[#This Row],[PRODUÇÃO]]/T_PROD[[#This Row],[EFETIVO]]),""),"")</f>
        <v>17</v>
      </c>
    </row>
    <row r="940" spans="1:11" s="6" customFormat="1" x14ac:dyDescent="0.3">
      <c r="A940" s="11">
        <v>46182</v>
      </c>
      <c r="B940" s="12" t="str">
        <f t="shared" si="103"/>
        <v>JUNHO</v>
      </c>
      <c r="C940" s="12" t="s">
        <v>17</v>
      </c>
      <c r="D940" s="12" t="s">
        <v>12</v>
      </c>
      <c r="E940" s="13">
        <v>176</v>
      </c>
      <c r="F940" s="13">
        <v>119</v>
      </c>
      <c r="G940" s="12">
        <v>11</v>
      </c>
      <c r="H940" s="14">
        <v>11</v>
      </c>
      <c r="I940" s="12">
        <f>IFERROR(IF(T_PROD[[#This Row],[PREVISTO]]-T_PROD[[#This Row],[EFETIVO]]&lt; 0,0,T_PROD[[#This Row],[PREVISTO]]-T_PROD[[#This Row],[EFETIVO]] ),"")</f>
        <v>0</v>
      </c>
      <c r="J940" s="15">
        <f>IFERROR(IF(T_PROD[[#This Row],[META]]&gt;0,(T_PROD[[#This Row],[META]]/T_PROD[[#This Row],[PREVISTO]]),""),"")</f>
        <v>16</v>
      </c>
      <c r="K940" s="15">
        <f>IFERROR(IF(T_PROD[[#This Row],[PRODUÇÃO]]&gt;0,(T_PROD[[#This Row],[PRODUÇÃO]]/T_PROD[[#This Row],[EFETIVO]]),""),"")</f>
        <v>10.818181818181818</v>
      </c>
    </row>
    <row r="941" spans="1:11" s="6" customFormat="1" x14ac:dyDescent="0.3">
      <c r="A941" s="11">
        <v>46182</v>
      </c>
      <c r="B941" s="12" t="str">
        <f t="shared" si="103"/>
        <v>JUNHO</v>
      </c>
      <c r="C941" s="12" t="s">
        <v>18</v>
      </c>
      <c r="D941" s="12" t="s">
        <v>12</v>
      </c>
      <c r="E941" s="13"/>
      <c r="F941" s="13"/>
      <c r="G941" s="12"/>
      <c r="H941" s="14"/>
      <c r="I941" s="12">
        <f>IFERROR(IF(T_PROD[[#This Row],[PREVISTO]]-T_PROD[[#This Row],[EFETIVO]]&lt; 0,0,T_PROD[[#This Row],[PREVISTO]]-T_PROD[[#This Row],[EFETIVO]] ),"")</f>
        <v>0</v>
      </c>
      <c r="J941" s="15" t="str">
        <f>IFERROR(IF(T_PROD[[#This Row],[META]]&gt;0,(T_PROD[[#This Row],[META]]/T_PROD[[#This Row],[PREVISTO]]),""),"")</f>
        <v/>
      </c>
      <c r="K941" s="15" t="str">
        <f>IFERROR(IF(T_PROD[[#This Row],[PRODUÇÃO]]&gt;0,(T_PROD[[#This Row],[PRODUÇÃO]]/T_PROD[[#This Row],[EFETIVO]]),""),"")</f>
        <v/>
      </c>
    </row>
    <row r="942" spans="1:11" s="6" customFormat="1" x14ac:dyDescent="0.3">
      <c r="A942" s="11">
        <v>46182</v>
      </c>
      <c r="B942" s="12" t="str">
        <f t="shared" si="103"/>
        <v>JUNHO</v>
      </c>
      <c r="C942" s="12" t="s">
        <v>19</v>
      </c>
      <c r="D942" s="12" t="s">
        <v>12</v>
      </c>
      <c r="E942" s="13"/>
      <c r="F942" s="13"/>
      <c r="G942" s="12"/>
      <c r="H942" s="14"/>
      <c r="I942" s="12">
        <f>IFERROR(IF(T_PROD[[#This Row],[PREVISTO]]-T_PROD[[#This Row],[EFETIVO]]&lt; 0,0,T_PROD[[#This Row],[PREVISTO]]-T_PROD[[#This Row],[EFETIVO]] ),"")</f>
        <v>0</v>
      </c>
      <c r="J942" s="15" t="str">
        <f>IFERROR(IF(T_PROD[[#This Row],[META]]&gt;0,(T_PROD[[#This Row],[META]]/T_PROD[[#This Row],[PREVISTO]]),""),"")</f>
        <v/>
      </c>
      <c r="K942" s="15" t="str">
        <f>IFERROR(IF(T_PROD[[#This Row],[PRODUÇÃO]]&gt;0,(T_PROD[[#This Row],[PRODUÇÃO]]/T_PROD[[#This Row],[EFETIVO]]),""),"")</f>
        <v/>
      </c>
    </row>
    <row r="943" spans="1:11" s="6" customFormat="1" x14ac:dyDescent="0.3">
      <c r="A943" s="11">
        <v>46182</v>
      </c>
      <c r="B943" s="12" t="str">
        <f t="shared" si="103"/>
        <v>JUNHO</v>
      </c>
      <c r="C943" s="12" t="s">
        <v>20</v>
      </c>
      <c r="D943" s="12" t="s">
        <v>12</v>
      </c>
      <c r="E943" s="13">
        <v>319</v>
      </c>
      <c r="F943" s="13">
        <v>187</v>
      </c>
      <c r="G943" s="12">
        <v>90</v>
      </c>
      <c r="H943" s="14">
        <v>90</v>
      </c>
      <c r="I943" s="12">
        <f>IFERROR(IF(T_PROD[[#This Row],[PREVISTO]]-T_PROD[[#This Row],[EFETIVO]]&lt; 0,0,T_PROD[[#This Row],[PREVISTO]]-T_PROD[[#This Row],[EFETIVO]] ),"")</f>
        <v>0</v>
      </c>
      <c r="J943" s="15">
        <f>IFERROR(IF(T_PROD[[#This Row],[META]]&gt;0,(T_PROD[[#This Row],[META]]/T_PROD[[#This Row],[PREVISTO]]),""),"")</f>
        <v>3.5444444444444443</v>
      </c>
      <c r="K943" s="15">
        <f>IFERROR(IF(T_PROD[[#This Row],[PRODUÇÃO]]&gt;0,(T_PROD[[#This Row],[PRODUÇÃO]]/T_PROD[[#This Row],[EFETIVO]]),""),"")</f>
        <v>2.0777777777777779</v>
      </c>
    </row>
    <row r="944" spans="1:11" s="6" customFormat="1" x14ac:dyDescent="0.3">
      <c r="A944" s="11">
        <v>46182</v>
      </c>
      <c r="B944" s="12" t="str">
        <f t="shared" si="103"/>
        <v>JUNHO</v>
      </c>
      <c r="C944" s="12" t="s">
        <v>11</v>
      </c>
      <c r="D944" s="12" t="s">
        <v>12</v>
      </c>
      <c r="E944" s="13">
        <v>640</v>
      </c>
      <c r="F944" s="13">
        <v>660</v>
      </c>
      <c r="G944" s="12">
        <v>32</v>
      </c>
      <c r="H944" s="14">
        <v>32</v>
      </c>
      <c r="I944" s="12">
        <f>IFERROR(IF(T_PROD[[#This Row],[PREVISTO]]-T_PROD[[#This Row],[EFETIVO]]&lt; 0,0,T_PROD[[#This Row],[PREVISTO]]-T_PROD[[#This Row],[EFETIVO]] ),"")</f>
        <v>0</v>
      </c>
      <c r="J944" s="15">
        <f>IFERROR(IF(T_PROD[[#This Row],[META]]&gt;0,(T_PROD[[#This Row],[META]]/T_PROD[[#This Row],[PREVISTO]]),""),"")</f>
        <v>20</v>
      </c>
      <c r="K944" s="15">
        <f>IFERROR(IF(T_PROD[[#This Row],[PRODUÇÃO]]&gt;0,(T_PROD[[#This Row],[PRODUÇÃO]]/T_PROD[[#This Row],[EFETIVO]]),""),"")</f>
        <v>20.625</v>
      </c>
    </row>
    <row r="945" spans="1:11" s="6" customFormat="1" x14ac:dyDescent="0.3">
      <c r="A945" s="11">
        <v>46182</v>
      </c>
      <c r="B945" s="12" t="str">
        <f t="shared" si="103"/>
        <v>JUNHO</v>
      </c>
      <c r="C945" s="12" t="s">
        <v>32</v>
      </c>
      <c r="D945" s="12" t="s">
        <v>12</v>
      </c>
      <c r="E945" s="13">
        <v>77</v>
      </c>
      <c r="F945" s="13">
        <v>80</v>
      </c>
      <c r="G945" s="12">
        <v>7</v>
      </c>
      <c r="H945" s="14">
        <v>7</v>
      </c>
      <c r="I945" s="12">
        <f>IFERROR(IF(T_PROD[[#This Row],[PREVISTO]]-T_PROD[[#This Row],[EFETIVO]]&lt; 0,0,T_PROD[[#This Row],[PREVISTO]]-T_PROD[[#This Row],[EFETIVO]] ),"")</f>
        <v>0</v>
      </c>
      <c r="J945" s="15">
        <f>IFERROR(IF(T_PROD[[#This Row],[META]]&gt;0,(T_PROD[[#This Row],[META]]/T_PROD[[#This Row],[PREVISTO]]),""),"")</f>
        <v>11</v>
      </c>
      <c r="K945" s="15">
        <f>IFERROR(IF(T_PROD[[#This Row],[PRODUÇÃO]]&gt;0,(T_PROD[[#This Row],[PRODUÇÃO]]/T_PROD[[#This Row],[EFETIVO]]),""),"")</f>
        <v>11.428571428571429</v>
      </c>
    </row>
    <row r="946" spans="1:11" s="6" customFormat="1" x14ac:dyDescent="0.3">
      <c r="A946" s="11">
        <v>46182</v>
      </c>
      <c r="B946" s="12" t="str">
        <f t="shared" si="103"/>
        <v>JUNHO</v>
      </c>
      <c r="C946" s="12" t="s">
        <v>14</v>
      </c>
      <c r="D946" s="12" t="s">
        <v>12</v>
      </c>
      <c r="E946" s="13">
        <v>717</v>
      </c>
      <c r="F946" s="13">
        <v>740</v>
      </c>
      <c r="G946" s="12">
        <v>95</v>
      </c>
      <c r="H946" s="14">
        <v>93</v>
      </c>
      <c r="I946" s="12">
        <f>IFERROR(IF(T_PROD[[#This Row],[PREVISTO]]-T_PROD[[#This Row],[EFETIVO]]&lt; 0,0,T_PROD[[#This Row],[PREVISTO]]-T_PROD[[#This Row],[EFETIVO]] ),"")</f>
        <v>2</v>
      </c>
      <c r="J946" s="15">
        <f>IFERROR(IF(T_PROD[[#This Row],[META]]&gt;0,(T_PROD[[#This Row],[META]]/T_PROD[[#This Row],[PREVISTO]]),""),"")</f>
        <v>7.5473684210526315</v>
      </c>
      <c r="K946" s="15">
        <f>IFERROR(IF(T_PROD[[#This Row],[PRODUÇÃO]]&gt;0,(T_PROD[[#This Row],[PRODUÇÃO]]/T_PROD[[#This Row],[EFETIVO]]),""),"")</f>
        <v>7.956989247311828</v>
      </c>
    </row>
    <row r="947" spans="1:11" s="6" customFormat="1" x14ac:dyDescent="0.3">
      <c r="A947" s="11">
        <v>46183</v>
      </c>
      <c r="B947" s="12" t="str">
        <f>UPPER(TEXT(A947,"MMMM"))</f>
        <v>JUNHO</v>
      </c>
      <c r="C947" s="12" t="s">
        <v>15</v>
      </c>
      <c r="D947" s="12" t="s">
        <v>12</v>
      </c>
      <c r="E947" s="13">
        <v>60</v>
      </c>
      <c r="F947" s="13">
        <v>34</v>
      </c>
      <c r="G947" s="12">
        <v>4</v>
      </c>
      <c r="H947" s="14">
        <v>4</v>
      </c>
      <c r="I947" s="12">
        <f>IFERROR(IF(T_PROD[[#This Row],[PREVISTO]]-T_PROD[[#This Row],[EFETIVO]]&lt; 0,0,T_PROD[[#This Row],[PREVISTO]]-T_PROD[[#This Row],[EFETIVO]] ),"")</f>
        <v>0</v>
      </c>
      <c r="J947" s="15">
        <f>IFERROR(IF(T_PROD[[#This Row],[META]]&gt;0,(T_PROD[[#This Row],[META]]/T_PROD[[#This Row],[PREVISTO]]),""),"")</f>
        <v>15</v>
      </c>
      <c r="K947" s="15">
        <f>IFERROR(IF(T_PROD[[#This Row],[PRODUÇÃO]]&gt;0,(T_PROD[[#This Row],[PRODUÇÃO]]/T_PROD[[#This Row],[EFETIVO]]),""),"")</f>
        <v>8.5</v>
      </c>
    </row>
    <row r="948" spans="1:11" s="6" customFormat="1" x14ac:dyDescent="0.3">
      <c r="A948" s="11">
        <v>46183</v>
      </c>
      <c r="B948" s="12" t="str">
        <f t="shared" ref="B948:B955" si="104">UPPER(TEXT(A948,"MMMM"))</f>
        <v>JUNHO</v>
      </c>
      <c r="C948" s="12" t="s">
        <v>16</v>
      </c>
      <c r="D948" s="12" t="s">
        <v>12</v>
      </c>
      <c r="E948" s="13">
        <v>170</v>
      </c>
      <c r="F948" s="13">
        <v>190</v>
      </c>
      <c r="G948" s="12">
        <v>5</v>
      </c>
      <c r="H948" s="14">
        <v>5</v>
      </c>
      <c r="I948" s="12">
        <f>IFERROR(IF(T_PROD[[#This Row],[PREVISTO]]-T_PROD[[#This Row],[EFETIVO]]&lt; 0,0,T_PROD[[#This Row],[PREVISTO]]-T_PROD[[#This Row],[EFETIVO]] ),"")</f>
        <v>0</v>
      </c>
      <c r="J948" s="15">
        <f>IFERROR(IF(T_PROD[[#This Row],[META]]&gt;0,(T_PROD[[#This Row],[META]]/T_PROD[[#This Row],[PREVISTO]]),""),"")</f>
        <v>34</v>
      </c>
      <c r="K948" s="15">
        <f>IFERROR(IF(T_PROD[[#This Row],[PRODUÇÃO]]&gt;0,(T_PROD[[#This Row],[PRODUÇÃO]]/T_PROD[[#This Row],[EFETIVO]]),""),"")</f>
        <v>38</v>
      </c>
    </row>
    <row r="949" spans="1:11" s="6" customFormat="1" x14ac:dyDescent="0.3">
      <c r="A949" s="11">
        <v>46183</v>
      </c>
      <c r="B949" s="12" t="str">
        <f t="shared" si="104"/>
        <v>JUNHO</v>
      </c>
      <c r="C949" s="12" t="s">
        <v>17</v>
      </c>
      <c r="D949" s="12" t="s">
        <v>12</v>
      </c>
      <c r="E949" s="13">
        <v>160</v>
      </c>
      <c r="F949" s="13">
        <v>165</v>
      </c>
      <c r="G949" s="12">
        <v>10</v>
      </c>
      <c r="H949" s="14">
        <v>10</v>
      </c>
      <c r="I949" s="12">
        <f>IFERROR(IF(T_PROD[[#This Row],[PREVISTO]]-T_PROD[[#This Row],[EFETIVO]]&lt; 0,0,T_PROD[[#This Row],[PREVISTO]]-T_PROD[[#This Row],[EFETIVO]] ),"")</f>
        <v>0</v>
      </c>
      <c r="J949" s="15">
        <f>IFERROR(IF(T_PROD[[#This Row],[META]]&gt;0,(T_PROD[[#This Row],[META]]/T_PROD[[#This Row],[PREVISTO]]),""),"")</f>
        <v>16</v>
      </c>
      <c r="K949" s="15">
        <f>IFERROR(IF(T_PROD[[#This Row],[PRODUÇÃO]]&gt;0,(T_PROD[[#This Row],[PRODUÇÃO]]/T_PROD[[#This Row],[EFETIVO]]),""),"")</f>
        <v>16.5</v>
      </c>
    </row>
    <row r="950" spans="1:11" s="6" customFormat="1" x14ac:dyDescent="0.3">
      <c r="A950" s="11">
        <v>46183</v>
      </c>
      <c r="B950" s="12" t="str">
        <f t="shared" si="104"/>
        <v>JUNHO</v>
      </c>
      <c r="C950" s="12" t="s">
        <v>18</v>
      </c>
      <c r="D950" s="12" t="s">
        <v>12</v>
      </c>
      <c r="E950" s="13"/>
      <c r="F950" s="13"/>
      <c r="G950" s="12"/>
      <c r="H950" s="14"/>
      <c r="I950" s="12">
        <f>IFERROR(IF(T_PROD[[#This Row],[PREVISTO]]-T_PROD[[#This Row],[EFETIVO]]&lt; 0,0,T_PROD[[#This Row],[PREVISTO]]-T_PROD[[#This Row],[EFETIVO]] ),"")</f>
        <v>0</v>
      </c>
      <c r="J950" s="15" t="str">
        <f>IFERROR(IF(T_PROD[[#This Row],[META]]&gt;0,(T_PROD[[#This Row],[META]]/T_PROD[[#This Row],[PREVISTO]]),""),"")</f>
        <v/>
      </c>
      <c r="K950" s="15" t="str">
        <f>IFERROR(IF(T_PROD[[#This Row],[PRODUÇÃO]]&gt;0,(T_PROD[[#This Row],[PRODUÇÃO]]/T_PROD[[#This Row],[EFETIVO]]),""),"")</f>
        <v/>
      </c>
    </row>
    <row r="951" spans="1:11" s="6" customFormat="1" x14ac:dyDescent="0.3">
      <c r="A951" s="11">
        <v>46183</v>
      </c>
      <c r="B951" s="12" t="str">
        <f t="shared" si="104"/>
        <v>JUNHO</v>
      </c>
      <c r="C951" s="12" t="s">
        <v>19</v>
      </c>
      <c r="D951" s="12" t="s">
        <v>12</v>
      </c>
      <c r="E951" s="13"/>
      <c r="F951" s="13"/>
      <c r="G951" s="12"/>
      <c r="H951" s="14"/>
      <c r="I951" s="12">
        <f>IFERROR(IF(T_PROD[[#This Row],[PREVISTO]]-T_PROD[[#This Row],[EFETIVO]]&lt; 0,0,T_PROD[[#This Row],[PREVISTO]]-T_PROD[[#This Row],[EFETIVO]] ),"")</f>
        <v>0</v>
      </c>
      <c r="J951" s="15" t="str">
        <f>IFERROR(IF(T_PROD[[#This Row],[META]]&gt;0,(T_PROD[[#This Row],[META]]/T_PROD[[#This Row],[PREVISTO]]),""),"")</f>
        <v/>
      </c>
      <c r="K951" s="15" t="str">
        <f>IFERROR(IF(T_PROD[[#This Row],[PRODUÇÃO]]&gt;0,(T_PROD[[#This Row],[PRODUÇÃO]]/T_PROD[[#This Row],[EFETIVO]]),""),"")</f>
        <v/>
      </c>
    </row>
    <row r="952" spans="1:11" s="6" customFormat="1" x14ac:dyDescent="0.3">
      <c r="A952" s="11">
        <v>46183</v>
      </c>
      <c r="B952" s="12" t="str">
        <f t="shared" si="104"/>
        <v>JUNHO</v>
      </c>
      <c r="C952" s="12" t="s">
        <v>20</v>
      </c>
      <c r="D952" s="12" t="s">
        <v>12</v>
      </c>
      <c r="E952" s="13">
        <v>390</v>
      </c>
      <c r="F952" s="13">
        <v>389</v>
      </c>
      <c r="G952" s="12">
        <v>90</v>
      </c>
      <c r="H952" s="14">
        <v>90</v>
      </c>
      <c r="I952" s="12">
        <f>IFERROR(IF(T_PROD[[#This Row],[PREVISTO]]-T_PROD[[#This Row],[EFETIVO]]&lt; 0,0,T_PROD[[#This Row],[PREVISTO]]-T_PROD[[#This Row],[EFETIVO]] ),"")</f>
        <v>0</v>
      </c>
      <c r="J952" s="15">
        <f>IFERROR(IF(T_PROD[[#This Row],[META]]&gt;0,(T_PROD[[#This Row],[META]]/T_PROD[[#This Row],[PREVISTO]]),""),"")</f>
        <v>4.333333333333333</v>
      </c>
      <c r="K952" s="15">
        <f>IFERROR(IF(T_PROD[[#This Row],[PRODUÇÃO]]&gt;0,(T_PROD[[#This Row],[PRODUÇÃO]]/T_PROD[[#This Row],[EFETIVO]]),""),"")</f>
        <v>4.322222222222222</v>
      </c>
    </row>
    <row r="953" spans="1:11" s="6" customFormat="1" x14ac:dyDescent="0.3">
      <c r="A953" s="11">
        <v>46183</v>
      </c>
      <c r="B953" s="12" t="str">
        <f t="shared" si="104"/>
        <v>JUNHO</v>
      </c>
      <c r="C953" s="12" t="s">
        <v>11</v>
      </c>
      <c r="D953" s="12" t="s">
        <v>12</v>
      </c>
      <c r="E953" s="13">
        <v>600</v>
      </c>
      <c r="F953" s="13">
        <v>630</v>
      </c>
      <c r="G953" s="12">
        <v>30</v>
      </c>
      <c r="H953" s="14">
        <v>30</v>
      </c>
      <c r="I953" s="12">
        <f>IFERROR(IF(T_PROD[[#This Row],[PREVISTO]]-T_PROD[[#This Row],[EFETIVO]]&lt; 0,0,T_PROD[[#This Row],[PREVISTO]]-T_PROD[[#This Row],[EFETIVO]] ),"")</f>
        <v>0</v>
      </c>
      <c r="J953" s="15">
        <f>IFERROR(IF(T_PROD[[#This Row],[META]]&gt;0,(T_PROD[[#This Row],[META]]/T_PROD[[#This Row],[PREVISTO]]),""),"")</f>
        <v>20</v>
      </c>
      <c r="K953" s="15">
        <f>IFERROR(IF(T_PROD[[#This Row],[PRODUÇÃO]]&gt;0,(T_PROD[[#This Row],[PRODUÇÃO]]/T_PROD[[#This Row],[EFETIVO]]),""),"")</f>
        <v>21</v>
      </c>
    </row>
    <row r="954" spans="1:11" s="6" customFormat="1" x14ac:dyDescent="0.3">
      <c r="A954" s="11">
        <v>46183</v>
      </c>
      <c r="B954" s="12" t="str">
        <f t="shared" si="104"/>
        <v>JUNHO</v>
      </c>
      <c r="C954" s="12" t="s">
        <v>32</v>
      </c>
      <c r="D954" s="12" t="s">
        <v>12</v>
      </c>
      <c r="E954" s="13">
        <v>88</v>
      </c>
      <c r="F954" s="13">
        <v>92</v>
      </c>
      <c r="G954" s="12">
        <v>8</v>
      </c>
      <c r="H954" s="14">
        <v>8</v>
      </c>
      <c r="I954" s="12">
        <f>IFERROR(IF(T_PROD[[#This Row],[PREVISTO]]-T_PROD[[#This Row],[EFETIVO]]&lt; 0,0,T_PROD[[#This Row],[PREVISTO]]-T_PROD[[#This Row],[EFETIVO]] ),"")</f>
        <v>0</v>
      </c>
      <c r="J954" s="15">
        <f>IFERROR(IF(T_PROD[[#This Row],[META]]&gt;0,(T_PROD[[#This Row],[META]]/T_PROD[[#This Row],[PREVISTO]]),""),"")</f>
        <v>11</v>
      </c>
      <c r="K954" s="15">
        <f>IFERROR(IF(T_PROD[[#This Row],[PRODUÇÃO]]&gt;0,(T_PROD[[#This Row],[PRODUÇÃO]]/T_PROD[[#This Row],[EFETIVO]]),""),"")</f>
        <v>11.5</v>
      </c>
    </row>
    <row r="955" spans="1:11" s="6" customFormat="1" x14ac:dyDescent="0.3">
      <c r="A955" s="11">
        <v>46183</v>
      </c>
      <c r="B955" s="12" t="str">
        <f t="shared" si="104"/>
        <v>JUNHO</v>
      </c>
      <c r="C955" s="12" t="s">
        <v>14</v>
      </c>
      <c r="D955" s="12" t="s">
        <v>12</v>
      </c>
      <c r="E955" s="13">
        <v>688</v>
      </c>
      <c r="F955" s="13">
        <v>722</v>
      </c>
      <c r="G955" s="12">
        <v>95</v>
      </c>
      <c r="H955" s="14">
        <v>90</v>
      </c>
      <c r="I955" s="12">
        <f>IFERROR(IF(T_PROD[[#This Row],[PREVISTO]]-T_PROD[[#This Row],[EFETIVO]]&lt; 0,0,T_PROD[[#This Row],[PREVISTO]]-T_PROD[[#This Row],[EFETIVO]] ),"")</f>
        <v>5</v>
      </c>
      <c r="J955" s="15">
        <f>IFERROR(IF(T_PROD[[#This Row],[META]]&gt;0,(T_PROD[[#This Row],[META]]/T_PROD[[#This Row],[PREVISTO]]),""),"")</f>
        <v>7.242105263157895</v>
      </c>
      <c r="K955" s="15">
        <f>IFERROR(IF(T_PROD[[#This Row],[PRODUÇÃO]]&gt;0,(T_PROD[[#This Row],[PRODUÇÃO]]/T_PROD[[#This Row],[EFETIVO]]),""),"")</f>
        <v>8.0222222222222221</v>
      </c>
    </row>
    <row r="956" spans="1:11" s="6" customFormat="1" x14ac:dyDescent="0.3">
      <c r="A956" s="11">
        <v>46184</v>
      </c>
      <c r="B956" s="12" t="str">
        <f>UPPER(TEXT(A956,"MMMM"))</f>
        <v>JUNHO</v>
      </c>
      <c r="C956" s="12" t="s">
        <v>15</v>
      </c>
      <c r="D956" s="12" t="s">
        <v>12</v>
      </c>
      <c r="E956" s="13">
        <v>82.5</v>
      </c>
      <c r="F956" s="13">
        <v>33</v>
      </c>
      <c r="G956" s="12">
        <v>5.5</v>
      </c>
      <c r="H956" s="14">
        <v>5.5</v>
      </c>
      <c r="I956" s="12">
        <f>IFERROR(IF(T_PROD[[#This Row],[PREVISTO]]-T_PROD[[#This Row],[EFETIVO]]&lt; 0,0,T_PROD[[#This Row],[PREVISTO]]-T_PROD[[#This Row],[EFETIVO]] ),"")</f>
        <v>0</v>
      </c>
      <c r="J956" s="15">
        <f>IFERROR(IF(T_PROD[[#This Row],[META]]&gt;0,(T_PROD[[#This Row],[META]]/T_PROD[[#This Row],[PREVISTO]]),""),"")</f>
        <v>15</v>
      </c>
      <c r="K956" s="15">
        <f>IFERROR(IF(T_PROD[[#This Row],[PRODUÇÃO]]&gt;0,(T_PROD[[#This Row],[PRODUÇÃO]]/T_PROD[[#This Row],[EFETIVO]]),""),"")</f>
        <v>6</v>
      </c>
    </row>
    <row r="957" spans="1:11" s="6" customFormat="1" x14ac:dyDescent="0.3">
      <c r="A957" s="11">
        <v>46184</v>
      </c>
      <c r="B957" s="12" t="str">
        <f t="shared" ref="B957:B964" si="105">UPPER(TEXT(A957,"MMMM"))</f>
        <v>JUNHO</v>
      </c>
      <c r="C957" s="12" t="s">
        <v>16</v>
      </c>
      <c r="D957" s="12" t="s">
        <v>12</v>
      </c>
      <c r="E957" s="13">
        <v>204</v>
      </c>
      <c r="F957" s="13">
        <v>153</v>
      </c>
      <c r="G957" s="12">
        <v>6</v>
      </c>
      <c r="H957" s="14">
        <v>6</v>
      </c>
      <c r="I957" s="12">
        <f>IFERROR(IF(T_PROD[[#This Row],[PREVISTO]]-T_PROD[[#This Row],[EFETIVO]]&lt; 0,0,T_PROD[[#This Row],[PREVISTO]]-T_PROD[[#This Row],[EFETIVO]] ),"")</f>
        <v>0</v>
      </c>
      <c r="J957" s="15">
        <f>IFERROR(IF(T_PROD[[#This Row],[META]]&gt;0,(T_PROD[[#This Row],[META]]/T_PROD[[#This Row],[PREVISTO]]),""),"")</f>
        <v>34</v>
      </c>
      <c r="K957" s="15">
        <f>IFERROR(IF(T_PROD[[#This Row],[PRODUÇÃO]]&gt;0,(T_PROD[[#This Row],[PRODUÇÃO]]/T_PROD[[#This Row],[EFETIVO]]),""),"")</f>
        <v>25.5</v>
      </c>
    </row>
    <row r="958" spans="1:11" s="6" customFormat="1" x14ac:dyDescent="0.3">
      <c r="A958" s="11">
        <v>46184</v>
      </c>
      <c r="B958" s="12" t="str">
        <f t="shared" si="105"/>
        <v>JUNHO</v>
      </c>
      <c r="C958" s="12" t="s">
        <v>17</v>
      </c>
      <c r="D958" s="12" t="s">
        <v>12</v>
      </c>
      <c r="E958" s="13">
        <v>176</v>
      </c>
      <c r="F958" s="13">
        <v>179</v>
      </c>
      <c r="G958" s="12">
        <v>11</v>
      </c>
      <c r="H958" s="14">
        <v>11</v>
      </c>
      <c r="I958" s="12">
        <f>IFERROR(IF(T_PROD[[#This Row],[PREVISTO]]-T_PROD[[#This Row],[EFETIVO]]&lt; 0,0,T_PROD[[#This Row],[PREVISTO]]-T_PROD[[#This Row],[EFETIVO]] ),"")</f>
        <v>0</v>
      </c>
      <c r="J958" s="15">
        <f>IFERROR(IF(T_PROD[[#This Row],[META]]&gt;0,(T_PROD[[#This Row],[META]]/T_PROD[[#This Row],[PREVISTO]]),""),"")</f>
        <v>16</v>
      </c>
      <c r="K958" s="15">
        <f>IFERROR(IF(T_PROD[[#This Row],[PRODUÇÃO]]&gt;0,(T_PROD[[#This Row],[PRODUÇÃO]]/T_PROD[[#This Row],[EFETIVO]]),""),"")</f>
        <v>16.272727272727273</v>
      </c>
    </row>
    <row r="959" spans="1:11" s="6" customFormat="1" x14ac:dyDescent="0.3">
      <c r="A959" s="11">
        <v>46184</v>
      </c>
      <c r="B959" s="12" t="str">
        <f t="shared" si="105"/>
        <v>JUNHO</v>
      </c>
      <c r="C959" s="12" t="s">
        <v>18</v>
      </c>
      <c r="D959" s="12" t="s">
        <v>12</v>
      </c>
      <c r="E959" s="13"/>
      <c r="F959" s="13"/>
      <c r="G959" s="12"/>
      <c r="H959" s="14"/>
      <c r="I959" s="12">
        <f>IFERROR(IF(T_PROD[[#This Row],[PREVISTO]]-T_PROD[[#This Row],[EFETIVO]]&lt; 0,0,T_PROD[[#This Row],[PREVISTO]]-T_PROD[[#This Row],[EFETIVO]] ),"")</f>
        <v>0</v>
      </c>
      <c r="J959" s="15" t="str">
        <f>IFERROR(IF(T_PROD[[#This Row],[META]]&gt;0,(T_PROD[[#This Row],[META]]/T_PROD[[#This Row],[PREVISTO]]),""),"")</f>
        <v/>
      </c>
      <c r="K959" s="15" t="str">
        <f>IFERROR(IF(T_PROD[[#This Row],[PRODUÇÃO]]&gt;0,(T_PROD[[#This Row],[PRODUÇÃO]]/T_PROD[[#This Row],[EFETIVO]]),""),"")</f>
        <v/>
      </c>
    </row>
    <row r="960" spans="1:11" s="6" customFormat="1" x14ac:dyDescent="0.3">
      <c r="A960" s="11">
        <v>46184</v>
      </c>
      <c r="B960" s="12" t="str">
        <f t="shared" si="105"/>
        <v>JUNHO</v>
      </c>
      <c r="C960" s="12" t="s">
        <v>19</v>
      </c>
      <c r="D960" s="12" t="s">
        <v>12</v>
      </c>
      <c r="E960" s="13"/>
      <c r="F960" s="13"/>
      <c r="G960" s="12"/>
      <c r="H960" s="14"/>
      <c r="I960" s="12">
        <f>IFERROR(IF(T_PROD[[#This Row],[PREVISTO]]-T_PROD[[#This Row],[EFETIVO]]&lt; 0,0,T_PROD[[#This Row],[PREVISTO]]-T_PROD[[#This Row],[EFETIVO]] ),"")</f>
        <v>0</v>
      </c>
      <c r="J960" s="15" t="str">
        <f>IFERROR(IF(T_PROD[[#This Row],[META]]&gt;0,(T_PROD[[#This Row],[META]]/T_PROD[[#This Row],[PREVISTO]]),""),"")</f>
        <v/>
      </c>
      <c r="K960" s="15" t="str">
        <f>IFERROR(IF(T_PROD[[#This Row],[PRODUÇÃO]]&gt;0,(T_PROD[[#This Row],[PRODUÇÃO]]/T_PROD[[#This Row],[EFETIVO]]),""),"")</f>
        <v/>
      </c>
    </row>
    <row r="961" spans="1:11" s="6" customFormat="1" x14ac:dyDescent="0.3">
      <c r="A961" s="11">
        <v>46184</v>
      </c>
      <c r="B961" s="12" t="str">
        <f t="shared" si="105"/>
        <v>JUNHO</v>
      </c>
      <c r="C961" s="12" t="s">
        <v>20</v>
      </c>
      <c r="D961" s="12" t="s">
        <v>12</v>
      </c>
      <c r="E961" s="13">
        <v>463</v>
      </c>
      <c r="F961" s="13">
        <v>365</v>
      </c>
      <c r="G961" s="12">
        <v>90</v>
      </c>
      <c r="H961" s="14">
        <v>90</v>
      </c>
      <c r="I961" s="12">
        <f>IFERROR(IF(T_PROD[[#This Row],[PREVISTO]]-T_PROD[[#This Row],[EFETIVO]]&lt; 0,0,T_PROD[[#This Row],[PREVISTO]]-T_PROD[[#This Row],[EFETIVO]] ),"")</f>
        <v>0</v>
      </c>
      <c r="J961" s="15">
        <f>IFERROR(IF(T_PROD[[#This Row],[META]]&gt;0,(T_PROD[[#This Row],[META]]/T_PROD[[#This Row],[PREVISTO]]),""),"")</f>
        <v>5.1444444444444448</v>
      </c>
      <c r="K961" s="15">
        <f>IFERROR(IF(T_PROD[[#This Row],[PRODUÇÃO]]&gt;0,(T_PROD[[#This Row],[PRODUÇÃO]]/T_PROD[[#This Row],[EFETIVO]]),""),"")</f>
        <v>4.0555555555555554</v>
      </c>
    </row>
    <row r="962" spans="1:11" s="6" customFormat="1" x14ac:dyDescent="0.3">
      <c r="A962" s="11">
        <v>46184</v>
      </c>
      <c r="B962" s="12" t="str">
        <f t="shared" si="105"/>
        <v>JUNHO</v>
      </c>
      <c r="C962" s="12" t="s">
        <v>11</v>
      </c>
      <c r="D962" s="12" t="s">
        <v>12</v>
      </c>
      <c r="E962" s="13">
        <v>600</v>
      </c>
      <c r="F962" s="13">
        <v>620</v>
      </c>
      <c r="G962" s="12">
        <v>30</v>
      </c>
      <c r="H962" s="14">
        <v>30</v>
      </c>
      <c r="I962" s="12">
        <f>IFERROR(IF(T_PROD[[#This Row],[PREVISTO]]-T_PROD[[#This Row],[EFETIVO]]&lt; 0,0,T_PROD[[#This Row],[PREVISTO]]-T_PROD[[#This Row],[EFETIVO]] ),"")</f>
        <v>0</v>
      </c>
      <c r="J962" s="15">
        <f>IFERROR(IF(T_PROD[[#This Row],[META]]&gt;0,(T_PROD[[#This Row],[META]]/T_PROD[[#This Row],[PREVISTO]]),""),"")</f>
        <v>20</v>
      </c>
      <c r="K962" s="15">
        <f>IFERROR(IF(T_PROD[[#This Row],[PRODUÇÃO]]&gt;0,(T_PROD[[#This Row],[PRODUÇÃO]]/T_PROD[[#This Row],[EFETIVO]]),""),"")</f>
        <v>20.666666666666668</v>
      </c>
    </row>
    <row r="963" spans="1:11" s="6" customFormat="1" x14ac:dyDescent="0.3">
      <c r="A963" s="11">
        <v>46184</v>
      </c>
      <c r="B963" s="12" t="str">
        <f t="shared" si="105"/>
        <v>JUNHO</v>
      </c>
      <c r="C963" s="12" t="s">
        <v>32</v>
      </c>
      <c r="D963" s="12" t="s">
        <v>12</v>
      </c>
      <c r="E963" s="13">
        <v>88</v>
      </c>
      <c r="F963" s="13">
        <v>93</v>
      </c>
      <c r="G963" s="12">
        <v>8</v>
      </c>
      <c r="H963" s="14">
        <v>8</v>
      </c>
      <c r="I963" s="12">
        <f>IFERROR(IF(T_PROD[[#This Row],[PREVISTO]]-T_PROD[[#This Row],[EFETIVO]]&lt; 0,0,T_PROD[[#This Row],[PREVISTO]]-T_PROD[[#This Row],[EFETIVO]] ),"")</f>
        <v>0</v>
      </c>
      <c r="J963" s="15">
        <f>IFERROR(IF(T_PROD[[#This Row],[META]]&gt;0,(T_PROD[[#This Row],[META]]/T_PROD[[#This Row],[PREVISTO]]),""),"")</f>
        <v>11</v>
      </c>
      <c r="K963" s="15">
        <f>IFERROR(IF(T_PROD[[#This Row],[PRODUÇÃO]]&gt;0,(T_PROD[[#This Row],[PRODUÇÃO]]/T_PROD[[#This Row],[EFETIVO]]),""),"")</f>
        <v>11.625</v>
      </c>
    </row>
    <row r="964" spans="1:11" s="6" customFormat="1" x14ac:dyDescent="0.3">
      <c r="A964" s="11">
        <v>46184</v>
      </c>
      <c r="B964" s="12" t="str">
        <f t="shared" si="105"/>
        <v>JUNHO</v>
      </c>
      <c r="C964" s="12" t="s">
        <v>14</v>
      </c>
      <c r="D964" s="12" t="s">
        <v>12</v>
      </c>
      <c r="E964" s="13">
        <v>688</v>
      </c>
      <c r="F964" s="13">
        <v>713</v>
      </c>
      <c r="G964" s="12">
        <v>95</v>
      </c>
      <c r="H964" s="14">
        <v>89</v>
      </c>
      <c r="I964" s="12">
        <f>IFERROR(IF(T_PROD[[#This Row],[PREVISTO]]-T_PROD[[#This Row],[EFETIVO]]&lt; 0,0,T_PROD[[#This Row],[PREVISTO]]-T_PROD[[#This Row],[EFETIVO]] ),"")</f>
        <v>6</v>
      </c>
      <c r="J964" s="15">
        <f>IFERROR(IF(T_PROD[[#This Row],[META]]&gt;0,(T_PROD[[#This Row],[META]]/T_PROD[[#This Row],[PREVISTO]]),""),"")</f>
        <v>7.242105263157895</v>
      </c>
      <c r="K964" s="15">
        <f>IFERROR(IF(T_PROD[[#This Row],[PRODUÇÃO]]&gt;0,(T_PROD[[#This Row],[PRODUÇÃO]]/T_PROD[[#This Row],[EFETIVO]]),""),"")</f>
        <v>8.0112359550561791</v>
      </c>
    </row>
    <row r="965" spans="1:11" s="6" customFormat="1" x14ac:dyDescent="0.3">
      <c r="A965" s="11">
        <v>46185</v>
      </c>
      <c r="B965" s="12" t="str">
        <f>UPPER(TEXT(A965,"MMMM"))</f>
        <v>JUNHO</v>
      </c>
      <c r="C965" s="12" t="s">
        <v>15</v>
      </c>
      <c r="D965" s="12" t="s">
        <v>12</v>
      </c>
      <c r="E965" s="13">
        <v>82.5</v>
      </c>
      <c r="F965" s="13">
        <v>50</v>
      </c>
      <c r="G965" s="12">
        <v>5.5</v>
      </c>
      <c r="H965" s="14">
        <v>5.5</v>
      </c>
      <c r="I965" s="12">
        <f>IFERROR(IF(T_PROD[[#This Row],[PREVISTO]]-T_PROD[[#This Row],[EFETIVO]]&lt; 0,0,T_PROD[[#This Row],[PREVISTO]]-T_PROD[[#This Row],[EFETIVO]] ),"")</f>
        <v>0</v>
      </c>
      <c r="J965" s="15">
        <f>IFERROR(IF(T_PROD[[#This Row],[META]]&gt;0,(T_PROD[[#This Row],[META]]/T_PROD[[#This Row],[PREVISTO]]),""),"")</f>
        <v>15</v>
      </c>
      <c r="K965" s="15">
        <f>IFERROR(IF(T_PROD[[#This Row],[PRODUÇÃO]]&gt;0,(T_PROD[[#This Row],[PRODUÇÃO]]/T_PROD[[#This Row],[EFETIVO]]),""),"")</f>
        <v>9.0909090909090917</v>
      </c>
    </row>
    <row r="966" spans="1:11" s="6" customFormat="1" x14ac:dyDescent="0.3">
      <c r="A966" s="11">
        <v>46185</v>
      </c>
      <c r="B966" s="12" t="str">
        <f t="shared" ref="B966:B973" si="106">UPPER(TEXT(A966,"MMMM"))</f>
        <v>JUNHO</v>
      </c>
      <c r="C966" s="12" t="s">
        <v>16</v>
      </c>
      <c r="D966" s="12" t="s">
        <v>12</v>
      </c>
      <c r="E966" s="13">
        <v>204</v>
      </c>
      <c r="F966" s="13">
        <v>144</v>
      </c>
      <c r="G966" s="12">
        <v>6</v>
      </c>
      <c r="H966" s="14">
        <v>6</v>
      </c>
      <c r="I966" s="12">
        <f>IFERROR(IF(T_PROD[[#This Row],[PREVISTO]]-T_PROD[[#This Row],[EFETIVO]]&lt; 0,0,T_PROD[[#This Row],[PREVISTO]]-T_PROD[[#This Row],[EFETIVO]] ),"")</f>
        <v>0</v>
      </c>
      <c r="J966" s="15">
        <f>IFERROR(IF(T_PROD[[#This Row],[META]]&gt;0,(T_PROD[[#This Row],[META]]/T_PROD[[#This Row],[PREVISTO]]),""),"")</f>
        <v>34</v>
      </c>
      <c r="K966" s="15">
        <f>IFERROR(IF(T_PROD[[#This Row],[PRODUÇÃO]]&gt;0,(T_PROD[[#This Row],[PRODUÇÃO]]/T_PROD[[#This Row],[EFETIVO]]),""),"")</f>
        <v>24</v>
      </c>
    </row>
    <row r="967" spans="1:11" s="6" customFormat="1" x14ac:dyDescent="0.3">
      <c r="A967" s="11">
        <v>46185</v>
      </c>
      <c r="B967" s="12" t="str">
        <f t="shared" si="106"/>
        <v>JUNHO</v>
      </c>
      <c r="C967" s="12" t="s">
        <v>17</v>
      </c>
      <c r="D967" s="12" t="s">
        <v>12</v>
      </c>
      <c r="E967" s="13">
        <v>176</v>
      </c>
      <c r="F967" s="13">
        <v>151</v>
      </c>
      <c r="G967" s="12">
        <v>11</v>
      </c>
      <c r="H967" s="14">
        <v>11</v>
      </c>
      <c r="I967" s="12">
        <f>IFERROR(IF(T_PROD[[#This Row],[PREVISTO]]-T_PROD[[#This Row],[EFETIVO]]&lt; 0,0,T_PROD[[#This Row],[PREVISTO]]-T_PROD[[#This Row],[EFETIVO]] ),"")</f>
        <v>0</v>
      </c>
      <c r="J967" s="15">
        <f>IFERROR(IF(T_PROD[[#This Row],[META]]&gt;0,(T_PROD[[#This Row],[META]]/T_PROD[[#This Row],[PREVISTO]]),""),"")</f>
        <v>16</v>
      </c>
      <c r="K967" s="15">
        <f>IFERROR(IF(T_PROD[[#This Row],[PRODUÇÃO]]&gt;0,(T_PROD[[#This Row],[PRODUÇÃO]]/T_PROD[[#This Row],[EFETIVO]]),""),"")</f>
        <v>13.727272727272727</v>
      </c>
    </row>
    <row r="968" spans="1:11" s="6" customFormat="1" x14ac:dyDescent="0.3">
      <c r="A968" s="11">
        <v>46185</v>
      </c>
      <c r="B968" s="12" t="str">
        <f t="shared" si="106"/>
        <v>JUNHO</v>
      </c>
      <c r="C968" s="12" t="s">
        <v>18</v>
      </c>
      <c r="D968" s="12" t="s">
        <v>12</v>
      </c>
      <c r="E968" s="13"/>
      <c r="F968" s="13"/>
      <c r="G968" s="12"/>
      <c r="H968" s="14"/>
      <c r="I968" s="12">
        <f>IFERROR(IF(T_PROD[[#This Row],[PREVISTO]]-T_PROD[[#This Row],[EFETIVO]]&lt; 0,0,T_PROD[[#This Row],[PREVISTO]]-T_PROD[[#This Row],[EFETIVO]] ),"")</f>
        <v>0</v>
      </c>
      <c r="J968" s="15" t="str">
        <f>IFERROR(IF(T_PROD[[#This Row],[META]]&gt;0,(T_PROD[[#This Row],[META]]/T_PROD[[#This Row],[PREVISTO]]),""),"")</f>
        <v/>
      </c>
      <c r="K968" s="15" t="str">
        <f>IFERROR(IF(T_PROD[[#This Row],[PRODUÇÃO]]&gt;0,(T_PROD[[#This Row],[PRODUÇÃO]]/T_PROD[[#This Row],[EFETIVO]]),""),"")</f>
        <v/>
      </c>
    </row>
    <row r="969" spans="1:11" s="6" customFormat="1" x14ac:dyDescent="0.3">
      <c r="A969" s="11">
        <v>46185</v>
      </c>
      <c r="B969" s="12" t="str">
        <f t="shared" si="106"/>
        <v>JUNHO</v>
      </c>
      <c r="C969" s="12" t="s">
        <v>19</v>
      </c>
      <c r="D969" s="12" t="s">
        <v>12</v>
      </c>
      <c r="E969" s="13"/>
      <c r="F969" s="13"/>
      <c r="G969" s="12"/>
      <c r="H969" s="14"/>
      <c r="I969" s="12">
        <f>IFERROR(IF(T_PROD[[#This Row],[PREVISTO]]-T_PROD[[#This Row],[EFETIVO]]&lt; 0,0,T_PROD[[#This Row],[PREVISTO]]-T_PROD[[#This Row],[EFETIVO]] ),"")</f>
        <v>0</v>
      </c>
      <c r="J969" s="15" t="str">
        <f>IFERROR(IF(T_PROD[[#This Row],[META]]&gt;0,(T_PROD[[#This Row],[META]]/T_PROD[[#This Row],[PREVISTO]]),""),"")</f>
        <v/>
      </c>
      <c r="K969" s="15" t="str">
        <f>IFERROR(IF(T_PROD[[#This Row],[PRODUÇÃO]]&gt;0,(T_PROD[[#This Row],[PRODUÇÃO]]/T_PROD[[#This Row],[EFETIVO]]),""),"")</f>
        <v/>
      </c>
    </row>
    <row r="970" spans="1:11" s="6" customFormat="1" x14ac:dyDescent="0.3">
      <c r="A970" s="11">
        <v>46185</v>
      </c>
      <c r="B970" s="12" t="str">
        <f t="shared" si="106"/>
        <v>JUNHO</v>
      </c>
      <c r="C970" s="12" t="s">
        <v>20</v>
      </c>
      <c r="D970" s="12" t="s">
        <v>12</v>
      </c>
      <c r="E970" s="13">
        <v>463</v>
      </c>
      <c r="F970" s="13">
        <v>345</v>
      </c>
      <c r="G970" s="12">
        <v>90</v>
      </c>
      <c r="H970" s="14">
        <v>90</v>
      </c>
      <c r="I970" s="12">
        <f>IFERROR(IF(T_PROD[[#This Row],[PREVISTO]]-T_PROD[[#This Row],[EFETIVO]]&lt; 0,0,T_PROD[[#This Row],[PREVISTO]]-T_PROD[[#This Row],[EFETIVO]] ),"")</f>
        <v>0</v>
      </c>
      <c r="J970" s="15">
        <f>IFERROR(IF(T_PROD[[#This Row],[META]]&gt;0,(T_PROD[[#This Row],[META]]/T_PROD[[#This Row],[PREVISTO]]),""),"")</f>
        <v>5.1444444444444448</v>
      </c>
      <c r="K970" s="15">
        <f>IFERROR(IF(T_PROD[[#This Row],[PRODUÇÃO]]&gt;0,(T_PROD[[#This Row],[PRODUÇÃO]]/T_PROD[[#This Row],[EFETIVO]]),""),"")</f>
        <v>3.8333333333333335</v>
      </c>
    </row>
    <row r="971" spans="1:11" s="6" customFormat="1" x14ac:dyDescent="0.3">
      <c r="A971" s="11">
        <v>46185</v>
      </c>
      <c r="B971" s="12" t="str">
        <f t="shared" si="106"/>
        <v>JUNHO</v>
      </c>
      <c r="C971" s="12" t="s">
        <v>11</v>
      </c>
      <c r="D971" s="12" t="s">
        <v>12</v>
      </c>
      <c r="E971" s="13">
        <v>500</v>
      </c>
      <c r="F971" s="13">
        <v>465</v>
      </c>
      <c r="G971" s="12">
        <v>25</v>
      </c>
      <c r="H971" s="14">
        <v>25</v>
      </c>
      <c r="I971" s="12">
        <f>IFERROR(IF(T_PROD[[#This Row],[PREVISTO]]-T_PROD[[#This Row],[EFETIVO]]&lt; 0,0,T_PROD[[#This Row],[PREVISTO]]-T_PROD[[#This Row],[EFETIVO]] ),"")</f>
        <v>0</v>
      </c>
      <c r="J971" s="15">
        <f>IFERROR(IF(T_PROD[[#This Row],[META]]&gt;0,(T_PROD[[#This Row],[META]]/T_PROD[[#This Row],[PREVISTO]]),""),"")</f>
        <v>20</v>
      </c>
      <c r="K971" s="15">
        <f>IFERROR(IF(T_PROD[[#This Row],[PRODUÇÃO]]&gt;0,(T_PROD[[#This Row],[PRODUÇÃO]]/T_PROD[[#This Row],[EFETIVO]]),""),"")</f>
        <v>18.600000000000001</v>
      </c>
    </row>
    <row r="972" spans="1:11" s="6" customFormat="1" x14ac:dyDescent="0.3">
      <c r="A972" s="11">
        <v>46185</v>
      </c>
      <c r="B972" s="12" t="str">
        <f t="shared" si="106"/>
        <v>JUNHO</v>
      </c>
      <c r="C972" s="12" t="s">
        <v>32</v>
      </c>
      <c r="D972" s="12" t="s">
        <v>12</v>
      </c>
      <c r="E972" s="13">
        <v>88</v>
      </c>
      <c r="F972" s="13">
        <v>77</v>
      </c>
      <c r="G972" s="12">
        <v>8</v>
      </c>
      <c r="H972" s="14">
        <v>8</v>
      </c>
      <c r="I972" s="12">
        <f>IFERROR(IF(T_PROD[[#This Row],[PREVISTO]]-T_PROD[[#This Row],[EFETIVO]]&lt; 0,0,T_PROD[[#This Row],[PREVISTO]]-T_PROD[[#This Row],[EFETIVO]] ),"")</f>
        <v>0</v>
      </c>
      <c r="J972" s="15">
        <f>IFERROR(IF(T_PROD[[#This Row],[META]]&gt;0,(T_PROD[[#This Row],[META]]/T_PROD[[#This Row],[PREVISTO]]),""),"")</f>
        <v>11</v>
      </c>
      <c r="K972" s="15">
        <f>IFERROR(IF(T_PROD[[#This Row],[PRODUÇÃO]]&gt;0,(T_PROD[[#This Row],[PRODUÇÃO]]/T_PROD[[#This Row],[EFETIVO]]),""),"")</f>
        <v>9.625</v>
      </c>
    </row>
    <row r="973" spans="1:11" s="6" customFormat="1" x14ac:dyDescent="0.3">
      <c r="A973" s="11">
        <v>46185</v>
      </c>
      <c r="B973" s="12" t="str">
        <f t="shared" si="106"/>
        <v>JUNHO</v>
      </c>
      <c r="C973" s="12" t="s">
        <v>14</v>
      </c>
      <c r="D973" s="12" t="s">
        <v>12</v>
      </c>
      <c r="E973" s="13">
        <v>588</v>
      </c>
      <c r="F973" s="13">
        <v>542</v>
      </c>
      <c r="G973" s="12">
        <v>75</v>
      </c>
      <c r="H973" s="14">
        <v>75</v>
      </c>
      <c r="I973" s="12">
        <f>IFERROR(IF(T_PROD[[#This Row],[PREVISTO]]-T_PROD[[#This Row],[EFETIVO]]&lt; 0,0,T_PROD[[#This Row],[PREVISTO]]-T_PROD[[#This Row],[EFETIVO]] ),"")</f>
        <v>0</v>
      </c>
      <c r="J973" s="15">
        <f>IFERROR(IF(T_PROD[[#This Row],[META]]&gt;0,(T_PROD[[#This Row],[META]]/T_PROD[[#This Row],[PREVISTO]]),""),"")</f>
        <v>7.84</v>
      </c>
      <c r="K973" s="15">
        <f>IFERROR(IF(T_PROD[[#This Row],[PRODUÇÃO]]&gt;0,(T_PROD[[#This Row],[PRODUÇÃO]]/T_PROD[[#This Row],[EFETIVO]]),""),"")</f>
        <v>7.2266666666666666</v>
      </c>
    </row>
    <row r="974" spans="1:11" s="6" customFormat="1" x14ac:dyDescent="0.3">
      <c r="A974" s="11">
        <v>46188</v>
      </c>
      <c r="B974" s="12" t="str">
        <f>UPPER(TEXT(A974,"MMMM"))</f>
        <v>JUNHO</v>
      </c>
      <c r="C974" s="12" t="s">
        <v>15</v>
      </c>
      <c r="D974" s="12" t="s">
        <v>12</v>
      </c>
      <c r="E974" s="13">
        <v>75</v>
      </c>
      <c r="F974" s="13">
        <v>48</v>
      </c>
      <c r="G974" s="12">
        <v>5</v>
      </c>
      <c r="H974" s="14">
        <v>5</v>
      </c>
      <c r="I974" s="12">
        <f>IFERROR(IF(T_PROD[[#This Row],[PREVISTO]]-T_PROD[[#This Row],[EFETIVO]]&lt; 0,0,T_PROD[[#This Row],[PREVISTO]]-T_PROD[[#This Row],[EFETIVO]] ),"")</f>
        <v>0</v>
      </c>
      <c r="J974" s="15">
        <f>IFERROR(IF(T_PROD[[#This Row],[META]]&gt;0,(T_PROD[[#This Row],[META]]/T_PROD[[#This Row],[PREVISTO]]),""),"")</f>
        <v>15</v>
      </c>
      <c r="K974" s="15">
        <f>IFERROR(IF(T_PROD[[#This Row],[PRODUÇÃO]]&gt;0,(T_PROD[[#This Row],[PRODUÇÃO]]/T_PROD[[#This Row],[EFETIVO]]),""),"")</f>
        <v>9.6</v>
      </c>
    </row>
    <row r="975" spans="1:11" s="6" customFormat="1" x14ac:dyDescent="0.3">
      <c r="A975" s="11">
        <v>46188</v>
      </c>
      <c r="B975" s="12" t="str">
        <f t="shared" ref="B975:B982" si="107">UPPER(TEXT(A975,"MMMM"))</f>
        <v>JUNHO</v>
      </c>
      <c r="C975" s="12" t="s">
        <v>16</v>
      </c>
      <c r="D975" s="12" t="s">
        <v>12</v>
      </c>
      <c r="E975" s="13">
        <v>170</v>
      </c>
      <c r="F975" s="13">
        <v>144</v>
      </c>
      <c r="G975" s="12">
        <v>5</v>
      </c>
      <c r="H975" s="14">
        <v>5</v>
      </c>
      <c r="I975" s="12">
        <f>IFERROR(IF(T_PROD[[#This Row],[PREVISTO]]-T_PROD[[#This Row],[EFETIVO]]&lt; 0,0,T_PROD[[#This Row],[PREVISTO]]-T_PROD[[#This Row],[EFETIVO]] ),"")</f>
        <v>0</v>
      </c>
      <c r="J975" s="15">
        <f>IFERROR(IF(T_PROD[[#This Row],[META]]&gt;0,(T_PROD[[#This Row],[META]]/T_PROD[[#This Row],[PREVISTO]]),""),"")</f>
        <v>34</v>
      </c>
      <c r="K975" s="15">
        <f>IFERROR(IF(T_PROD[[#This Row],[PRODUÇÃO]]&gt;0,(T_PROD[[#This Row],[PRODUÇÃO]]/T_PROD[[#This Row],[EFETIVO]]),""),"")</f>
        <v>28.8</v>
      </c>
    </row>
    <row r="976" spans="1:11" s="6" customFormat="1" x14ac:dyDescent="0.3">
      <c r="A976" s="11">
        <v>46188</v>
      </c>
      <c r="B976" s="12" t="str">
        <f t="shared" si="107"/>
        <v>JUNHO</v>
      </c>
      <c r="C976" s="12" t="s">
        <v>17</v>
      </c>
      <c r="D976" s="12" t="s">
        <v>12</v>
      </c>
      <c r="E976" s="13">
        <v>160</v>
      </c>
      <c r="F976" s="13">
        <v>193</v>
      </c>
      <c r="G976" s="12">
        <v>10</v>
      </c>
      <c r="H976" s="14">
        <v>10</v>
      </c>
      <c r="I976" s="12">
        <f>IFERROR(IF(T_PROD[[#This Row],[PREVISTO]]-T_PROD[[#This Row],[EFETIVO]]&lt; 0,0,T_PROD[[#This Row],[PREVISTO]]-T_PROD[[#This Row],[EFETIVO]] ),"")</f>
        <v>0</v>
      </c>
      <c r="J976" s="15">
        <f>IFERROR(IF(T_PROD[[#This Row],[META]]&gt;0,(T_PROD[[#This Row],[META]]/T_PROD[[#This Row],[PREVISTO]]),""),"")</f>
        <v>16</v>
      </c>
      <c r="K976" s="15">
        <f>IFERROR(IF(T_PROD[[#This Row],[PRODUÇÃO]]&gt;0,(T_PROD[[#This Row],[PRODUÇÃO]]/T_PROD[[#This Row],[EFETIVO]]),""),"")</f>
        <v>19.3</v>
      </c>
    </row>
    <row r="977" spans="1:11" s="6" customFormat="1" x14ac:dyDescent="0.3">
      <c r="A977" s="11">
        <v>46188</v>
      </c>
      <c r="B977" s="12" t="str">
        <f t="shared" si="107"/>
        <v>JUNHO</v>
      </c>
      <c r="C977" s="12" t="s">
        <v>18</v>
      </c>
      <c r="D977" s="12" t="s">
        <v>12</v>
      </c>
      <c r="E977" s="13"/>
      <c r="F977" s="13"/>
      <c r="G977" s="12"/>
      <c r="H977" s="14"/>
      <c r="I977" s="12">
        <f>IFERROR(IF(T_PROD[[#This Row],[PREVISTO]]-T_PROD[[#This Row],[EFETIVO]]&lt; 0,0,T_PROD[[#This Row],[PREVISTO]]-T_PROD[[#This Row],[EFETIVO]] ),"")</f>
        <v>0</v>
      </c>
      <c r="J977" s="15" t="str">
        <f>IFERROR(IF(T_PROD[[#This Row],[META]]&gt;0,(T_PROD[[#This Row],[META]]/T_PROD[[#This Row],[PREVISTO]]),""),"")</f>
        <v/>
      </c>
      <c r="K977" s="15" t="str">
        <f>IFERROR(IF(T_PROD[[#This Row],[PRODUÇÃO]]&gt;0,(T_PROD[[#This Row],[PRODUÇÃO]]/T_PROD[[#This Row],[EFETIVO]]),""),"")</f>
        <v/>
      </c>
    </row>
    <row r="978" spans="1:11" s="6" customFormat="1" x14ac:dyDescent="0.3">
      <c r="A978" s="11">
        <v>46188</v>
      </c>
      <c r="B978" s="12" t="str">
        <f t="shared" si="107"/>
        <v>JUNHO</v>
      </c>
      <c r="C978" s="12" t="s">
        <v>19</v>
      </c>
      <c r="D978" s="12" t="s">
        <v>12</v>
      </c>
      <c r="E978" s="13"/>
      <c r="F978" s="13"/>
      <c r="G978" s="12"/>
      <c r="H978" s="14"/>
      <c r="I978" s="12">
        <f>IFERROR(IF(T_PROD[[#This Row],[PREVISTO]]-T_PROD[[#This Row],[EFETIVO]]&lt; 0,0,T_PROD[[#This Row],[PREVISTO]]-T_PROD[[#This Row],[EFETIVO]] ),"")</f>
        <v>0</v>
      </c>
      <c r="J978" s="15" t="str">
        <f>IFERROR(IF(T_PROD[[#This Row],[META]]&gt;0,(T_PROD[[#This Row],[META]]/T_PROD[[#This Row],[PREVISTO]]),""),"")</f>
        <v/>
      </c>
      <c r="K978" s="15" t="str">
        <f>IFERROR(IF(T_PROD[[#This Row],[PRODUÇÃO]]&gt;0,(T_PROD[[#This Row],[PRODUÇÃO]]/T_PROD[[#This Row],[EFETIVO]]),""),"")</f>
        <v/>
      </c>
    </row>
    <row r="979" spans="1:11" s="6" customFormat="1" x14ac:dyDescent="0.3">
      <c r="A979" s="11">
        <v>46188</v>
      </c>
      <c r="B979" s="12" t="str">
        <f t="shared" si="107"/>
        <v>JUNHO</v>
      </c>
      <c r="C979" s="12" t="s">
        <v>20</v>
      </c>
      <c r="D979" s="12" t="s">
        <v>12</v>
      </c>
      <c r="E979" s="13">
        <v>405</v>
      </c>
      <c r="F979" s="13">
        <v>385</v>
      </c>
      <c r="G979" s="12">
        <v>90</v>
      </c>
      <c r="H979" s="14">
        <v>90</v>
      </c>
      <c r="I979" s="12">
        <f>IFERROR(IF(T_PROD[[#This Row],[PREVISTO]]-T_PROD[[#This Row],[EFETIVO]]&lt; 0,0,T_PROD[[#This Row],[PREVISTO]]-T_PROD[[#This Row],[EFETIVO]] ),"")</f>
        <v>0</v>
      </c>
      <c r="J979" s="15">
        <f>IFERROR(IF(T_PROD[[#This Row],[META]]&gt;0,(T_PROD[[#This Row],[META]]/T_PROD[[#This Row],[PREVISTO]]),""),"")</f>
        <v>4.5</v>
      </c>
      <c r="K979" s="15">
        <f>IFERROR(IF(T_PROD[[#This Row],[PRODUÇÃO]]&gt;0,(T_PROD[[#This Row],[PRODUÇÃO]]/T_PROD[[#This Row],[EFETIVO]]),""),"")</f>
        <v>4.2777777777777777</v>
      </c>
    </row>
    <row r="980" spans="1:11" s="6" customFormat="1" x14ac:dyDescent="0.3">
      <c r="A980" s="11">
        <v>46188</v>
      </c>
      <c r="B980" s="12" t="str">
        <f t="shared" si="107"/>
        <v>JUNHO</v>
      </c>
      <c r="C980" s="12" t="s">
        <v>11</v>
      </c>
      <c r="D980" s="12" t="s">
        <v>12</v>
      </c>
      <c r="E980" s="13">
        <v>600</v>
      </c>
      <c r="F980" s="13">
        <v>600</v>
      </c>
      <c r="G980" s="12">
        <v>30</v>
      </c>
      <c r="H980" s="14">
        <v>30</v>
      </c>
      <c r="I980" s="12">
        <f>IFERROR(IF(T_PROD[[#This Row],[PREVISTO]]-T_PROD[[#This Row],[EFETIVO]]&lt; 0,0,T_PROD[[#This Row],[PREVISTO]]-T_PROD[[#This Row],[EFETIVO]] ),"")</f>
        <v>0</v>
      </c>
      <c r="J980" s="15">
        <f>IFERROR(IF(T_PROD[[#This Row],[META]]&gt;0,(T_PROD[[#This Row],[META]]/T_PROD[[#This Row],[PREVISTO]]),""),"")</f>
        <v>20</v>
      </c>
      <c r="K980" s="15">
        <f>IFERROR(IF(T_PROD[[#This Row],[PRODUÇÃO]]&gt;0,(T_PROD[[#This Row],[PRODUÇÃO]]/T_PROD[[#This Row],[EFETIVO]]),""),"")</f>
        <v>20</v>
      </c>
    </row>
    <row r="981" spans="1:11" s="6" customFormat="1" x14ac:dyDescent="0.3">
      <c r="A981" s="11">
        <v>46188</v>
      </c>
      <c r="B981" s="12" t="str">
        <f t="shared" si="107"/>
        <v>JUNHO</v>
      </c>
      <c r="C981" s="12" t="s">
        <v>32</v>
      </c>
      <c r="D981" s="12" t="s">
        <v>12</v>
      </c>
      <c r="E981" s="13">
        <v>99</v>
      </c>
      <c r="F981" s="13">
        <v>114</v>
      </c>
      <c r="G981" s="12">
        <v>9</v>
      </c>
      <c r="H981" s="14">
        <v>9</v>
      </c>
      <c r="I981" s="12">
        <f>IFERROR(IF(T_PROD[[#This Row],[PREVISTO]]-T_PROD[[#This Row],[EFETIVO]]&lt; 0,0,T_PROD[[#This Row],[PREVISTO]]-T_PROD[[#This Row],[EFETIVO]] ),"")</f>
        <v>0</v>
      </c>
      <c r="J981" s="15">
        <f>IFERROR(IF(T_PROD[[#This Row],[META]]&gt;0,(T_PROD[[#This Row],[META]]/T_PROD[[#This Row],[PREVISTO]]),""),"")</f>
        <v>11</v>
      </c>
      <c r="K981" s="15">
        <f>IFERROR(IF(T_PROD[[#This Row],[PRODUÇÃO]]&gt;0,(T_PROD[[#This Row],[PRODUÇÃO]]/T_PROD[[#This Row],[EFETIVO]]),""),"")</f>
        <v>12.666666666666666</v>
      </c>
    </row>
    <row r="982" spans="1:11" s="6" customFormat="1" x14ac:dyDescent="0.3">
      <c r="A982" s="11">
        <v>46188</v>
      </c>
      <c r="B982" s="12" t="str">
        <f t="shared" si="107"/>
        <v>JUNHO</v>
      </c>
      <c r="C982" s="12" t="s">
        <v>14</v>
      </c>
      <c r="D982" s="12" t="s">
        <v>12</v>
      </c>
      <c r="E982" s="13">
        <v>699</v>
      </c>
      <c r="F982" s="13">
        <v>714</v>
      </c>
      <c r="G982" s="12">
        <v>95</v>
      </c>
      <c r="H982" s="14">
        <v>92</v>
      </c>
      <c r="I982" s="12">
        <f>IFERROR(IF(T_PROD[[#This Row],[PREVISTO]]-T_PROD[[#This Row],[EFETIVO]]&lt; 0,0,T_PROD[[#This Row],[PREVISTO]]-T_PROD[[#This Row],[EFETIVO]] ),"")</f>
        <v>3</v>
      </c>
      <c r="J982" s="15">
        <f>IFERROR(IF(T_PROD[[#This Row],[META]]&gt;0,(T_PROD[[#This Row],[META]]/T_PROD[[#This Row],[PREVISTO]]),""),"")</f>
        <v>7.3578947368421055</v>
      </c>
      <c r="K982" s="15">
        <f>IFERROR(IF(T_PROD[[#This Row],[PRODUÇÃO]]&gt;0,(T_PROD[[#This Row],[PRODUÇÃO]]/T_PROD[[#This Row],[EFETIVO]]),""),"")</f>
        <v>7.7608695652173916</v>
      </c>
    </row>
    <row r="983" spans="1:11" s="6" customFormat="1" x14ac:dyDescent="0.3">
      <c r="A983" s="11">
        <v>46189</v>
      </c>
      <c r="B983" s="12" t="str">
        <f>UPPER(TEXT(A983,"MMMM"))</f>
        <v>JUNHO</v>
      </c>
      <c r="C983" s="12" t="s">
        <v>15</v>
      </c>
      <c r="D983" s="12" t="s">
        <v>12</v>
      </c>
      <c r="E983" s="13">
        <v>90</v>
      </c>
      <c r="F983" s="13">
        <v>52</v>
      </c>
      <c r="G983" s="12">
        <v>6</v>
      </c>
      <c r="H983" s="14">
        <v>6</v>
      </c>
      <c r="I983" s="12">
        <f>IFERROR(IF(T_PROD[[#This Row],[PREVISTO]]-T_PROD[[#This Row],[EFETIVO]]&lt; 0,0,T_PROD[[#This Row],[PREVISTO]]-T_PROD[[#This Row],[EFETIVO]] ),"")</f>
        <v>0</v>
      </c>
      <c r="J983" s="15">
        <f>IFERROR(IF(T_PROD[[#This Row],[META]]&gt;0,(T_PROD[[#This Row],[META]]/T_PROD[[#This Row],[PREVISTO]]),""),"")</f>
        <v>15</v>
      </c>
      <c r="K983" s="15">
        <f>IFERROR(IF(T_PROD[[#This Row],[PRODUÇÃO]]&gt;0,(T_PROD[[#This Row],[PRODUÇÃO]]/T_PROD[[#This Row],[EFETIVO]]),""),"")</f>
        <v>8.6666666666666661</v>
      </c>
    </row>
    <row r="984" spans="1:11" s="6" customFormat="1" x14ac:dyDescent="0.3">
      <c r="A984" s="11">
        <v>46189</v>
      </c>
      <c r="B984" s="12" t="str">
        <f t="shared" ref="B984:B991" si="108">UPPER(TEXT(A984,"MMMM"))</f>
        <v>JUNHO</v>
      </c>
      <c r="C984" s="12" t="s">
        <v>16</v>
      </c>
      <c r="D984" s="12" t="s">
        <v>12</v>
      </c>
      <c r="E984" s="13">
        <v>170</v>
      </c>
      <c r="F984" s="13">
        <v>123</v>
      </c>
      <c r="G984" s="12">
        <v>5</v>
      </c>
      <c r="H984" s="14">
        <v>5</v>
      </c>
      <c r="I984" s="12">
        <f>IFERROR(IF(T_PROD[[#This Row],[PREVISTO]]-T_PROD[[#This Row],[EFETIVO]]&lt; 0,0,T_PROD[[#This Row],[PREVISTO]]-T_PROD[[#This Row],[EFETIVO]] ),"")</f>
        <v>0</v>
      </c>
      <c r="J984" s="15">
        <f>IFERROR(IF(T_PROD[[#This Row],[META]]&gt;0,(T_PROD[[#This Row],[META]]/T_PROD[[#This Row],[PREVISTO]]),""),"")</f>
        <v>34</v>
      </c>
      <c r="K984" s="15">
        <f>IFERROR(IF(T_PROD[[#This Row],[PRODUÇÃO]]&gt;0,(T_PROD[[#This Row],[PRODUÇÃO]]/T_PROD[[#This Row],[EFETIVO]]),""),"")</f>
        <v>24.6</v>
      </c>
    </row>
    <row r="985" spans="1:11" s="6" customFormat="1" x14ac:dyDescent="0.3">
      <c r="A985" s="11">
        <v>46189</v>
      </c>
      <c r="B985" s="12" t="str">
        <f t="shared" si="108"/>
        <v>JUNHO</v>
      </c>
      <c r="C985" s="12" t="s">
        <v>17</v>
      </c>
      <c r="D985" s="12" t="s">
        <v>12</v>
      </c>
      <c r="E985" s="13">
        <v>160</v>
      </c>
      <c r="F985" s="13">
        <v>195</v>
      </c>
      <c r="G985" s="12">
        <v>10</v>
      </c>
      <c r="H985" s="14">
        <v>10</v>
      </c>
      <c r="I985" s="12">
        <f>IFERROR(IF(T_PROD[[#This Row],[PREVISTO]]-T_PROD[[#This Row],[EFETIVO]]&lt; 0,0,T_PROD[[#This Row],[PREVISTO]]-T_PROD[[#This Row],[EFETIVO]] ),"")</f>
        <v>0</v>
      </c>
      <c r="J985" s="15">
        <f>IFERROR(IF(T_PROD[[#This Row],[META]]&gt;0,(T_PROD[[#This Row],[META]]/T_PROD[[#This Row],[PREVISTO]]),""),"")</f>
        <v>16</v>
      </c>
      <c r="K985" s="15">
        <f>IFERROR(IF(T_PROD[[#This Row],[PRODUÇÃO]]&gt;0,(T_PROD[[#This Row],[PRODUÇÃO]]/T_PROD[[#This Row],[EFETIVO]]),""),"")</f>
        <v>19.5</v>
      </c>
    </row>
    <row r="986" spans="1:11" s="6" customFormat="1" x14ac:dyDescent="0.3">
      <c r="A986" s="11">
        <v>46189</v>
      </c>
      <c r="B986" s="12" t="str">
        <f t="shared" si="108"/>
        <v>JUNHO</v>
      </c>
      <c r="C986" s="12" t="s">
        <v>18</v>
      </c>
      <c r="D986" s="12" t="s">
        <v>12</v>
      </c>
      <c r="E986" s="13"/>
      <c r="F986" s="13"/>
      <c r="G986" s="12"/>
      <c r="H986" s="14"/>
      <c r="I986" s="12">
        <f>IFERROR(IF(T_PROD[[#This Row],[PREVISTO]]-T_PROD[[#This Row],[EFETIVO]]&lt; 0,0,T_PROD[[#This Row],[PREVISTO]]-T_PROD[[#This Row],[EFETIVO]] ),"")</f>
        <v>0</v>
      </c>
      <c r="J986" s="15" t="str">
        <f>IFERROR(IF(T_PROD[[#This Row],[META]]&gt;0,(T_PROD[[#This Row],[META]]/T_PROD[[#This Row],[PREVISTO]]),""),"")</f>
        <v/>
      </c>
      <c r="K986" s="15" t="str">
        <f>IFERROR(IF(T_PROD[[#This Row],[PRODUÇÃO]]&gt;0,(T_PROD[[#This Row],[PRODUÇÃO]]/T_PROD[[#This Row],[EFETIVO]]),""),"")</f>
        <v/>
      </c>
    </row>
    <row r="987" spans="1:11" s="6" customFormat="1" x14ac:dyDescent="0.3">
      <c r="A987" s="11">
        <v>46189</v>
      </c>
      <c r="B987" s="12" t="str">
        <f t="shared" si="108"/>
        <v>JUNHO</v>
      </c>
      <c r="C987" s="12" t="s">
        <v>19</v>
      </c>
      <c r="D987" s="12" t="s">
        <v>12</v>
      </c>
      <c r="E987" s="13"/>
      <c r="F987" s="13"/>
      <c r="G987" s="12"/>
      <c r="H987" s="14"/>
      <c r="I987" s="12">
        <f>IFERROR(IF(T_PROD[[#This Row],[PREVISTO]]-T_PROD[[#This Row],[EFETIVO]]&lt; 0,0,T_PROD[[#This Row],[PREVISTO]]-T_PROD[[#This Row],[EFETIVO]] ),"")</f>
        <v>0</v>
      </c>
      <c r="J987" s="15" t="str">
        <f>IFERROR(IF(T_PROD[[#This Row],[META]]&gt;0,(T_PROD[[#This Row],[META]]/T_PROD[[#This Row],[PREVISTO]]),""),"")</f>
        <v/>
      </c>
      <c r="K987" s="15" t="str">
        <f>IFERROR(IF(T_PROD[[#This Row],[PRODUÇÃO]]&gt;0,(T_PROD[[#This Row],[PRODUÇÃO]]/T_PROD[[#This Row],[EFETIVO]]),""),"")</f>
        <v/>
      </c>
    </row>
    <row r="988" spans="1:11" s="6" customFormat="1" x14ac:dyDescent="0.3">
      <c r="A988" s="11">
        <v>46189</v>
      </c>
      <c r="B988" s="12" t="str">
        <f t="shared" si="108"/>
        <v>JUNHO</v>
      </c>
      <c r="C988" s="12" t="s">
        <v>20</v>
      </c>
      <c r="D988" s="12" t="s">
        <v>12</v>
      </c>
      <c r="E988" s="13">
        <v>420</v>
      </c>
      <c r="F988" s="13">
        <v>370</v>
      </c>
      <c r="G988" s="12">
        <v>90</v>
      </c>
      <c r="H988" s="14">
        <v>90</v>
      </c>
      <c r="I988" s="12">
        <f>IFERROR(IF(T_PROD[[#This Row],[PREVISTO]]-T_PROD[[#This Row],[EFETIVO]]&lt; 0,0,T_PROD[[#This Row],[PREVISTO]]-T_PROD[[#This Row],[EFETIVO]] ),"")</f>
        <v>0</v>
      </c>
      <c r="J988" s="15">
        <f>IFERROR(IF(T_PROD[[#This Row],[META]]&gt;0,(T_PROD[[#This Row],[META]]/T_PROD[[#This Row],[PREVISTO]]),""),"")</f>
        <v>4.666666666666667</v>
      </c>
      <c r="K988" s="15">
        <f>IFERROR(IF(T_PROD[[#This Row],[PRODUÇÃO]]&gt;0,(T_PROD[[#This Row],[PRODUÇÃO]]/T_PROD[[#This Row],[EFETIVO]]),""),"")</f>
        <v>4.1111111111111107</v>
      </c>
    </row>
    <row r="989" spans="1:11" s="6" customFormat="1" x14ac:dyDescent="0.3">
      <c r="A989" s="11">
        <v>46189</v>
      </c>
      <c r="B989" s="12" t="str">
        <f t="shared" si="108"/>
        <v>JUNHO</v>
      </c>
      <c r="C989" s="12" t="s">
        <v>11</v>
      </c>
      <c r="D989" s="12" t="s">
        <v>12</v>
      </c>
      <c r="E989" s="13">
        <v>620</v>
      </c>
      <c r="F989" s="13">
        <v>620</v>
      </c>
      <c r="G989" s="12">
        <v>31</v>
      </c>
      <c r="H989" s="14">
        <v>31</v>
      </c>
      <c r="I989" s="12">
        <f>IFERROR(IF(T_PROD[[#This Row],[PREVISTO]]-T_PROD[[#This Row],[EFETIVO]]&lt; 0,0,T_PROD[[#This Row],[PREVISTO]]-T_PROD[[#This Row],[EFETIVO]] ),"")</f>
        <v>0</v>
      </c>
      <c r="J989" s="15">
        <f>IFERROR(IF(T_PROD[[#This Row],[META]]&gt;0,(T_PROD[[#This Row],[META]]/T_PROD[[#This Row],[PREVISTO]]),""),"")</f>
        <v>20</v>
      </c>
      <c r="K989" s="15">
        <f>IFERROR(IF(T_PROD[[#This Row],[PRODUÇÃO]]&gt;0,(T_PROD[[#This Row],[PRODUÇÃO]]/T_PROD[[#This Row],[EFETIVO]]),""),"")</f>
        <v>20</v>
      </c>
    </row>
    <row r="990" spans="1:11" s="6" customFormat="1" x14ac:dyDescent="0.3">
      <c r="A990" s="11">
        <v>46189</v>
      </c>
      <c r="B990" s="12" t="str">
        <f t="shared" si="108"/>
        <v>JUNHO</v>
      </c>
      <c r="C990" s="12" t="s">
        <v>32</v>
      </c>
      <c r="D990" s="12" t="s">
        <v>12</v>
      </c>
      <c r="E990" s="13">
        <v>99</v>
      </c>
      <c r="F990" s="13">
        <v>106</v>
      </c>
      <c r="G990" s="12">
        <v>9</v>
      </c>
      <c r="H990" s="14">
        <v>9</v>
      </c>
      <c r="I990" s="12">
        <f>IFERROR(IF(T_PROD[[#This Row],[PREVISTO]]-T_PROD[[#This Row],[EFETIVO]]&lt; 0,0,T_PROD[[#This Row],[PREVISTO]]-T_PROD[[#This Row],[EFETIVO]] ),"")</f>
        <v>0</v>
      </c>
      <c r="J990" s="15">
        <f>IFERROR(IF(T_PROD[[#This Row],[META]]&gt;0,(T_PROD[[#This Row],[META]]/T_PROD[[#This Row],[PREVISTO]]),""),"")</f>
        <v>11</v>
      </c>
      <c r="K990" s="15">
        <f>IFERROR(IF(T_PROD[[#This Row],[PRODUÇÃO]]&gt;0,(T_PROD[[#This Row],[PRODUÇÃO]]/T_PROD[[#This Row],[EFETIVO]]),""),"")</f>
        <v>11.777777777777779</v>
      </c>
    </row>
    <row r="991" spans="1:11" s="6" customFormat="1" x14ac:dyDescent="0.3">
      <c r="A991" s="11">
        <v>46189</v>
      </c>
      <c r="B991" s="12" t="str">
        <f t="shared" si="108"/>
        <v>JUNHO</v>
      </c>
      <c r="C991" s="12" t="s">
        <v>14</v>
      </c>
      <c r="D991" s="12" t="s">
        <v>12</v>
      </c>
      <c r="E991" s="13">
        <v>719</v>
      </c>
      <c r="F991" s="13">
        <v>726</v>
      </c>
      <c r="G991" s="12">
        <v>95</v>
      </c>
      <c r="H991" s="14">
        <v>90</v>
      </c>
      <c r="I991" s="12">
        <f>IFERROR(IF(T_PROD[[#This Row],[PREVISTO]]-T_PROD[[#This Row],[EFETIVO]]&lt; 0,0,T_PROD[[#This Row],[PREVISTO]]-T_PROD[[#This Row],[EFETIVO]] ),"")</f>
        <v>5</v>
      </c>
      <c r="J991" s="15">
        <f>IFERROR(IF(T_PROD[[#This Row],[META]]&gt;0,(T_PROD[[#This Row],[META]]/T_PROD[[#This Row],[PREVISTO]]),""),"")</f>
        <v>7.5684210526315789</v>
      </c>
      <c r="K991" s="15">
        <f>IFERROR(IF(T_PROD[[#This Row],[PRODUÇÃO]]&gt;0,(T_PROD[[#This Row],[PRODUÇÃO]]/T_PROD[[#This Row],[EFETIVO]]),""),"")</f>
        <v>8.0666666666666664</v>
      </c>
    </row>
    <row r="992" spans="1:11" s="6" customFormat="1" x14ac:dyDescent="0.3">
      <c r="A992" s="11">
        <v>46190</v>
      </c>
      <c r="B992" s="12" t="str">
        <f>UPPER(TEXT(A992,"MMMM"))</f>
        <v>JUNHO</v>
      </c>
      <c r="C992" s="12" t="s">
        <v>15</v>
      </c>
      <c r="D992" s="12" t="s">
        <v>12</v>
      </c>
      <c r="E992" s="13">
        <v>90</v>
      </c>
      <c r="F992" s="13">
        <v>76</v>
      </c>
      <c r="G992" s="12">
        <v>6</v>
      </c>
      <c r="H992" s="14">
        <v>6</v>
      </c>
      <c r="I992" s="12">
        <f>IFERROR(IF(T_PROD[[#This Row],[PREVISTO]]-T_PROD[[#This Row],[EFETIVO]]&lt; 0,0,T_PROD[[#This Row],[PREVISTO]]-T_PROD[[#This Row],[EFETIVO]] ),"")</f>
        <v>0</v>
      </c>
      <c r="J992" s="15">
        <f>IFERROR(IF(T_PROD[[#This Row],[META]]&gt;0,(T_PROD[[#This Row],[META]]/T_PROD[[#This Row],[PREVISTO]]),""),"")</f>
        <v>15</v>
      </c>
      <c r="K992" s="15">
        <f>IFERROR(IF(T_PROD[[#This Row],[PRODUÇÃO]]&gt;0,(T_PROD[[#This Row],[PRODUÇÃO]]/T_PROD[[#This Row],[EFETIVO]]),""),"")</f>
        <v>12.666666666666666</v>
      </c>
    </row>
    <row r="993" spans="1:11" s="6" customFormat="1" x14ac:dyDescent="0.3">
      <c r="A993" s="11">
        <v>46190</v>
      </c>
      <c r="B993" s="12" t="str">
        <f t="shared" ref="B993:B1000" si="109">UPPER(TEXT(A993,"MMMM"))</f>
        <v>JUNHO</v>
      </c>
      <c r="C993" s="12" t="s">
        <v>16</v>
      </c>
      <c r="D993" s="12" t="s">
        <v>12</v>
      </c>
      <c r="E993" s="13">
        <v>170</v>
      </c>
      <c r="F993" s="13">
        <v>163</v>
      </c>
      <c r="G993" s="12">
        <v>5</v>
      </c>
      <c r="H993" s="14">
        <v>5</v>
      </c>
      <c r="I993" s="12">
        <f>IFERROR(IF(T_PROD[[#This Row],[PREVISTO]]-T_PROD[[#This Row],[EFETIVO]]&lt; 0,0,T_PROD[[#This Row],[PREVISTO]]-T_PROD[[#This Row],[EFETIVO]] ),"")</f>
        <v>0</v>
      </c>
      <c r="J993" s="15">
        <f>IFERROR(IF(T_PROD[[#This Row],[META]]&gt;0,(T_PROD[[#This Row],[META]]/T_PROD[[#This Row],[PREVISTO]]),""),"")</f>
        <v>34</v>
      </c>
      <c r="K993" s="15">
        <f>IFERROR(IF(T_PROD[[#This Row],[PRODUÇÃO]]&gt;0,(T_PROD[[#This Row],[PRODUÇÃO]]/T_PROD[[#This Row],[EFETIVO]]),""),"")</f>
        <v>32.6</v>
      </c>
    </row>
    <row r="994" spans="1:11" s="6" customFormat="1" x14ac:dyDescent="0.3">
      <c r="A994" s="11">
        <v>46190</v>
      </c>
      <c r="B994" s="12" t="str">
        <f t="shared" si="109"/>
        <v>JUNHO</v>
      </c>
      <c r="C994" s="12" t="s">
        <v>17</v>
      </c>
      <c r="D994" s="12" t="s">
        <v>12</v>
      </c>
      <c r="E994" s="13"/>
      <c r="F994" s="13"/>
      <c r="G994" s="12"/>
      <c r="H994" s="14"/>
      <c r="I994" s="12">
        <f>IFERROR(IF(T_PROD[[#This Row],[PREVISTO]]-T_PROD[[#This Row],[EFETIVO]]&lt; 0,0,T_PROD[[#This Row],[PREVISTO]]-T_PROD[[#This Row],[EFETIVO]] ),"")</f>
        <v>0</v>
      </c>
      <c r="J994" s="15" t="str">
        <f>IFERROR(IF(T_PROD[[#This Row],[META]]&gt;0,(T_PROD[[#This Row],[META]]/T_PROD[[#This Row],[PREVISTO]]),""),"")</f>
        <v/>
      </c>
      <c r="K994" s="15" t="str">
        <f>IFERROR(IF(T_PROD[[#This Row],[PRODUÇÃO]]&gt;0,(T_PROD[[#This Row],[PRODUÇÃO]]/T_PROD[[#This Row],[EFETIVO]]),""),"")</f>
        <v/>
      </c>
    </row>
    <row r="995" spans="1:11" s="6" customFormat="1" x14ac:dyDescent="0.3">
      <c r="A995" s="11">
        <v>46190</v>
      </c>
      <c r="B995" s="12" t="str">
        <f t="shared" si="109"/>
        <v>JUNHO</v>
      </c>
      <c r="C995" s="12" t="s">
        <v>18</v>
      </c>
      <c r="D995" s="12" t="s">
        <v>12</v>
      </c>
      <c r="E995" s="13"/>
      <c r="F995" s="13"/>
      <c r="G995" s="12"/>
      <c r="H995" s="14"/>
      <c r="I995" s="12">
        <f>IFERROR(IF(T_PROD[[#This Row],[PREVISTO]]-T_PROD[[#This Row],[EFETIVO]]&lt; 0,0,T_PROD[[#This Row],[PREVISTO]]-T_PROD[[#This Row],[EFETIVO]] ),"")</f>
        <v>0</v>
      </c>
      <c r="J995" s="15" t="str">
        <f>IFERROR(IF(T_PROD[[#This Row],[META]]&gt;0,(T_PROD[[#This Row],[META]]/T_PROD[[#This Row],[PREVISTO]]),""),"")</f>
        <v/>
      </c>
      <c r="K995" s="15" t="str">
        <f>IFERROR(IF(T_PROD[[#This Row],[PRODUÇÃO]]&gt;0,(T_PROD[[#This Row],[PRODUÇÃO]]/T_PROD[[#This Row],[EFETIVO]]),""),"")</f>
        <v/>
      </c>
    </row>
    <row r="996" spans="1:11" s="6" customFormat="1" x14ac:dyDescent="0.3">
      <c r="A996" s="11">
        <v>46190</v>
      </c>
      <c r="B996" s="12" t="str">
        <f t="shared" si="109"/>
        <v>JUNHO</v>
      </c>
      <c r="C996" s="12" t="s">
        <v>19</v>
      </c>
      <c r="D996" s="12" t="s">
        <v>12</v>
      </c>
      <c r="E996" s="13"/>
      <c r="F996" s="13"/>
      <c r="G996" s="12"/>
      <c r="H996" s="14"/>
      <c r="I996" s="12">
        <f>IFERROR(IF(T_PROD[[#This Row],[PREVISTO]]-T_PROD[[#This Row],[EFETIVO]]&lt; 0,0,T_PROD[[#This Row],[PREVISTO]]-T_PROD[[#This Row],[EFETIVO]] ),"")</f>
        <v>0</v>
      </c>
      <c r="J996" s="15" t="str">
        <f>IFERROR(IF(T_PROD[[#This Row],[META]]&gt;0,(T_PROD[[#This Row],[META]]/T_PROD[[#This Row],[PREVISTO]]),""),"")</f>
        <v/>
      </c>
      <c r="K996" s="15" t="str">
        <f>IFERROR(IF(T_PROD[[#This Row],[PRODUÇÃO]]&gt;0,(T_PROD[[#This Row],[PRODUÇÃO]]/T_PROD[[#This Row],[EFETIVO]]),""),"")</f>
        <v/>
      </c>
    </row>
    <row r="997" spans="1:11" s="6" customFormat="1" x14ac:dyDescent="0.3">
      <c r="A997" s="11">
        <v>46190</v>
      </c>
      <c r="B997" s="12" t="str">
        <f t="shared" si="109"/>
        <v>JUNHO</v>
      </c>
      <c r="C997" s="12" t="s">
        <v>20</v>
      </c>
      <c r="D997" s="12" t="s">
        <v>12</v>
      </c>
      <c r="E997" s="13">
        <v>260</v>
      </c>
      <c r="F997" s="13">
        <v>239</v>
      </c>
      <c r="G997" s="12">
        <v>90</v>
      </c>
      <c r="H997" s="14">
        <v>90</v>
      </c>
      <c r="I997" s="12">
        <f>IFERROR(IF(T_PROD[[#This Row],[PREVISTO]]-T_PROD[[#This Row],[EFETIVO]]&lt; 0,0,T_PROD[[#This Row],[PREVISTO]]-T_PROD[[#This Row],[EFETIVO]] ),"")</f>
        <v>0</v>
      </c>
      <c r="J997" s="15">
        <f>IFERROR(IF(T_PROD[[#This Row],[META]]&gt;0,(T_PROD[[#This Row],[META]]/T_PROD[[#This Row],[PREVISTO]]),""),"")</f>
        <v>2.8888888888888888</v>
      </c>
      <c r="K997" s="15">
        <f>IFERROR(IF(T_PROD[[#This Row],[PRODUÇÃO]]&gt;0,(T_PROD[[#This Row],[PRODUÇÃO]]/T_PROD[[#This Row],[EFETIVO]]),""),"")</f>
        <v>2.6555555555555554</v>
      </c>
    </row>
    <row r="998" spans="1:11" s="6" customFormat="1" x14ac:dyDescent="0.3">
      <c r="A998" s="11">
        <v>46190</v>
      </c>
      <c r="B998" s="12" t="str">
        <f t="shared" si="109"/>
        <v>JUNHO</v>
      </c>
      <c r="C998" s="12" t="s">
        <v>11</v>
      </c>
      <c r="D998" s="12" t="s">
        <v>12</v>
      </c>
      <c r="E998" s="13">
        <v>640</v>
      </c>
      <c r="F998" s="13">
        <v>650</v>
      </c>
      <c r="G998" s="12">
        <v>32</v>
      </c>
      <c r="H998" s="14">
        <v>32</v>
      </c>
      <c r="I998" s="12">
        <f>IFERROR(IF(T_PROD[[#This Row],[PREVISTO]]-T_PROD[[#This Row],[EFETIVO]]&lt; 0,0,T_PROD[[#This Row],[PREVISTO]]-T_PROD[[#This Row],[EFETIVO]] ),"")</f>
        <v>0</v>
      </c>
      <c r="J998" s="15">
        <f>IFERROR(IF(T_PROD[[#This Row],[META]]&gt;0,(T_PROD[[#This Row],[META]]/T_PROD[[#This Row],[PREVISTO]]),""),"")</f>
        <v>20</v>
      </c>
      <c r="K998" s="15">
        <f>IFERROR(IF(T_PROD[[#This Row],[PRODUÇÃO]]&gt;0,(T_PROD[[#This Row],[PRODUÇÃO]]/T_PROD[[#This Row],[EFETIVO]]),""),"")</f>
        <v>20.3125</v>
      </c>
    </row>
    <row r="999" spans="1:11" s="6" customFormat="1" x14ac:dyDescent="0.3">
      <c r="A999" s="11">
        <v>46190</v>
      </c>
      <c r="B999" s="12" t="str">
        <f t="shared" si="109"/>
        <v>JUNHO</v>
      </c>
      <c r="C999" s="12" t="s">
        <v>32</v>
      </c>
      <c r="D999" s="12" t="s">
        <v>12</v>
      </c>
      <c r="E999" s="13">
        <v>121</v>
      </c>
      <c r="F999" s="13">
        <v>126</v>
      </c>
      <c r="G999" s="12">
        <v>11</v>
      </c>
      <c r="H999" s="14">
        <v>11</v>
      </c>
      <c r="I999" s="12">
        <f>IFERROR(IF(T_PROD[[#This Row],[PREVISTO]]-T_PROD[[#This Row],[EFETIVO]]&lt; 0,0,T_PROD[[#This Row],[PREVISTO]]-T_PROD[[#This Row],[EFETIVO]] ),"")</f>
        <v>0</v>
      </c>
      <c r="J999" s="15">
        <f>IFERROR(IF(T_PROD[[#This Row],[META]]&gt;0,(T_PROD[[#This Row],[META]]/T_PROD[[#This Row],[PREVISTO]]),""),"")</f>
        <v>11</v>
      </c>
      <c r="K999" s="15">
        <f>IFERROR(IF(T_PROD[[#This Row],[PRODUÇÃO]]&gt;0,(T_PROD[[#This Row],[PRODUÇÃO]]/T_PROD[[#This Row],[EFETIVO]]),""),"")</f>
        <v>11.454545454545455</v>
      </c>
    </row>
    <row r="1000" spans="1:11" s="6" customFormat="1" x14ac:dyDescent="0.3">
      <c r="A1000" s="11">
        <v>46190</v>
      </c>
      <c r="B1000" s="12" t="str">
        <f t="shared" si="109"/>
        <v>JUNHO</v>
      </c>
      <c r="C1000" s="12" t="s">
        <v>14</v>
      </c>
      <c r="D1000" s="12" t="s">
        <v>12</v>
      </c>
      <c r="E1000" s="13">
        <v>761</v>
      </c>
      <c r="F1000" s="13">
        <v>776</v>
      </c>
      <c r="G1000" s="12">
        <v>95</v>
      </c>
      <c r="H1000" s="14">
        <v>90</v>
      </c>
      <c r="I1000" s="12">
        <f>IFERROR(IF(T_PROD[[#This Row],[PREVISTO]]-T_PROD[[#This Row],[EFETIVO]]&lt; 0,0,T_PROD[[#This Row],[PREVISTO]]-T_PROD[[#This Row],[EFETIVO]] ),"")</f>
        <v>5</v>
      </c>
      <c r="J1000" s="15">
        <f>IFERROR(IF(T_PROD[[#This Row],[META]]&gt;0,(T_PROD[[#This Row],[META]]/T_PROD[[#This Row],[PREVISTO]]),""),"")</f>
        <v>8.0105263157894733</v>
      </c>
      <c r="K1000" s="15">
        <f>IFERROR(IF(T_PROD[[#This Row],[PRODUÇÃO]]&gt;0,(T_PROD[[#This Row],[PRODUÇÃO]]/T_PROD[[#This Row],[EFETIVO]]),""),"")</f>
        <v>8.6222222222222218</v>
      </c>
    </row>
    <row r="1001" spans="1:11" s="6" customFormat="1" x14ac:dyDescent="0.3">
      <c r="A1001" s="11">
        <v>46191</v>
      </c>
      <c r="B1001" s="12" t="str">
        <f>UPPER(TEXT(A1001,"MMMM"))</f>
        <v>JUNHO</v>
      </c>
      <c r="C1001" s="12" t="s">
        <v>15</v>
      </c>
      <c r="D1001" s="12" t="s">
        <v>12</v>
      </c>
      <c r="E1001" s="13">
        <v>120</v>
      </c>
      <c r="F1001" s="13">
        <v>43</v>
      </c>
      <c r="G1001" s="12">
        <v>8</v>
      </c>
      <c r="H1001" s="14">
        <v>8</v>
      </c>
      <c r="I1001" s="12">
        <f>IFERROR(IF(T_PROD[[#This Row],[PREVISTO]]-T_PROD[[#This Row],[EFETIVO]]&lt; 0,0,T_PROD[[#This Row],[PREVISTO]]-T_PROD[[#This Row],[EFETIVO]] ),"")</f>
        <v>0</v>
      </c>
      <c r="J1001" s="15">
        <f>IFERROR(IF(T_PROD[[#This Row],[META]]&gt;0,(T_PROD[[#This Row],[META]]/T_PROD[[#This Row],[PREVISTO]]),""),"")</f>
        <v>15</v>
      </c>
      <c r="K1001" s="15">
        <f>IFERROR(IF(T_PROD[[#This Row],[PRODUÇÃO]]&gt;0,(T_PROD[[#This Row],[PRODUÇÃO]]/T_PROD[[#This Row],[EFETIVO]]),""),"")</f>
        <v>5.375</v>
      </c>
    </row>
    <row r="1002" spans="1:11" s="6" customFormat="1" x14ac:dyDescent="0.3">
      <c r="A1002" s="11">
        <v>46191</v>
      </c>
      <c r="B1002" s="12" t="str">
        <f t="shared" ref="B1002:B1009" si="110">UPPER(TEXT(A1002,"MMMM"))</f>
        <v>JUNHO</v>
      </c>
      <c r="C1002" s="12" t="s">
        <v>16</v>
      </c>
      <c r="D1002" s="12" t="s">
        <v>12</v>
      </c>
      <c r="E1002" s="13">
        <v>170</v>
      </c>
      <c r="F1002" s="13">
        <v>112</v>
      </c>
      <c r="G1002" s="12">
        <v>5</v>
      </c>
      <c r="H1002" s="14">
        <v>5</v>
      </c>
      <c r="I1002" s="12">
        <f>IFERROR(IF(T_PROD[[#This Row],[PREVISTO]]-T_PROD[[#This Row],[EFETIVO]]&lt; 0,0,T_PROD[[#This Row],[PREVISTO]]-T_PROD[[#This Row],[EFETIVO]] ),"")</f>
        <v>0</v>
      </c>
      <c r="J1002" s="15">
        <f>IFERROR(IF(T_PROD[[#This Row],[META]]&gt;0,(T_PROD[[#This Row],[META]]/T_PROD[[#This Row],[PREVISTO]]),""),"")</f>
        <v>34</v>
      </c>
      <c r="K1002" s="15">
        <f>IFERROR(IF(T_PROD[[#This Row],[PRODUÇÃO]]&gt;0,(T_PROD[[#This Row],[PRODUÇÃO]]/T_PROD[[#This Row],[EFETIVO]]),""),"")</f>
        <v>22.4</v>
      </c>
    </row>
    <row r="1003" spans="1:11" s="6" customFormat="1" x14ac:dyDescent="0.3">
      <c r="A1003" s="11">
        <v>46191</v>
      </c>
      <c r="B1003" s="12" t="str">
        <f t="shared" si="110"/>
        <v>JUNHO</v>
      </c>
      <c r="C1003" s="12" t="s">
        <v>17</v>
      </c>
      <c r="D1003" s="12" t="s">
        <v>12</v>
      </c>
      <c r="E1003" s="13"/>
      <c r="F1003" s="13"/>
      <c r="G1003" s="12"/>
      <c r="H1003" s="14"/>
      <c r="I1003" s="12">
        <f>IFERROR(IF(T_PROD[[#This Row],[PREVISTO]]-T_PROD[[#This Row],[EFETIVO]]&lt; 0,0,T_PROD[[#This Row],[PREVISTO]]-T_PROD[[#This Row],[EFETIVO]] ),"")</f>
        <v>0</v>
      </c>
      <c r="J1003" s="15" t="str">
        <f>IFERROR(IF(T_PROD[[#This Row],[META]]&gt;0,(T_PROD[[#This Row],[META]]/T_PROD[[#This Row],[PREVISTO]]),""),"")</f>
        <v/>
      </c>
      <c r="K1003" s="15" t="str">
        <f>IFERROR(IF(T_PROD[[#This Row],[PRODUÇÃO]]&gt;0,(T_PROD[[#This Row],[PRODUÇÃO]]/T_PROD[[#This Row],[EFETIVO]]),""),"")</f>
        <v/>
      </c>
    </row>
    <row r="1004" spans="1:11" s="6" customFormat="1" x14ac:dyDescent="0.3">
      <c r="A1004" s="11">
        <v>46191</v>
      </c>
      <c r="B1004" s="12" t="str">
        <f t="shared" si="110"/>
        <v>JUNHO</v>
      </c>
      <c r="C1004" s="12" t="s">
        <v>18</v>
      </c>
      <c r="D1004" s="12" t="s">
        <v>12</v>
      </c>
      <c r="E1004" s="13"/>
      <c r="F1004" s="13"/>
      <c r="G1004" s="12"/>
      <c r="H1004" s="14"/>
      <c r="I1004" s="12">
        <f>IFERROR(IF(T_PROD[[#This Row],[PREVISTO]]-T_PROD[[#This Row],[EFETIVO]]&lt; 0,0,T_PROD[[#This Row],[PREVISTO]]-T_PROD[[#This Row],[EFETIVO]] ),"")</f>
        <v>0</v>
      </c>
      <c r="J1004" s="15" t="str">
        <f>IFERROR(IF(T_PROD[[#This Row],[META]]&gt;0,(T_PROD[[#This Row],[META]]/T_PROD[[#This Row],[PREVISTO]]),""),"")</f>
        <v/>
      </c>
      <c r="K1004" s="15" t="str">
        <f>IFERROR(IF(T_PROD[[#This Row],[PRODUÇÃO]]&gt;0,(T_PROD[[#This Row],[PRODUÇÃO]]/T_PROD[[#This Row],[EFETIVO]]),""),"")</f>
        <v/>
      </c>
    </row>
    <row r="1005" spans="1:11" s="6" customFormat="1" x14ac:dyDescent="0.3">
      <c r="A1005" s="11">
        <v>46191</v>
      </c>
      <c r="B1005" s="12" t="str">
        <f t="shared" si="110"/>
        <v>JUNHO</v>
      </c>
      <c r="C1005" s="12" t="s">
        <v>19</v>
      </c>
      <c r="D1005" s="12" t="s">
        <v>12</v>
      </c>
      <c r="E1005" s="13"/>
      <c r="F1005" s="13"/>
      <c r="G1005" s="12"/>
      <c r="H1005" s="14"/>
      <c r="I1005" s="12">
        <f>IFERROR(IF(T_PROD[[#This Row],[PREVISTO]]-T_PROD[[#This Row],[EFETIVO]]&lt; 0,0,T_PROD[[#This Row],[PREVISTO]]-T_PROD[[#This Row],[EFETIVO]] ),"")</f>
        <v>0</v>
      </c>
      <c r="J1005" s="15" t="str">
        <f>IFERROR(IF(T_PROD[[#This Row],[META]]&gt;0,(T_PROD[[#This Row],[META]]/T_PROD[[#This Row],[PREVISTO]]),""),"")</f>
        <v/>
      </c>
      <c r="K1005" s="15" t="str">
        <f>IFERROR(IF(T_PROD[[#This Row],[PRODUÇÃO]]&gt;0,(T_PROD[[#This Row],[PRODUÇÃO]]/T_PROD[[#This Row],[EFETIVO]]),""),"")</f>
        <v/>
      </c>
    </row>
    <row r="1006" spans="1:11" s="6" customFormat="1" x14ac:dyDescent="0.3">
      <c r="A1006" s="11">
        <v>46191</v>
      </c>
      <c r="B1006" s="12" t="str">
        <f t="shared" si="110"/>
        <v>JUNHO</v>
      </c>
      <c r="C1006" s="12" t="s">
        <v>20</v>
      </c>
      <c r="D1006" s="12" t="s">
        <v>12</v>
      </c>
      <c r="E1006" s="13">
        <v>290</v>
      </c>
      <c r="F1006" s="13">
        <v>155</v>
      </c>
      <c r="G1006" s="12">
        <v>90</v>
      </c>
      <c r="H1006" s="14">
        <v>90</v>
      </c>
      <c r="I1006" s="12">
        <f>IFERROR(IF(T_PROD[[#This Row],[PREVISTO]]-T_PROD[[#This Row],[EFETIVO]]&lt; 0,0,T_PROD[[#This Row],[PREVISTO]]-T_PROD[[#This Row],[EFETIVO]] ),"")</f>
        <v>0</v>
      </c>
      <c r="J1006" s="15">
        <f>IFERROR(IF(T_PROD[[#This Row],[META]]&gt;0,(T_PROD[[#This Row],[META]]/T_PROD[[#This Row],[PREVISTO]]),""),"")</f>
        <v>3.2222222222222223</v>
      </c>
      <c r="K1006" s="15">
        <f>IFERROR(IF(T_PROD[[#This Row],[PRODUÇÃO]]&gt;0,(T_PROD[[#This Row],[PRODUÇÃO]]/T_PROD[[#This Row],[EFETIVO]]),""),"")</f>
        <v>1.7222222222222223</v>
      </c>
    </row>
    <row r="1007" spans="1:11" x14ac:dyDescent="0.3">
      <c r="A1007" s="11">
        <v>46191</v>
      </c>
      <c r="B1007" s="12" t="str">
        <f t="shared" si="110"/>
        <v>JUNHO</v>
      </c>
      <c r="C1007" s="12" t="s">
        <v>11</v>
      </c>
      <c r="D1007" s="12" t="s">
        <v>12</v>
      </c>
      <c r="E1007" s="13">
        <v>800</v>
      </c>
      <c r="F1007" s="13">
        <v>570</v>
      </c>
      <c r="G1007" s="12">
        <v>40</v>
      </c>
      <c r="H1007" s="14">
        <v>40</v>
      </c>
      <c r="I1007" s="12">
        <f>IFERROR(IF(T_PROD[[#This Row],[PREVISTO]]-T_PROD[[#This Row],[EFETIVO]]&lt; 0,0,T_PROD[[#This Row],[PREVISTO]]-T_PROD[[#This Row],[EFETIVO]] ),"")</f>
        <v>0</v>
      </c>
      <c r="J1007" s="15">
        <f>IFERROR(IF(T_PROD[[#This Row],[META]]&gt;0,(T_PROD[[#This Row],[META]]/T_PROD[[#This Row],[PREVISTO]]),""),"")</f>
        <v>20</v>
      </c>
      <c r="K1007" s="15">
        <f>IFERROR(IF(T_PROD[[#This Row],[PRODUÇÃO]]&gt;0,(T_PROD[[#This Row],[PRODUÇÃO]]/T_PROD[[#This Row],[EFETIVO]]),""),"")</f>
        <v>14.25</v>
      </c>
    </row>
    <row r="1008" spans="1:11" x14ac:dyDescent="0.3">
      <c r="A1008" s="11">
        <v>46191</v>
      </c>
      <c r="B1008" s="12" t="str">
        <f t="shared" si="110"/>
        <v>JUNHO</v>
      </c>
      <c r="C1008" s="12" t="s">
        <v>32</v>
      </c>
      <c r="D1008" s="12" t="s">
        <v>12</v>
      </c>
      <c r="E1008" s="13">
        <v>22</v>
      </c>
      <c r="F1008" s="13">
        <v>33</v>
      </c>
      <c r="G1008" s="12">
        <v>2</v>
      </c>
      <c r="H1008" s="14">
        <v>2</v>
      </c>
      <c r="I1008" s="12">
        <f>IFERROR(IF(T_PROD[[#This Row],[PREVISTO]]-T_PROD[[#This Row],[EFETIVO]]&lt; 0,0,T_PROD[[#This Row],[PREVISTO]]-T_PROD[[#This Row],[EFETIVO]] ),"")</f>
        <v>0</v>
      </c>
      <c r="J1008" s="15">
        <f>IFERROR(IF(T_PROD[[#This Row],[META]]&gt;0,(T_PROD[[#This Row],[META]]/T_PROD[[#This Row],[PREVISTO]]),""),"")</f>
        <v>11</v>
      </c>
      <c r="K1008" s="15">
        <f>IFERROR(IF(T_PROD[[#This Row],[PRODUÇÃO]]&gt;0,(T_PROD[[#This Row],[PRODUÇÃO]]/T_PROD[[#This Row],[EFETIVO]]),""),"")</f>
        <v>16.5</v>
      </c>
    </row>
    <row r="1009" spans="1:11" x14ac:dyDescent="0.3">
      <c r="A1009" s="11">
        <v>46191</v>
      </c>
      <c r="B1009" s="12" t="str">
        <f t="shared" si="110"/>
        <v>JUNHO</v>
      </c>
      <c r="C1009" s="12" t="s">
        <v>14</v>
      </c>
      <c r="D1009" s="12" t="s">
        <v>12</v>
      </c>
      <c r="E1009" s="13">
        <v>822</v>
      </c>
      <c r="F1009" s="13">
        <v>603</v>
      </c>
      <c r="G1009" s="12">
        <v>95</v>
      </c>
      <c r="H1009" s="14">
        <v>91</v>
      </c>
      <c r="I1009" s="12">
        <f>IFERROR(IF(T_PROD[[#This Row],[PREVISTO]]-T_PROD[[#This Row],[EFETIVO]]&lt; 0,0,T_PROD[[#This Row],[PREVISTO]]-T_PROD[[#This Row],[EFETIVO]] ),"")</f>
        <v>4</v>
      </c>
      <c r="J1009" s="15">
        <f>IFERROR(IF(T_PROD[[#This Row],[META]]&gt;0,(T_PROD[[#This Row],[META]]/T_PROD[[#This Row],[PREVISTO]]),""),"")</f>
        <v>8.6526315789473678</v>
      </c>
      <c r="K1009" s="15">
        <f>IFERROR(IF(T_PROD[[#This Row],[PRODUÇÃO]]&gt;0,(T_PROD[[#This Row],[PRODUÇÃO]]/T_PROD[[#This Row],[EFETIVO]]),""),"")</f>
        <v>6.6263736263736268</v>
      </c>
    </row>
    <row r="1010" spans="1:11" x14ac:dyDescent="0.3">
      <c r="A1010" s="11">
        <v>46192</v>
      </c>
      <c r="B1010" s="12" t="str">
        <f>UPPER(TEXT(A1010,"MMMM"))</f>
        <v>JUNHO</v>
      </c>
      <c r="C1010" s="12" t="s">
        <v>15</v>
      </c>
      <c r="D1010" s="12" t="s">
        <v>12</v>
      </c>
      <c r="E1010" s="13">
        <v>105</v>
      </c>
      <c r="F1010" s="13">
        <v>32</v>
      </c>
      <c r="G1010" s="12">
        <v>7</v>
      </c>
      <c r="H1010" s="14">
        <v>7</v>
      </c>
      <c r="I1010" s="12">
        <f>IFERROR(IF(T_PROD[[#This Row],[PREVISTO]]-T_PROD[[#This Row],[EFETIVO]]&lt; 0,0,T_PROD[[#This Row],[PREVISTO]]-T_PROD[[#This Row],[EFETIVO]] ),"")</f>
        <v>0</v>
      </c>
      <c r="J1010" s="15">
        <f>IFERROR(IF(T_PROD[[#This Row],[META]]&gt;0,(T_PROD[[#This Row],[META]]/T_PROD[[#This Row],[PREVISTO]]),""),"")</f>
        <v>15</v>
      </c>
      <c r="K1010" s="15">
        <f>IFERROR(IF(T_PROD[[#This Row],[PRODUÇÃO]]&gt;0,(T_PROD[[#This Row],[PRODUÇÃO]]/T_PROD[[#This Row],[EFETIVO]]),""),"")</f>
        <v>4.5714285714285712</v>
      </c>
    </row>
    <row r="1011" spans="1:11" x14ac:dyDescent="0.3">
      <c r="A1011" s="11">
        <v>46192</v>
      </c>
      <c r="B1011" s="12" t="str">
        <f t="shared" ref="B1011:B1018" si="111">UPPER(TEXT(A1011,"MMMM"))</f>
        <v>JUNHO</v>
      </c>
      <c r="C1011" s="12" t="s">
        <v>16</v>
      </c>
      <c r="D1011" s="12" t="s">
        <v>12</v>
      </c>
      <c r="E1011" s="13">
        <v>136</v>
      </c>
      <c r="F1011" s="13">
        <v>60</v>
      </c>
      <c r="G1011" s="12">
        <v>4</v>
      </c>
      <c r="H1011" s="14">
        <v>4</v>
      </c>
      <c r="I1011" s="12">
        <f>IFERROR(IF(T_PROD[[#This Row],[PREVISTO]]-T_PROD[[#This Row],[EFETIVO]]&lt; 0,0,T_PROD[[#This Row],[PREVISTO]]-T_PROD[[#This Row],[EFETIVO]] ),"")</f>
        <v>0</v>
      </c>
      <c r="J1011" s="15">
        <f>IFERROR(IF(T_PROD[[#This Row],[META]]&gt;0,(T_PROD[[#This Row],[META]]/T_PROD[[#This Row],[PREVISTO]]),""),"")</f>
        <v>34</v>
      </c>
      <c r="K1011" s="15">
        <f>IFERROR(IF(T_PROD[[#This Row],[PRODUÇÃO]]&gt;0,(T_PROD[[#This Row],[PRODUÇÃO]]/T_PROD[[#This Row],[EFETIVO]]),""),"")</f>
        <v>15</v>
      </c>
    </row>
    <row r="1012" spans="1:11" x14ac:dyDescent="0.3">
      <c r="A1012" s="11">
        <v>46192</v>
      </c>
      <c r="B1012" s="12" t="str">
        <f t="shared" si="111"/>
        <v>JUNHO</v>
      </c>
      <c r="C1012" s="12" t="s">
        <v>17</v>
      </c>
      <c r="D1012" s="12" t="s">
        <v>12</v>
      </c>
      <c r="E1012" s="13">
        <v>144</v>
      </c>
      <c r="F1012" s="13">
        <v>159</v>
      </c>
      <c r="G1012" s="12">
        <v>9</v>
      </c>
      <c r="H1012" s="14">
        <v>9</v>
      </c>
      <c r="I1012" s="12">
        <f>IFERROR(IF(T_PROD[[#This Row],[PREVISTO]]-T_PROD[[#This Row],[EFETIVO]]&lt; 0,0,T_PROD[[#This Row],[PREVISTO]]-T_PROD[[#This Row],[EFETIVO]] ),"")</f>
        <v>0</v>
      </c>
      <c r="J1012" s="15">
        <f>IFERROR(IF(T_PROD[[#This Row],[META]]&gt;0,(T_PROD[[#This Row],[META]]/T_PROD[[#This Row],[PREVISTO]]),""),"")</f>
        <v>16</v>
      </c>
      <c r="K1012" s="15">
        <f>IFERROR(IF(T_PROD[[#This Row],[PRODUÇÃO]]&gt;0,(T_PROD[[#This Row],[PRODUÇÃO]]/T_PROD[[#This Row],[EFETIVO]]),""),"")</f>
        <v>17.666666666666668</v>
      </c>
    </row>
    <row r="1013" spans="1:11" x14ac:dyDescent="0.3">
      <c r="A1013" s="11">
        <v>46192</v>
      </c>
      <c r="B1013" s="12" t="str">
        <f t="shared" si="111"/>
        <v>JUNHO</v>
      </c>
      <c r="C1013" s="12" t="s">
        <v>18</v>
      </c>
      <c r="D1013" s="12" t="s">
        <v>12</v>
      </c>
      <c r="E1013" s="13"/>
      <c r="F1013" s="13"/>
      <c r="G1013" s="12"/>
      <c r="H1013" s="14"/>
      <c r="I1013" s="12">
        <f>IFERROR(IF(T_PROD[[#This Row],[PREVISTO]]-T_PROD[[#This Row],[EFETIVO]]&lt; 0,0,T_PROD[[#This Row],[PREVISTO]]-T_PROD[[#This Row],[EFETIVO]] ),"")</f>
        <v>0</v>
      </c>
      <c r="J1013" s="15" t="str">
        <f>IFERROR(IF(T_PROD[[#This Row],[META]]&gt;0,(T_PROD[[#This Row],[META]]/T_PROD[[#This Row],[PREVISTO]]),""),"")</f>
        <v/>
      </c>
      <c r="K1013" s="15" t="str">
        <f>IFERROR(IF(T_PROD[[#This Row],[PRODUÇÃO]]&gt;0,(T_PROD[[#This Row],[PRODUÇÃO]]/T_PROD[[#This Row],[EFETIVO]]),""),"")</f>
        <v/>
      </c>
    </row>
    <row r="1014" spans="1:11" x14ac:dyDescent="0.3">
      <c r="A1014" s="11">
        <v>46192</v>
      </c>
      <c r="B1014" s="12" t="str">
        <f t="shared" si="111"/>
        <v>JUNHO</v>
      </c>
      <c r="C1014" s="12" t="s">
        <v>19</v>
      </c>
      <c r="D1014" s="12" t="s">
        <v>12</v>
      </c>
      <c r="E1014" s="13"/>
      <c r="F1014" s="13"/>
      <c r="G1014" s="12"/>
      <c r="H1014" s="14"/>
      <c r="I1014" s="12">
        <f>IFERROR(IF(T_PROD[[#This Row],[PREVISTO]]-T_PROD[[#This Row],[EFETIVO]]&lt; 0,0,T_PROD[[#This Row],[PREVISTO]]-T_PROD[[#This Row],[EFETIVO]] ),"")</f>
        <v>0</v>
      </c>
      <c r="J1014" s="15" t="str">
        <f>IFERROR(IF(T_PROD[[#This Row],[META]]&gt;0,(T_PROD[[#This Row],[META]]/T_PROD[[#This Row],[PREVISTO]]),""),"")</f>
        <v/>
      </c>
      <c r="K1014" s="15" t="str">
        <f>IFERROR(IF(T_PROD[[#This Row],[PRODUÇÃO]]&gt;0,(T_PROD[[#This Row],[PRODUÇÃO]]/T_PROD[[#This Row],[EFETIVO]]),""),"")</f>
        <v/>
      </c>
    </row>
    <row r="1015" spans="1:11" x14ac:dyDescent="0.3">
      <c r="A1015" s="11">
        <v>46192</v>
      </c>
      <c r="B1015" s="12" t="str">
        <f t="shared" si="111"/>
        <v>JUNHO</v>
      </c>
      <c r="C1015" s="12" t="s">
        <v>20</v>
      </c>
      <c r="D1015" s="12" t="s">
        <v>12</v>
      </c>
      <c r="E1015" s="13">
        <v>385</v>
      </c>
      <c r="F1015" s="13">
        <v>251</v>
      </c>
      <c r="G1015" s="12">
        <v>90</v>
      </c>
      <c r="H1015" s="14">
        <v>90</v>
      </c>
      <c r="I1015" s="12">
        <f>IFERROR(IF(T_PROD[[#This Row],[PREVISTO]]-T_PROD[[#This Row],[EFETIVO]]&lt; 0,0,T_PROD[[#This Row],[PREVISTO]]-T_PROD[[#This Row],[EFETIVO]] ),"")</f>
        <v>0</v>
      </c>
      <c r="J1015" s="15">
        <f>IFERROR(IF(T_PROD[[#This Row],[META]]&gt;0,(T_PROD[[#This Row],[META]]/T_PROD[[#This Row],[PREVISTO]]),""),"")</f>
        <v>4.2777777777777777</v>
      </c>
      <c r="K1015" s="15">
        <f>IFERROR(IF(T_PROD[[#This Row],[PRODUÇÃO]]&gt;0,(T_PROD[[#This Row],[PRODUÇÃO]]/T_PROD[[#This Row],[EFETIVO]]),""),"")</f>
        <v>2.7888888888888888</v>
      </c>
    </row>
    <row r="1016" spans="1:11" x14ac:dyDescent="0.3">
      <c r="A1016" s="11">
        <v>46192</v>
      </c>
      <c r="B1016" s="12" t="str">
        <f t="shared" si="111"/>
        <v>JUNHO</v>
      </c>
      <c r="C1016" s="12" t="s">
        <v>11</v>
      </c>
      <c r="D1016" s="12" t="s">
        <v>12</v>
      </c>
      <c r="E1016" s="13">
        <v>500</v>
      </c>
      <c r="F1016" s="13">
        <v>500</v>
      </c>
      <c r="G1016" s="12">
        <v>25</v>
      </c>
      <c r="H1016" s="14">
        <v>25</v>
      </c>
      <c r="I1016" s="12">
        <f>IFERROR(IF(T_PROD[[#This Row],[PREVISTO]]-T_PROD[[#This Row],[EFETIVO]]&lt; 0,0,T_PROD[[#This Row],[PREVISTO]]-T_PROD[[#This Row],[EFETIVO]] ),"")</f>
        <v>0</v>
      </c>
      <c r="J1016" s="15">
        <f>IFERROR(IF(T_PROD[[#This Row],[META]]&gt;0,(T_PROD[[#This Row],[META]]/T_PROD[[#This Row],[PREVISTO]]),""),"")</f>
        <v>20</v>
      </c>
      <c r="K1016" s="15">
        <f>IFERROR(IF(T_PROD[[#This Row],[PRODUÇÃO]]&gt;0,(T_PROD[[#This Row],[PRODUÇÃO]]/T_PROD[[#This Row],[EFETIVO]]),""),"")</f>
        <v>20</v>
      </c>
    </row>
    <row r="1017" spans="1:11" x14ac:dyDescent="0.3">
      <c r="A1017" s="11">
        <v>46192</v>
      </c>
      <c r="B1017" s="12" t="str">
        <f t="shared" si="111"/>
        <v>JUNHO</v>
      </c>
      <c r="C1017" s="12" t="s">
        <v>32</v>
      </c>
      <c r="D1017" s="12" t="s">
        <v>12</v>
      </c>
      <c r="E1017" s="13">
        <v>33</v>
      </c>
      <c r="F1017" s="13">
        <v>33</v>
      </c>
      <c r="G1017" s="12">
        <v>3</v>
      </c>
      <c r="H1017" s="14">
        <v>3</v>
      </c>
      <c r="I1017" s="12">
        <f>IFERROR(IF(T_PROD[[#This Row],[PREVISTO]]-T_PROD[[#This Row],[EFETIVO]]&lt; 0,0,T_PROD[[#This Row],[PREVISTO]]-T_PROD[[#This Row],[EFETIVO]] ),"")</f>
        <v>0</v>
      </c>
      <c r="J1017" s="15">
        <f>IFERROR(IF(T_PROD[[#This Row],[META]]&gt;0,(T_PROD[[#This Row],[META]]/T_PROD[[#This Row],[PREVISTO]]),""),"")</f>
        <v>11</v>
      </c>
      <c r="K1017" s="15">
        <f>IFERROR(IF(T_PROD[[#This Row],[PRODUÇÃO]]&gt;0,(T_PROD[[#This Row],[PRODUÇÃO]]/T_PROD[[#This Row],[EFETIVO]]),""),"")</f>
        <v>11</v>
      </c>
    </row>
    <row r="1018" spans="1:11" x14ac:dyDescent="0.3">
      <c r="A1018" s="11">
        <v>46192</v>
      </c>
      <c r="B1018" s="12" t="str">
        <f t="shared" si="111"/>
        <v>JUNHO</v>
      </c>
      <c r="C1018" s="12" t="s">
        <v>14</v>
      </c>
      <c r="D1018" s="12" t="s">
        <v>12</v>
      </c>
      <c r="E1018" s="13">
        <v>533</v>
      </c>
      <c r="F1018" s="13">
        <v>533</v>
      </c>
      <c r="G1018" s="12">
        <v>70</v>
      </c>
      <c r="H1018" s="14">
        <v>70</v>
      </c>
      <c r="I1018" s="12">
        <f>IFERROR(IF(T_PROD[[#This Row],[PREVISTO]]-T_PROD[[#This Row],[EFETIVO]]&lt; 0,0,T_PROD[[#This Row],[PREVISTO]]-T_PROD[[#This Row],[EFETIVO]] ),"")</f>
        <v>0</v>
      </c>
      <c r="J1018" s="15">
        <f>IFERROR(IF(T_PROD[[#This Row],[META]]&gt;0,(T_PROD[[#This Row],[META]]/T_PROD[[#This Row],[PREVISTO]]),""),"")</f>
        <v>7.6142857142857139</v>
      </c>
      <c r="K1018" s="15">
        <f>IFERROR(IF(T_PROD[[#This Row],[PRODUÇÃO]]&gt;0,(T_PROD[[#This Row],[PRODUÇÃO]]/T_PROD[[#This Row],[EFETIVO]]),""),"")</f>
        <v>7.6142857142857139</v>
      </c>
    </row>
    <row r="1019" spans="1:11" x14ac:dyDescent="0.3">
      <c r="A1019" s="11">
        <v>46195</v>
      </c>
      <c r="B1019" s="12" t="str">
        <f>UPPER(TEXT(A1019,"MMMM"))</f>
        <v>JUNHO</v>
      </c>
      <c r="C1019" s="12" t="s">
        <v>15</v>
      </c>
      <c r="D1019" s="12" t="s">
        <v>12</v>
      </c>
      <c r="E1019" s="13">
        <v>60</v>
      </c>
      <c r="F1019" s="13">
        <v>33</v>
      </c>
      <c r="G1019" s="12">
        <v>4</v>
      </c>
      <c r="H1019" s="14">
        <v>4</v>
      </c>
      <c r="I1019" s="12">
        <f>IFERROR(IF(T_PROD[[#This Row],[PREVISTO]]-T_PROD[[#This Row],[EFETIVO]]&lt; 0,0,T_PROD[[#This Row],[PREVISTO]]-T_PROD[[#This Row],[EFETIVO]] ),"")</f>
        <v>0</v>
      </c>
      <c r="J1019" s="15">
        <f>IFERROR(IF(T_PROD[[#This Row],[META]]&gt;0,(T_PROD[[#This Row],[META]]/T_PROD[[#This Row],[PREVISTO]]),""),"")</f>
        <v>15</v>
      </c>
      <c r="K1019" s="15">
        <f>IFERROR(IF(T_PROD[[#This Row],[PRODUÇÃO]]&gt;0,(T_PROD[[#This Row],[PRODUÇÃO]]/T_PROD[[#This Row],[EFETIVO]]),""),"")</f>
        <v>8.25</v>
      </c>
    </row>
    <row r="1020" spans="1:11" x14ac:dyDescent="0.3">
      <c r="A1020" s="11">
        <v>46195</v>
      </c>
      <c r="B1020" s="12" t="str">
        <f t="shared" ref="B1020:B1027" si="112">UPPER(TEXT(A1020,"MMMM"))</f>
        <v>JUNHO</v>
      </c>
      <c r="C1020" s="12" t="s">
        <v>16</v>
      </c>
      <c r="D1020" s="12" t="s">
        <v>12</v>
      </c>
      <c r="E1020" s="13">
        <v>85</v>
      </c>
      <c r="F1020" s="13">
        <v>49</v>
      </c>
      <c r="G1020" s="12">
        <v>2.5</v>
      </c>
      <c r="H1020" s="14">
        <v>2.5</v>
      </c>
      <c r="I1020" s="12">
        <f>IFERROR(IF(T_PROD[[#This Row],[PREVISTO]]-T_PROD[[#This Row],[EFETIVO]]&lt; 0,0,T_PROD[[#This Row],[PREVISTO]]-T_PROD[[#This Row],[EFETIVO]] ),"")</f>
        <v>0</v>
      </c>
      <c r="J1020" s="15">
        <f>IFERROR(IF(T_PROD[[#This Row],[META]]&gt;0,(T_PROD[[#This Row],[META]]/T_PROD[[#This Row],[PREVISTO]]),""),"")</f>
        <v>34</v>
      </c>
      <c r="K1020" s="15">
        <f>IFERROR(IF(T_PROD[[#This Row],[PRODUÇÃO]]&gt;0,(T_PROD[[#This Row],[PRODUÇÃO]]/T_PROD[[#This Row],[EFETIVO]]),""),"")</f>
        <v>19.600000000000001</v>
      </c>
    </row>
    <row r="1021" spans="1:11" x14ac:dyDescent="0.3">
      <c r="A1021" s="11">
        <v>46195</v>
      </c>
      <c r="B1021" s="12" t="str">
        <f t="shared" si="112"/>
        <v>JUNHO</v>
      </c>
      <c r="C1021" s="12" t="s">
        <v>17</v>
      </c>
      <c r="D1021" s="12" t="s">
        <v>12</v>
      </c>
      <c r="E1021" s="13">
        <v>144</v>
      </c>
      <c r="F1021" s="13">
        <v>208</v>
      </c>
      <c r="G1021" s="12">
        <v>9</v>
      </c>
      <c r="H1021" s="14">
        <v>9</v>
      </c>
      <c r="I1021" s="12">
        <f>IFERROR(IF(T_PROD[[#This Row],[PREVISTO]]-T_PROD[[#This Row],[EFETIVO]]&lt; 0,0,T_PROD[[#This Row],[PREVISTO]]-T_PROD[[#This Row],[EFETIVO]] ),"")</f>
        <v>0</v>
      </c>
      <c r="J1021" s="15">
        <f>IFERROR(IF(T_PROD[[#This Row],[META]]&gt;0,(T_PROD[[#This Row],[META]]/T_PROD[[#This Row],[PREVISTO]]),""),"")</f>
        <v>16</v>
      </c>
      <c r="K1021" s="15">
        <f>IFERROR(IF(T_PROD[[#This Row],[PRODUÇÃO]]&gt;0,(T_PROD[[#This Row],[PRODUÇÃO]]/T_PROD[[#This Row],[EFETIVO]]),""),"")</f>
        <v>23.111111111111111</v>
      </c>
    </row>
    <row r="1022" spans="1:11" x14ac:dyDescent="0.3">
      <c r="A1022" s="11">
        <v>46195</v>
      </c>
      <c r="B1022" s="12" t="str">
        <f t="shared" si="112"/>
        <v>JUNHO</v>
      </c>
      <c r="C1022" s="12" t="s">
        <v>18</v>
      </c>
      <c r="D1022" s="12" t="s">
        <v>12</v>
      </c>
      <c r="E1022" s="13"/>
      <c r="F1022" s="13"/>
      <c r="G1022" s="12"/>
      <c r="H1022" s="14"/>
      <c r="I1022" s="12">
        <f>IFERROR(IF(T_PROD[[#This Row],[PREVISTO]]-T_PROD[[#This Row],[EFETIVO]]&lt; 0,0,T_PROD[[#This Row],[PREVISTO]]-T_PROD[[#This Row],[EFETIVO]] ),"")</f>
        <v>0</v>
      </c>
      <c r="J1022" s="15" t="str">
        <f>IFERROR(IF(T_PROD[[#This Row],[META]]&gt;0,(T_PROD[[#This Row],[META]]/T_PROD[[#This Row],[PREVISTO]]),""),"")</f>
        <v/>
      </c>
      <c r="K1022" s="15" t="str">
        <f>IFERROR(IF(T_PROD[[#This Row],[PRODUÇÃO]]&gt;0,(T_PROD[[#This Row],[PRODUÇÃO]]/T_PROD[[#This Row],[EFETIVO]]),""),"")</f>
        <v/>
      </c>
    </row>
    <row r="1023" spans="1:11" x14ac:dyDescent="0.3">
      <c r="A1023" s="11">
        <v>46195</v>
      </c>
      <c r="B1023" s="12" t="str">
        <f t="shared" si="112"/>
        <v>JUNHO</v>
      </c>
      <c r="C1023" s="12" t="s">
        <v>19</v>
      </c>
      <c r="D1023" s="12" t="s">
        <v>12</v>
      </c>
      <c r="E1023" s="13"/>
      <c r="F1023" s="13"/>
      <c r="G1023" s="12"/>
      <c r="H1023" s="14"/>
      <c r="I1023" s="12">
        <f>IFERROR(IF(T_PROD[[#This Row],[PREVISTO]]-T_PROD[[#This Row],[EFETIVO]]&lt; 0,0,T_PROD[[#This Row],[PREVISTO]]-T_PROD[[#This Row],[EFETIVO]] ),"")</f>
        <v>0</v>
      </c>
      <c r="J1023" s="15" t="str">
        <f>IFERROR(IF(T_PROD[[#This Row],[META]]&gt;0,(T_PROD[[#This Row],[META]]/T_PROD[[#This Row],[PREVISTO]]),""),"")</f>
        <v/>
      </c>
      <c r="K1023" s="15" t="str">
        <f>IFERROR(IF(T_PROD[[#This Row],[PRODUÇÃO]]&gt;0,(T_PROD[[#This Row],[PRODUÇÃO]]/T_PROD[[#This Row],[EFETIVO]]),""),"")</f>
        <v/>
      </c>
    </row>
    <row r="1024" spans="1:11" x14ac:dyDescent="0.3">
      <c r="A1024" s="11">
        <v>46195</v>
      </c>
      <c r="B1024" s="12" t="str">
        <f t="shared" si="112"/>
        <v>JUNHO</v>
      </c>
      <c r="C1024" s="12" t="s">
        <v>20</v>
      </c>
      <c r="D1024" s="12" t="s">
        <v>12</v>
      </c>
      <c r="E1024" s="13">
        <v>289</v>
      </c>
      <c r="F1024" s="13">
        <v>290</v>
      </c>
      <c r="G1024" s="12">
        <v>90</v>
      </c>
      <c r="H1024" s="14">
        <v>90</v>
      </c>
      <c r="I1024" s="12">
        <f>IFERROR(IF(T_PROD[[#This Row],[PREVISTO]]-T_PROD[[#This Row],[EFETIVO]]&lt; 0,0,T_PROD[[#This Row],[PREVISTO]]-T_PROD[[#This Row],[EFETIVO]] ),"")</f>
        <v>0</v>
      </c>
      <c r="J1024" s="15">
        <f>IFERROR(IF(T_PROD[[#This Row],[META]]&gt;0,(T_PROD[[#This Row],[META]]/T_PROD[[#This Row],[PREVISTO]]),""),"")</f>
        <v>3.2111111111111112</v>
      </c>
      <c r="K1024" s="15">
        <f>IFERROR(IF(T_PROD[[#This Row],[PRODUÇÃO]]&gt;0,(T_PROD[[#This Row],[PRODUÇÃO]]/T_PROD[[#This Row],[EFETIVO]]),""),"")</f>
        <v>3.2222222222222223</v>
      </c>
    </row>
    <row r="1025" spans="1:11" x14ac:dyDescent="0.3">
      <c r="A1025" s="11">
        <v>46195</v>
      </c>
      <c r="B1025" s="12" t="str">
        <f t="shared" si="112"/>
        <v>JUNHO</v>
      </c>
      <c r="C1025" s="12" t="s">
        <v>11</v>
      </c>
      <c r="D1025" s="12" t="s">
        <v>12</v>
      </c>
      <c r="E1025" s="13">
        <v>800</v>
      </c>
      <c r="F1025" s="13">
        <v>800</v>
      </c>
      <c r="G1025" s="12">
        <v>40</v>
      </c>
      <c r="H1025" s="14">
        <v>40</v>
      </c>
      <c r="I1025" s="12">
        <f>IFERROR(IF(T_PROD[[#This Row],[PREVISTO]]-T_PROD[[#This Row],[EFETIVO]]&lt; 0,0,T_PROD[[#This Row],[PREVISTO]]-T_PROD[[#This Row],[EFETIVO]] ),"")</f>
        <v>0</v>
      </c>
      <c r="J1025" s="15">
        <f>IFERROR(IF(T_PROD[[#This Row],[META]]&gt;0,(T_PROD[[#This Row],[META]]/T_PROD[[#This Row],[PREVISTO]]),""),"")</f>
        <v>20</v>
      </c>
      <c r="K1025" s="15">
        <f>IFERROR(IF(T_PROD[[#This Row],[PRODUÇÃO]]&gt;0,(T_PROD[[#This Row],[PRODUÇÃO]]/T_PROD[[#This Row],[EFETIVO]]),""),"")</f>
        <v>20</v>
      </c>
    </row>
    <row r="1026" spans="1:11" x14ac:dyDescent="0.3">
      <c r="A1026" s="11">
        <v>46195</v>
      </c>
      <c r="B1026" s="12" t="str">
        <f t="shared" si="112"/>
        <v>JUNHO</v>
      </c>
      <c r="C1026" s="12" t="s">
        <v>32</v>
      </c>
      <c r="D1026" s="12" t="s">
        <v>12</v>
      </c>
      <c r="E1026" s="13">
        <v>33</v>
      </c>
      <c r="F1026" s="13">
        <v>27</v>
      </c>
      <c r="G1026" s="12">
        <v>3</v>
      </c>
      <c r="H1026" s="14">
        <v>3</v>
      </c>
      <c r="I1026" s="12">
        <f>IFERROR(IF(T_PROD[[#This Row],[PREVISTO]]-T_PROD[[#This Row],[EFETIVO]]&lt; 0,0,T_PROD[[#This Row],[PREVISTO]]-T_PROD[[#This Row],[EFETIVO]] ),"")</f>
        <v>0</v>
      </c>
      <c r="J1026" s="15">
        <f>IFERROR(IF(T_PROD[[#This Row],[META]]&gt;0,(T_PROD[[#This Row],[META]]/T_PROD[[#This Row],[PREVISTO]]),""),"")</f>
        <v>11</v>
      </c>
      <c r="K1026" s="15">
        <f>IFERROR(IF(T_PROD[[#This Row],[PRODUÇÃO]]&gt;0,(T_PROD[[#This Row],[PRODUÇÃO]]/T_PROD[[#This Row],[EFETIVO]]),""),"")</f>
        <v>9</v>
      </c>
    </row>
    <row r="1027" spans="1:11" x14ac:dyDescent="0.3">
      <c r="A1027" s="11">
        <v>46195</v>
      </c>
      <c r="B1027" s="12" t="str">
        <f t="shared" si="112"/>
        <v>JUNHO</v>
      </c>
      <c r="C1027" s="12" t="s">
        <v>14</v>
      </c>
      <c r="D1027" s="12" t="s">
        <v>12</v>
      </c>
      <c r="E1027" s="13">
        <v>833</v>
      </c>
      <c r="F1027" s="13">
        <v>827</v>
      </c>
      <c r="G1027" s="12">
        <v>95</v>
      </c>
      <c r="H1027" s="14">
        <v>91</v>
      </c>
      <c r="I1027" s="12">
        <f>IFERROR(IF(T_PROD[[#This Row],[PREVISTO]]-T_PROD[[#This Row],[EFETIVO]]&lt; 0,0,T_PROD[[#This Row],[PREVISTO]]-T_PROD[[#This Row],[EFETIVO]] ),"")</f>
        <v>4</v>
      </c>
      <c r="J1027" s="15">
        <f>IFERROR(IF(T_PROD[[#This Row],[META]]&gt;0,(T_PROD[[#This Row],[META]]/T_PROD[[#This Row],[PREVISTO]]),""),"")</f>
        <v>8.7684210526315791</v>
      </c>
      <c r="K1027" s="15">
        <f>IFERROR(IF(T_PROD[[#This Row],[PRODUÇÃO]]&gt;0,(T_PROD[[#This Row],[PRODUÇÃO]]/T_PROD[[#This Row],[EFETIVO]]),""),"")</f>
        <v>9.0879120879120876</v>
      </c>
    </row>
    <row r="1028" spans="1:11" x14ac:dyDescent="0.3">
      <c r="A1028" s="11">
        <v>46196</v>
      </c>
      <c r="B1028" s="12" t="str">
        <f>UPPER(TEXT(A1028,"MMMM"))</f>
        <v>JUNHO</v>
      </c>
      <c r="C1028" s="12" t="s">
        <v>15</v>
      </c>
      <c r="D1028" s="12" t="s">
        <v>12</v>
      </c>
      <c r="E1028" s="13">
        <v>75</v>
      </c>
      <c r="F1028" s="13">
        <v>35</v>
      </c>
      <c r="G1028" s="12">
        <v>5</v>
      </c>
      <c r="H1028" s="14">
        <v>5</v>
      </c>
      <c r="I1028" s="12">
        <f>IFERROR(IF(T_PROD[[#This Row],[PREVISTO]]-T_PROD[[#This Row],[EFETIVO]]&lt; 0,0,T_PROD[[#This Row],[PREVISTO]]-T_PROD[[#This Row],[EFETIVO]] ),"")</f>
        <v>0</v>
      </c>
      <c r="J1028" s="15">
        <f>IFERROR(IF(T_PROD[[#This Row],[META]]&gt;0,(T_PROD[[#This Row],[META]]/T_PROD[[#This Row],[PREVISTO]]),""),"")</f>
        <v>15</v>
      </c>
      <c r="K1028" s="15">
        <f>IFERROR(IF(T_PROD[[#This Row],[PRODUÇÃO]]&gt;0,(T_PROD[[#This Row],[PRODUÇÃO]]/T_PROD[[#This Row],[EFETIVO]]),""),"")</f>
        <v>7</v>
      </c>
    </row>
    <row r="1029" spans="1:11" x14ac:dyDescent="0.3">
      <c r="A1029" s="11">
        <v>46196</v>
      </c>
      <c r="B1029" s="12" t="str">
        <f t="shared" ref="B1029:B1036" si="113">UPPER(TEXT(A1029,"MMMM"))</f>
        <v>JUNHO</v>
      </c>
      <c r="C1029" s="12" t="s">
        <v>16</v>
      </c>
      <c r="D1029" s="12" t="s">
        <v>12</v>
      </c>
      <c r="E1029" s="13"/>
      <c r="F1029" s="13"/>
      <c r="G1029" s="12"/>
      <c r="H1029" s="14"/>
      <c r="I1029" s="12">
        <f>IFERROR(IF(T_PROD[[#This Row],[PREVISTO]]-T_PROD[[#This Row],[EFETIVO]]&lt; 0,0,T_PROD[[#This Row],[PREVISTO]]-T_PROD[[#This Row],[EFETIVO]] ),"")</f>
        <v>0</v>
      </c>
      <c r="J1029" s="15" t="str">
        <f>IFERROR(IF(T_PROD[[#This Row],[META]]&gt;0,(T_PROD[[#This Row],[META]]/T_PROD[[#This Row],[PREVISTO]]),""),"")</f>
        <v/>
      </c>
      <c r="K1029" s="15" t="str">
        <f>IFERROR(IF(T_PROD[[#This Row],[PRODUÇÃO]]&gt;0,(T_PROD[[#This Row],[PRODUÇÃO]]/T_PROD[[#This Row],[EFETIVO]]),""),"")</f>
        <v/>
      </c>
    </row>
    <row r="1030" spans="1:11" x14ac:dyDescent="0.3">
      <c r="A1030" s="11">
        <v>46196</v>
      </c>
      <c r="B1030" s="12" t="str">
        <f t="shared" si="113"/>
        <v>JUNHO</v>
      </c>
      <c r="C1030" s="12" t="s">
        <v>17</v>
      </c>
      <c r="D1030" s="12" t="s">
        <v>12</v>
      </c>
      <c r="E1030" s="13">
        <v>224</v>
      </c>
      <c r="F1030" s="13">
        <v>279</v>
      </c>
      <c r="G1030" s="12">
        <v>14</v>
      </c>
      <c r="H1030" s="14">
        <v>14</v>
      </c>
      <c r="I1030" s="12">
        <f>IFERROR(IF(T_PROD[[#This Row],[PREVISTO]]-T_PROD[[#This Row],[EFETIVO]]&lt; 0,0,T_PROD[[#This Row],[PREVISTO]]-T_PROD[[#This Row],[EFETIVO]] ),"")</f>
        <v>0</v>
      </c>
      <c r="J1030" s="15">
        <f>IFERROR(IF(T_PROD[[#This Row],[META]]&gt;0,(T_PROD[[#This Row],[META]]/T_PROD[[#This Row],[PREVISTO]]),""),"")</f>
        <v>16</v>
      </c>
      <c r="K1030" s="15">
        <f>IFERROR(IF(T_PROD[[#This Row],[PRODUÇÃO]]&gt;0,(T_PROD[[#This Row],[PRODUÇÃO]]/T_PROD[[#This Row],[EFETIVO]]),""),"")</f>
        <v>19.928571428571427</v>
      </c>
    </row>
    <row r="1031" spans="1:11" x14ac:dyDescent="0.3">
      <c r="A1031" s="11">
        <v>46196</v>
      </c>
      <c r="B1031" s="12" t="str">
        <f t="shared" si="113"/>
        <v>JUNHO</v>
      </c>
      <c r="C1031" s="12" t="s">
        <v>18</v>
      </c>
      <c r="D1031" s="12" t="s">
        <v>12</v>
      </c>
      <c r="E1031" s="13"/>
      <c r="F1031" s="13"/>
      <c r="G1031" s="12"/>
      <c r="H1031" s="14"/>
      <c r="I1031" s="12">
        <f>IFERROR(IF(T_PROD[[#This Row],[PREVISTO]]-T_PROD[[#This Row],[EFETIVO]]&lt; 0,0,T_PROD[[#This Row],[PREVISTO]]-T_PROD[[#This Row],[EFETIVO]] ),"")</f>
        <v>0</v>
      </c>
      <c r="J1031" s="15" t="str">
        <f>IFERROR(IF(T_PROD[[#This Row],[META]]&gt;0,(T_PROD[[#This Row],[META]]/T_PROD[[#This Row],[PREVISTO]]),""),"")</f>
        <v/>
      </c>
      <c r="K1031" s="15" t="str">
        <f>IFERROR(IF(T_PROD[[#This Row],[PRODUÇÃO]]&gt;0,(T_PROD[[#This Row],[PRODUÇÃO]]/T_PROD[[#This Row],[EFETIVO]]),""),"")</f>
        <v/>
      </c>
    </row>
    <row r="1032" spans="1:11" x14ac:dyDescent="0.3">
      <c r="A1032" s="11">
        <v>46196</v>
      </c>
      <c r="B1032" s="12" t="str">
        <f t="shared" si="113"/>
        <v>JUNHO</v>
      </c>
      <c r="C1032" s="12" t="s">
        <v>19</v>
      </c>
      <c r="D1032" s="12" t="s">
        <v>12</v>
      </c>
      <c r="E1032" s="13"/>
      <c r="F1032" s="13"/>
      <c r="G1032" s="12"/>
      <c r="H1032" s="14"/>
      <c r="I1032" s="12">
        <f>IFERROR(IF(T_PROD[[#This Row],[PREVISTO]]-T_PROD[[#This Row],[EFETIVO]]&lt; 0,0,T_PROD[[#This Row],[PREVISTO]]-T_PROD[[#This Row],[EFETIVO]] ),"")</f>
        <v>0</v>
      </c>
      <c r="J1032" s="15" t="str">
        <f>IFERROR(IF(T_PROD[[#This Row],[META]]&gt;0,(T_PROD[[#This Row],[META]]/T_PROD[[#This Row],[PREVISTO]]),""),"")</f>
        <v/>
      </c>
      <c r="K1032" s="15" t="str">
        <f>IFERROR(IF(T_PROD[[#This Row],[PRODUÇÃO]]&gt;0,(T_PROD[[#This Row],[PRODUÇÃO]]/T_PROD[[#This Row],[EFETIVO]]),""),"")</f>
        <v/>
      </c>
    </row>
    <row r="1033" spans="1:11" x14ac:dyDescent="0.3">
      <c r="A1033" s="11">
        <v>46196</v>
      </c>
      <c r="B1033" s="12" t="str">
        <f t="shared" si="113"/>
        <v>JUNHO</v>
      </c>
      <c r="C1033" s="12" t="s">
        <v>20</v>
      </c>
      <c r="D1033" s="12" t="s">
        <v>12</v>
      </c>
      <c r="E1033" s="13">
        <v>299</v>
      </c>
      <c r="F1033" s="13">
        <v>314</v>
      </c>
      <c r="G1033" s="12">
        <v>90</v>
      </c>
      <c r="H1033" s="14">
        <v>90</v>
      </c>
      <c r="I1033" s="12">
        <f>IFERROR(IF(T_PROD[[#This Row],[PREVISTO]]-T_PROD[[#This Row],[EFETIVO]]&lt; 0,0,T_PROD[[#This Row],[PREVISTO]]-T_PROD[[#This Row],[EFETIVO]] ),"")</f>
        <v>0</v>
      </c>
      <c r="J1033" s="15">
        <f>IFERROR(IF(T_PROD[[#This Row],[META]]&gt;0,(T_PROD[[#This Row],[META]]/T_PROD[[#This Row],[PREVISTO]]),""),"")</f>
        <v>3.3222222222222224</v>
      </c>
      <c r="K1033" s="15">
        <f>IFERROR(IF(T_PROD[[#This Row],[PRODUÇÃO]]&gt;0,(T_PROD[[#This Row],[PRODUÇÃO]]/T_PROD[[#This Row],[EFETIVO]]),""),"")</f>
        <v>3.4888888888888889</v>
      </c>
    </row>
    <row r="1034" spans="1:11" x14ac:dyDescent="0.3">
      <c r="A1034" s="11">
        <v>46196</v>
      </c>
      <c r="B1034" s="12" t="str">
        <f t="shared" si="113"/>
        <v>JUNHO</v>
      </c>
      <c r="C1034" s="12" t="s">
        <v>11</v>
      </c>
      <c r="D1034" s="12" t="s">
        <v>12</v>
      </c>
      <c r="E1034" s="13">
        <v>680</v>
      </c>
      <c r="F1034" s="13">
        <v>710</v>
      </c>
      <c r="G1034" s="12">
        <v>34</v>
      </c>
      <c r="H1034" s="14">
        <v>34</v>
      </c>
      <c r="I1034" s="12">
        <f>IFERROR(IF(T_PROD[[#This Row],[PREVISTO]]-T_PROD[[#This Row],[EFETIVO]]&lt; 0,0,T_PROD[[#This Row],[PREVISTO]]-T_PROD[[#This Row],[EFETIVO]] ),"")</f>
        <v>0</v>
      </c>
      <c r="J1034" s="15">
        <f>IFERROR(IF(T_PROD[[#This Row],[META]]&gt;0,(T_PROD[[#This Row],[META]]/T_PROD[[#This Row],[PREVISTO]]),""),"")</f>
        <v>20</v>
      </c>
      <c r="K1034" s="15">
        <f>IFERROR(IF(T_PROD[[#This Row],[PRODUÇÃO]]&gt;0,(T_PROD[[#This Row],[PRODUÇÃO]]/T_PROD[[#This Row],[EFETIVO]]),""),"")</f>
        <v>20.882352941176471</v>
      </c>
    </row>
    <row r="1035" spans="1:11" x14ac:dyDescent="0.3">
      <c r="A1035" s="11">
        <v>46196</v>
      </c>
      <c r="B1035" s="12" t="str">
        <f t="shared" si="113"/>
        <v>JUNHO</v>
      </c>
      <c r="C1035" s="12" t="s">
        <v>32</v>
      </c>
      <c r="D1035" s="12" t="s">
        <v>12</v>
      </c>
      <c r="E1035" s="13"/>
      <c r="F1035" s="13"/>
      <c r="G1035" s="12"/>
      <c r="H1035" s="14"/>
      <c r="I1035" s="12">
        <f>IFERROR(IF(T_PROD[[#This Row],[PREVISTO]]-T_PROD[[#This Row],[EFETIVO]]&lt; 0,0,T_PROD[[#This Row],[PREVISTO]]-T_PROD[[#This Row],[EFETIVO]] ),"")</f>
        <v>0</v>
      </c>
      <c r="J1035" s="15" t="str">
        <f>IFERROR(IF(T_PROD[[#This Row],[META]]&gt;0,(T_PROD[[#This Row],[META]]/T_PROD[[#This Row],[PREVISTO]]),""),"")</f>
        <v/>
      </c>
      <c r="K1035" s="15" t="str">
        <f>IFERROR(IF(T_PROD[[#This Row],[PRODUÇÃO]]&gt;0,(T_PROD[[#This Row],[PRODUÇÃO]]/T_PROD[[#This Row],[EFETIVO]]),""),"")</f>
        <v/>
      </c>
    </row>
    <row r="1036" spans="1:11" x14ac:dyDescent="0.3">
      <c r="A1036" s="11">
        <v>46196</v>
      </c>
      <c r="B1036" s="12" t="str">
        <f t="shared" si="113"/>
        <v>JUNHO</v>
      </c>
      <c r="C1036" s="12" t="s">
        <v>14</v>
      </c>
      <c r="D1036" s="12" t="s">
        <v>12</v>
      </c>
      <c r="E1036" s="13">
        <v>680</v>
      </c>
      <c r="F1036" s="13">
        <v>710</v>
      </c>
      <c r="G1036" s="12">
        <v>75</v>
      </c>
      <c r="H1036" s="14">
        <v>72</v>
      </c>
      <c r="I1036" s="12">
        <f>IFERROR(IF(T_PROD[[#This Row],[PREVISTO]]-T_PROD[[#This Row],[EFETIVO]]&lt; 0,0,T_PROD[[#This Row],[PREVISTO]]-T_PROD[[#This Row],[EFETIVO]] ),"")</f>
        <v>3</v>
      </c>
      <c r="J1036" s="15">
        <f>IFERROR(IF(T_PROD[[#This Row],[META]]&gt;0,(T_PROD[[#This Row],[META]]/T_PROD[[#This Row],[PREVISTO]]),""),"")</f>
        <v>9.0666666666666664</v>
      </c>
      <c r="K1036" s="15">
        <f>IFERROR(IF(T_PROD[[#This Row],[PRODUÇÃO]]&gt;0,(T_PROD[[#This Row],[PRODUÇÃO]]/T_PROD[[#This Row],[EFETIVO]]),""),"")</f>
        <v>9.8611111111111107</v>
      </c>
    </row>
    <row r="1037" spans="1:11" x14ac:dyDescent="0.3">
      <c r="A1037" s="11">
        <v>46197</v>
      </c>
      <c r="B1037" s="12" t="str">
        <f>UPPER(TEXT(A1037,"MMMM"))</f>
        <v>JUNHO</v>
      </c>
      <c r="C1037" s="12" t="s">
        <v>15</v>
      </c>
      <c r="D1037" s="12" t="s">
        <v>12</v>
      </c>
      <c r="E1037" s="13">
        <v>90</v>
      </c>
      <c r="F1037" s="13">
        <v>45</v>
      </c>
      <c r="G1037" s="12">
        <v>6</v>
      </c>
      <c r="H1037" s="14">
        <v>6</v>
      </c>
      <c r="I1037" s="12">
        <f>IFERROR(IF(T_PROD[[#This Row],[PREVISTO]]-T_PROD[[#This Row],[EFETIVO]]&lt; 0,0,T_PROD[[#This Row],[PREVISTO]]-T_PROD[[#This Row],[EFETIVO]] ),"")</f>
        <v>0</v>
      </c>
      <c r="J1037" s="15">
        <f>IFERROR(IF(T_PROD[[#This Row],[META]]&gt;0,(T_PROD[[#This Row],[META]]/T_PROD[[#This Row],[PREVISTO]]),""),"")</f>
        <v>15</v>
      </c>
      <c r="K1037" s="15">
        <f>IFERROR(IF(T_PROD[[#This Row],[PRODUÇÃO]]&gt;0,(T_PROD[[#This Row],[PRODUÇÃO]]/T_PROD[[#This Row],[EFETIVO]]),""),"")</f>
        <v>7.5</v>
      </c>
    </row>
    <row r="1038" spans="1:11" x14ac:dyDescent="0.3">
      <c r="A1038" s="11">
        <v>46197</v>
      </c>
      <c r="B1038" s="12" t="str">
        <f t="shared" ref="B1038:B1045" si="114">UPPER(TEXT(A1038,"MMMM"))</f>
        <v>JUNHO</v>
      </c>
      <c r="C1038" s="12" t="s">
        <v>16</v>
      </c>
      <c r="D1038" s="12" t="s">
        <v>12</v>
      </c>
      <c r="E1038" s="13">
        <v>17</v>
      </c>
      <c r="F1038" s="13">
        <v>12</v>
      </c>
      <c r="G1038" s="12">
        <v>0.5</v>
      </c>
      <c r="H1038" s="14">
        <v>0.5</v>
      </c>
      <c r="I1038" s="12">
        <f>IFERROR(IF(T_PROD[[#This Row],[PREVISTO]]-T_PROD[[#This Row],[EFETIVO]]&lt; 0,0,T_PROD[[#This Row],[PREVISTO]]-T_PROD[[#This Row],[EFETIVO]] ),"")</f>
        <v>0</v>
      </c>
      <c r="J1038" s="15">
        <f>IFERROR(IF(T_PROD[[#This Row],[META]]&gt;0,(T_PROD[[#This Row],[META]]/T_PROD[[#This Row],[PREVISTO]]),""),"")</f>
        <v>34</v>
      </c>
      <c r="K1038" s="15">
        <f>IFERROR(IF(T_PROD[[#This Row],[PRODUÇÃO]]&gt;0,(T_PROD[[#This Row],[PRODUÇÃO]]/T_PROD[[#This Row],[EFETIVO]]),""),"")</f>
        <v>24</v>
      </c>
    </row>
    <row r="1039" spans="1:11" x14ac:dyDescent="0.3">
      <c r="A1039" s="11">
        <v>46197</v>
      </c>
      <c r="B1039" s="12" t="str">
        <f t="shared" si="114"/>
        <v>JUNHO</v>
      </c>
      <c r="C1039" s="12" t="s">
        <v>17</v>
      </c>
      <c r="D1039" s="12" t="s">
        <v>12</v>
      </c>
      <c r="E1039" s="13">
        <v>224</v>
      </c>
      <c r="F1039" s="13">
        <v>111</v>
      </c>
      <c r="G1039" s="12">
        <v>14</v>
      </c>
      <c r="H1039" s="14">
        <v>14</v>
      </c>
      <c r="I1039" s="12">
        <f>IFERROR(IF(T_PROD[[#This Row],[PREVISTO]]-T_PROD[[#This Row],[EFETIVO]]&lt; 0,0,T_PROD[[#This Row],[PREVISTO]]-T_PROD[[#This Row],[EFETIVO]] ),"")</f>
        <v>0</v>
      </c>
      <c r="J1039" s="15">
        <f>IFERROR(IF(T_PROD[[#This Row],[META]]&gt;0,(T_PROD[[#This Row],[META]]/T_PROD[[#This Row],[PREVISTO]]),""),"")</f>
        <v>16</v>
      </c>
      <c r="K1039" s="15">
        <f>IFERROR(IF(T_PROD[[#This Row],[PRODUÇÃO]]&gt;0,(T_PROD[[#This Row],[PRODUÇÃO]]/T_PROD[[#This Row],[EFETIVO]]),""),"")</f>
        <v>7.9285714285714288</v>
      </c>
    </row>
    <row r="1040" spans="1:11" x14ac:dyDescent="0.3">
      <c r="A1040" s="11">
        <v>46197</v>
      </c>
      <c r="B1040" s="12" t="str">
        <f t="shared" si="114"/>
        <v>JUNHO</v>
      </c>
      <c r="C1040" s="12" t="s">
        <v>18</v>
      </c>
      <c r="D1040" s="12" t="s">
        <v>12</v>
      </c>
      <c r="E1040" s="13"/>
      <c r="F1040" s="13"/>
      <c r="G1040" s="12"/>
      <c r="H1040" s="14"/>
      <c r="I1040" s="12">
        <f>IFERROR(IF(T_PROD[[#This Row],[PREVISTO]]-T_PROD[[#This Row],[EFETIVO]]&lt; 0,0,T_PROD[[#This Row],[PREVISTO]]-T_PROD[[#This Row],[EFETIVO]] ),"")</f>
        <v>0</v>
      </c>
      <c r="J1040" s="15" t="str">
        <f>IFERROR(IF(T_PROD[[#This Row],[META]]&gt;0,(T_PROD[[#This Row],[META]]/T_PROD[[#This Row],[PREVISTO]]),""),"")</f>
        <v/>
      </c>
      <c r="K1040" s="15" t="str">
        <f>IFERROR(IF(T_PROD[[#This Row],[PRODUÇÃO]]&gt;0,(T_PROD[[#This Row],[PRODUÇÃO]]/T_PROD[[#This Row],[EFETIVO]]),""),"")</f>
        <v/>
      </c>
    </row>
    <row r="1041" spans="1:11" x14ac:dyDescent="0.3">
      <c r="A1041" s="11">
        <v>46197</v>
      </c>
      <c r="B1041" s="12" t="str">
        <f t="shared" si="114"/>
        <v>JUNHO</v>
      </c>
      <c r="C1041" s="12" t="s">
        <v>19</v>
      </c>
      <c r="D1041" s="12" t="s">
        <v>12</v>
      </c>
      <c r="E1041" s="13"/>
      <c r="F1041" s="13"/>
      <c r="G1041" s="12"/>
      <c r="H1041" s="14"/>
      <c r="I1041" s="12">
        <f>IFERROR(IF(T_PROD[[#This Row],[PREVISTO]]-T_PROD[[#This Row],[EFETIVO]]&lt; 0,0,T_PROD[[#This Row],[PREVISTO]]-T_PROD[[#This Row],[EFETIVO]] ),"")</f>
        <v>0</v>
      </c>
      <c r="J1041" s="15" t="str">
        <f>IFERROR(IF(T_PROD[[#This Row],[META]]&gt;0,(T_PROD[[#This Row],[META]]/T_PROD[[#This Row],[PREVISTO]]),""),"")</f>
        <v/>
      </c>
      <c r="K1041" s="15" t="str">
        <f>IFERROR(IF(T_PROD[[#This Row],[PRODUÇÃO]]&gt;0,(T_PROD[[#This Row],[PRODUÇÃO]]/T_PROD[[#This Row],[EFETIVO]]),""),"")</f>
        <v/>
      </c>
    </row>
    <row r="1042" spans="1:11" x14ac:dyDescent="0.3">
      <c r="A1042" s="11">
        <v>46197</v>
      </c>
      <c r="B1042" s="12" t="str">
        <f t="shared" si="114"/>
        <v>JUNHO</v>
      </c>
      <c r="C1042" s="12" t="s">
        <v>20</v>
      </c>
      <c r="D1042" s="12" t="s">
        <v>12</v>
      </c>
      <c r="E1042" s="13">
        <v>331</v>
      </c>
      <c r="F1042" s="13">
        <v>168</v>
      </c>
      <c r="G1042" s="12">
        <v>90</v>
      </c>
      <c r="H1042" s="14">
        <v>90</v>
      </c>
      <c r="I1042" s="12">
        <f>IFERROR(IF(T_PROD[[#This Row],[PREVISTO]]-T_PROD[[#This Row],[EFETIVO]]&lt; 0,0,T_PROD[[#This Row],[PREVISTO]]-T_PROD[[#This Row],[EFETIVO]] ),"")</f>
        <v>0</v>
      </c>
      <c r="J1042" s="15">
        <f>IFERROR(IF(T_PROD[[#This Row],[META]]&gt;0,(T_PROD[[#This Row],[META]]/T_PROD[[#This Row],[PREVISTO]]),""),"")</f>
        <v>3.6777777777777776</v>
      </c>
      <c r="K1042" s="15">
        <f>IFERROR(IF(T_PROD[[#This Row],[PRODUÇÃO]]&gt;0,(T_PROD[[#This Row],[PRODUÇÃO]]/T_PROD[[#This Row],[EFETIVO]]),""),"")</f>
        <v>1.8666666666666667</v>
      </c>
    </row>
    <row r="1043" spans="1:11" x14ac:dyDescent="0.3">
      <c r="A1043" s="11">
        <v>46197</v>
      </c>
      <c r="B1043" s="12" t="str">
        <f t="shared" si="114"/>
        <v>JUNHO</v>
      </c>
      <c r="C1043" s="12" t="s">
        <v>11</v>
      </c>
      <c r="D1043" s="12" t="s">
        <v>12</v>
      </c>
      <c r="E1043" s="13">
        <v>800</v>
      </c>
      <c r="F1043" s="13">
        <v>850</v>
      </c>
      <c r="G1043" s="12">
        <v>40</v>
      </c>
      <c r="H1043" s="14">
        <v>40</v>
      </c>
      <c r="I1043" s="12">
        <f>IFERROR(IF(T_PROD[[#This Row],[PREVISTO]]-T_PROD[[#This Row],[EFETIVO]]&lt; 0,0,T_PROD[[#This Row],[PREVISTO]]-T_PROD[[#This Row],[EFETIVO]] ),"")</f>
        <v>0</v>
      </c>
      <c r="J1043" s="15">
        <f>IFERROR(IF(T_PROD[[#This Row],[META]]&gt;0,(T_PROD[[#This Row],[META]]/T_PROD[[#This Row],[PREVISTO]]),""),"")</f>
        <v>20</v>
      </c>
      <c r="K1043" s="15">
        <f>IFERROR(IF(T_PROD[[#This Row],[PRODUÇÃO]]&gt;0,(T_PROD[[#This Row],[PRODUÇÃO]]/T_PROD[[#This Row],[EFETIVO]]),""),"")</f>
        <v>21.25</v>
      </c>
    </row>
    <row r="1044" spans="1:11" x14ac:dyDescent="0.3">
      <c r="A1044" s="11">
        <v>46197</v>
      </c>
      <c r="B1044" s="12" t="str">
        <f t="shared" si="114"/>
        <v>JUNHO</v>
      </c>
      <c r="C1044" s="12" t="s">
        <v>32</v>
      </c>
      <c r="D1044" s="12" t="s">
        <v>12</v>
      </c>
      <c r="E1044" s="13">
        <v>44</v>
      </c>
      <c r="F1044" s="13">
        <v>40</v>
      </c>
      <c r="G1044" s="12">
        <v>4</v>
      </c>
      <c r="H1044" s="14">
        <v>4</v>
      </c>
      <c r="I1044" s="12">
        <f>IFERROR(IF(T_PROD[[#This Row],[PREVISTO]]-T_PROD[[#This Row],[EFETIVO]]&lt; 0,0,T_PROD[[#This Row],[PREVISTO]]-T_PROD[[#This Row],[EFETIVO]] ),"")</f>
        <v>0</v>
      </c>
      <c r="J1044" s="15">
        <f>IFERROR(IF(T_PROD[[#This Row],[META]]&gt;0,(T_PROD[[#This Row],[META]]/T_PROD[[#This Row],[PREVISTO]]),""),"")</f>
        <v>11</v>
      </c>
      <c r="K1044" s="15">
        <f>IFERROR(IF(T_PROD[[#This Row],[PRODUÇÃO]]&gt;0,(T_PROD[[#This Row],[PRODUÇÃO]]/T_PROD[[#This Row],[EFETIVO]]),""),"")</f>
        <v>10</v>
      </c>
    </row>
    <row r="1045" spans="1:11" x14ac:dyDescent="0.3">
      <c r="A1045" s="11">
        <v>46197</v>
      </c>
      <c r="B1045" s="12" t="str">
        <f t="shared" si="114"/>
        <v>JUNHO</v>
      </c>
      <c r="C1045" s="12" t="s">
        <v>14</v>
      </c>
      <c r="D1045" s="12" t="s">
        <v>12</v>
      </c>
      <c r="E1045" s="13">
        <v>844</v>
      </c>
      <c r="F1045" s="13">
        <v>890</v>
      </c>
      <c r="G1045" s="12">
        <v>95</v>
      </c>
      <c r="H1045" s="14">
        <v>92</v>
      </c>
      <c r="I1045" s="12">
        <f>IFERROR(IF(T_PROD[[#This Row],[PREVISTO]]-T_PROD[[#This Row],[EFETIVO]]&lt; 0,0,T_PROD[[#This Row],[PREVISTO]]-T_PROD[[#This Row],[EFETIVO]] ),"")</f>
        <v>3</v>
      </c>
      <c r="J1045" s="15">
        <f>IFERROR(IF(T_PROD[[#This Row],[META]]&gt;0,(T_PROD[[#This Row],[META]]/T_PROD[[#This Row],[PREVISTO]]),""),"")</f>
        <v>8.8842105263157887</v>
      </c>
      <c r="K1045" s="15">
        <f>IFERROR(IF(T_PROD[[#This Row],[PRODUÇÃO]]&gt;0,(T_PROD[[#This Row],[PRODUÇÃO]]/T_PROD[[#This Row],[EFETIVO]]),""),"")</f>
        <v>9.6739130434782616</v>
      </c>
    </row>
    <row r="1046" spans="1:11" x14ac:dyDescent="0.3">
      <c r="A1046" s="11">
        <v>46198</v>
      </c>
      <c r="B1046" s="12" t="str">
        <f>UPPER(TEXT(A1046,"MMMM"))</f>
        <v>JUNHO</v>
      </c>
      <c r="C1046" s="12" t="s">
        <v>15</v>
      </c>
      <c r="D1046" s="12" t="s">
        <v>12</v>
      </c>
      <c r="E1046" s="13">
        <v>112.5</v>
      </c>
      <c r="F1046" s="13">
        <v>49</v>
      </c>
      <c r="G1046" s="12">
        <v>7.5</v>
      </c>
      <c r="H1046" s="14">
        <v>7.5</v>
      </c>
      <c r="I1046" s="12">
        <f>IFERROR(IF(T_PROD[[#This Row],[PREVISTO]]-T_PROD[[#This Row],[EFETIVO]]&lt; 0,0,T_PROD[[#This Row],[PREVISTO]]-T_PROD[[#This Row],[EFETIVO]] ),"")</f>
        <v>0</v>
      </c>
      <c r="J1046" s="15">
        <f>IFERROR(IF(T_PROD[[#This Row],[META]]&gt;0,(T_PROD[[#This Row],[META]]/T_PROD[[#This Row],[PREVISTO]]),""),"")</f>
        <v>15</v>
      </c>
      <c r="K1046" s="15">
        <f>IFERROR(IF(T_PROD[[#This Row],[PRODUÇÃO]]&gt;0,(T_PROD[[#This Row],[PRODUÇÃO]]/T_PROD[[#This Row],[EFETIVO]]),""),"")</f>
        <v>6.5333333333333332</v>
      </c>
    </row>
    <row r="1047" spans="1:11" x14ac:dyDescent="0.3">
      <c r="A1047" s="11">
        <v>46198</v>
      </c>
      <c r="B1047" s="12" t="str">
        <f t="shared" ref="B1047:B1054" si="115">UPPER(TEXT(A1047,"MMMM"))</f>
        <v>JUNHO</v>
      </c>
      <c r="C1047" s="12" t="s">
        <v>16</v>
      </c>
      <c r="D1047" s="12" t="s">
        <v>12</v>
      </c>
      <c r="E1047" s="13"/>
      <c r="F1047" s="13"/>
      <c r="G1047" s="12"/>
      <c r="H1047" s="14"/>
      <c r="I1047" s="12">
        <f>IFERROR(IF(T_PROD[[#This Row],[PREVISTO]]-T_PROD[[#This Row],[EFETIVO]]&lt; 0,0,T_PROD[[#This Row],[PREVISTO]]-T_PROD[[#This Row],[EFETIVO]] ),"")</f>
        <v>0</v>
      </c>
      <c r="J1047" s="15" t="str">
        <f>IFERROR(IF(T_PROD[[#This Row],[META]]&gt;0,(T_PROD[[#This Row],[META]]/T_PROD[[#This Row],[PREVISTO]]),""),"")</f>
        <v/>
      </c>
      <c r="K1047" s="15" t="str">
        <f>IFERROR(IF(T_PROD[[#This Row],[PRODUÇÃO]]&gt;0,(T_PROD[[#This Row],[PRODUÇÃO]]/T_PROD[[#This Row],[EFETIVO]]),""),"")</f>
        <v/>
      </c>
    </row>
    <row r="1048" spans="1:11" x14ac:dyDescent="0.3">
      <c r="A1048" s="11">
        <v>46198</v>
      </c>
      <c r="B1048" s="12" t="str">
        <f t="shared" si="115"/>
        <v>JUNHO</v>
      </c>
      <c r="C1048" s="12" t="s">
        <v>17</v>
      </c>
      <c r="D1048" s="12" t="s">
        <v>12</v>
      </c>
      <c r="E1048" s="13"/>
      <c r="F1048" s="13"/>
      <c r="G1048" s="12"/>
      <c r="H1048" s="14"/>
      <c r="I1048" s="12">
        <f>IFERROR(IF(T_PROD[[#This Row],[PREVISTO]]-T_PROD[[#This Row],[EFETIVO]]&lt; 0,0,T_PROD[[#This Row],[PREVISTO]]-T_PROD[[#This Row],[EFETIVO]] ),"")</f>
        <v>0</v>
      </c>
      <c r="J1048" s="15" t="str">
        <f>IFERROR(IF(T_PROD[[#This Row],[META]]&gt;0,(T_PROD[[#This Row],[META]]/T_PROD[[#This Row],[PREVISTO]]),""),"")</f>
        <v/>
      </c>
      <c r="K1048" s="15" t="str">
        <f>IFERROR(IF(T_PROD[[#This Row],[PRODUÇÃO]]&gt;0,(T_PROD[[#This Row],[PRODUÇÃO]]/T_PROD[[#This Row],[EFETIVO]]),""),"")</f>
        <v/>
      </c>
    </row>
    <row r="1049" spans="1:11" x14ac:dyDescent="0.3">
      <c r="A1049" s="11">
        <v>46198</v>
      </c>
      <c r="B1049" s="12" t="str">
        <f t="shared" si="115"/>
        <v>JUNHO</v>
      </c>
      <c r="C1049" s="12" t="s">
        <v>18</v>
      </c>
      <c r="D1049" s="12" t="s">
        <v>12</v>
      </c>
      <c r="E1049" s="13"/>
      <c r="F1049" s="13"/>
      <c r="G1049" s="12"/>
      <c r="H1049" s="14"/>
      <c r="I1049" s="12">
        <f>IFERROR(IF(T_PROD[[#This Row],[PREVISTO]]-T_PROD[[#This Row],[EFETIVO]]&lt; 0,0,T_PROD[[#This Row],[PREVISTO]]-T_PROD[[#This Row],[EFETIVO]] ),"")</f>
        <v>0</v>
      </c>
      <c r="J1049" s="15" t="str">
        <f>IFERROR(IF(T_PROD[[#This Row],[META]]&gt;0,(T_PROD[[#This Row],[META]]/T_PROD[[#This Row],[PREVISTO]]),""),"")</f>
        <v/>
      </c>
      <c r="K1049" s="15" t="str">
        <f>IFERROR(IF(T_PROD[[#This Row],[PRODUÇÃO]]&gt;0,(T_PROD[[#This Row],[PRODUÇÃO]]/T_PROD[[#This Row],[EFETIVO]]),""),"")</f>
        <v/>
      </c>
    </row>
    <row r="1050" spans="1:11" x14ac:dyDescent="0.3">
      <c r="A1050" s="11">
        <v>46198</v>
      </c>
      <c r="B1050" s="12" t="str">
        <f t="shared" si="115"/>
        <v>JUNHO</v>
      </c>
      <c r="C1050" s="12" t="s">
        <v>19</v>
      </c>
      <c r="D1050" s="12" t="s">
        <v>12</v>
      </c>
      <c r="E1050" s="13"/>
      <c r="F1050" s="13"/>
      <c r="G1050" s="12"/>
      <c r="H1050" s="14"/>
      <c r="I1050" s="12">
        <f>IFERROR(IF(T_PROD[[#This Row],[PREVISTO]]-T_PROD[[#This Row],[EFETIVO]]&lt; 0,0,T_PROD[[#This Row],[PREVISTO]]-T_PROD[[#This Row],[EFETIVO]] ),"")</f>
        <v>0</v>
      </c>
      <c r="J1050" s="15" t="str">
        <f>IFERROR(IF(T_PROD[[#This Row],[META]]&gt;0,(T_PROD[[#This Row],[META]]/T_PROD[[#This Row],[PREVISTO]]),""),"")</f>
        <v/>
      </c>
      <c r="K1050" s="15" t="str">
        <f>IFERROR(IF(T_PROD[[#This Row],[PRODUÇÃO]]&gt;0,(T_PROD[[#This Row],[PRODUÇÃO]]/T_PROD[[#This Row],[EFETIVO]]),""),"")</f>
        <v/>
      </c>
    </row>
    <row r="1051" spans="1:11" x14ac:dyDescent="0.3">
      <c r="A1051" s="11">
        <v>46198</v>
      </c>
      <c r="B1051" s="12" t="str">
        <f t="shared" si="115"/>
        <v>JUNHO</v>
      </c>
      <c r="C1051" s="12" t="s">
        <v>20</v>
      </c>
      <c r="D1051" s="12" t="s">
        <v>12</v>
      </c>
      <c r="E1051" s="13">
        <v>113</v>
      </c>
      <c r="F1051" s="13">
        <v>49</v>
      </c>
      <c r="G1051" s="12">
        <v>90</v>
      </c>
      <c r="H1051" s="14">
        <v>90</v>
      </c>
      <c r="I1051" s="12">
        <f>IFERROR(IF(T_PROD[[#This Row],[PREVISTO]]-T_PROD[[#This Row],[EFETIVO]]&lt; 0,0,T_PROD[[#This Row],[PREVISTO]]-T_PROD[[#This Row],[EFETIVO]] ),"")</f>
        <v>0</v>
      </c>
      <c r="J1051" s="15">
        <f>IFERROR(IF(T_PROD[[#This Row],[META]]&gt;0,(T_PROD[[#This Row],[META]]/T_PROD[[#This Row],[PREVISTO]]),""),"")</f>
        <v>1.2555555555555555</v>
      </c>
      <c r="K1051" s="15">
        <f>IFERROR(IF(T_PROD[[#This Row],[PRODUÇÃO]]&gt;0,(T_PROD[[#This Row],[PRODUÇÃO]]/T_PROD[[#This Row],[EFETIVO]]),""),"")</f>
        <v>0.5444444444444444</v>
      </c>
    </row>
    <row r="1052" spans="1:11" x14ac:dyDescent="0.3">
      <c r="A1052" s="11">
        <v>46198</v>
      </c>
      <c r="B1052" s="12" t="str">
        <f t="shared" si="115"/>
        <v>JUNHO</v>
      </c>
      <c r="C1052" s="12" t="s">
        <v>11</v>
      </c>
      <c r="D1052" s="12" t="s">
        <v>12</v>
      </c>
      <c r="E1052" s="13">
        <v>700</v>
      </c>
      <c r="F1052" s="13">
        <v>703</v>
      </c>
      <c r="G1052" s="12">
        <v>35</v>
      </c>
      <c r="H1052" s="14">
        <v>35</v>
      </c>
      <c r="I1052" s="12">
        <f>IFERROR(IF(T_PROD[[#This Row],[PREVISTO]]-T_PROD[[#This Row],[EFETIVO]]&lt; 0,0,T_PROD[[#This Row],[PREVISTO]]-T_PROD[[#This Row],[EFETIVO]] ),"")</f>
        <v>0</v>
      </c>
      <c r="J1052" s="15">
        <f>IFERROR(IF(T_PROD[[#This Row],[META]]&gt;0,(T_PROD[[#This Row],[META]]/T_PROD[[#This Row],[PREVISTO]]),""),"")</f>
        <v>20</v>
      </c>
      <c r="K1052" s="15">
        <f>IFERROR(IF(T_PROD[[#This Row],[PRODUÇÃO]]&gt;0,(T_PROD[[#This Row],[PRODUÇÃO]]/T_PROD[[#This Row],[EFETIVO]]),""),"")</f>
        <v>20.085714285714285</v>
      </c>
    </row>
    <row r="1053" spans="1:11" x14ac:dyDescent="0.3">
      <c r="A1053" s="11">
        <v>46198</v>
      </c>
      <c r="B1053" s="12" t="str">
        <f t="shared" si="115"/>
        <v>JUNHO</v>
      </c>
      <c r="C1053" s="12" t="s">
        <v>32</v>
      </c>
      <c r="D1053" s="12" t="s">
        <v>12</v>
      </c>
      <c r="E1053" s="13">
        <v>33</v>
      </c>
      <c r="F1053" s="13">
        <v>30</v>
      </c>
      <c r="G1053" s="12">
        <v>3</v>
      </c>
      <c r="H1053" s="14">
        <v>3</v>
      </c>
      <c r="I1053" s="12">
        <f>IFERROR(IF(T_PROD[[#This Row],[PREVISTO]]-T_PROD[[#This Row],[EFETIVO]]&lt; 0,0,T_PROD[[#This Row],[PREVISTO]]-T_PROD[[#This Row],[EFETIVO]] ),"")</f>
        <v>0</v>
      </c>
      <c r="J1053" s="15">
        <f>IFERROR(IF(T_PROD[[#This Row],[META]]&gt;0,(T_PROD[[#This Row],[META]]/T_PROD[[#This Row],[PREVISTO]]),""),"")</f>
        <v>11</v>
      </c>
      <c r="K1053" s="15">
        <f>IFERROR(IF(T_PROD[[#This Row],[PRODUÇÃO]]&gt;0,(T_PROD[[#This Row],[PRODUÇÃO]]/T_PROD[[#This Row],[EFETIVO]]),""),"")</f>
        <v>10</v>
      </c>
    </row>
    <row r="1054" spans="1:11" x14ac:dyDescent="0.3">
      <c r="A1054" s="11">
        <v>46198</v>
      </c>
      <c r="B1054" s="12" t="str">
        <f t="shared" si="115"/>
        <v>JUNHO</v>
      </c>
      <c r="C1054" s="12" t="s">
        <v>14</v>
      </c>
      <c r="D1054" s="12" t="s">
        <v>12</v>
      </c>
      <c r="E1054" s="13">
        <v>730</v>
      </c>
      <c r="F1054" s="13">
        <v>733</v>
      </c>
      <c r="G1054" s="12">
        <v>95</v>
      </c>
      <c r="H1054" s="14">
        <v>90</v>
      </c>
      <c r="I1054" s="12">
        <f>IFERROR(IF(T_PROD[[#This Row],[PREVISTO]]-T_PROD[[#This Row],[EFETIVO]]&lt; 0,0,T_PROD[[#This Row],[PREVISTO]]-T_PROD[[#This Row],[EFETIVO]] ),"")</f>
        <v>5</v>
      </c>
      <c r="J1054" s="15">
        <f>IFERROR(IF(T_PROD[[#This Row],[META]]&gt;0,(T_PROD[[#This Row],[META]]/T_PROD[[#This Row],[PREVISTO]]),""),"")</f>
        <v>7.6842105263157894</v>
      </c>
      <c r="K1054" s="15">
        <f>IFERROR(IF(T_PROD[[#This Row],[PRODUÇÃO]]&gt;0,(T_PROD[[#This Row],[PRODUÇÃO]]/T_PROD[[#This Row],[EFETIVO]]),""),"")</f>
        <v>8.1444444444444439</v>
      </c>
    </row>
    <row r="1055" spans="1:11" x14ac:dyDescent="0.3">
      <c r="A1055" s="11">
        <v>46199</v>
      </c>
      <c r="B1055" s="12" t="str">
        <f>UPPER(TEXT(A1055,"MMMM"))</f>
        <v>JUNHO</v>
      </c>
      <c r="C1055" s="12" t="s">
        <v>15</v>
      </c>
      <c r="D1055" s="12" t="s">
        <v>12</v>
      </c>
      <c r="E1055" s="13">
        <v>82.5</v>
      </c>
      <c r="F1055" s="13">
        <v>45</v>
      </c>
      <c r="G1055" s="12">
        <v>5.5</v>
      </c>
      <c r="H1055" s="14">
        <v>5.5</v>
      </c>
      <c r="I1055" s="12">
        <f>IFERROR(IF(T_PROD[[#This Row],[PREVISTO]]-T_PROD[[#This Row],[EFETIVO]]&lt; 0,0,T_PROD[[#This Row],[PREVISTO]]-T_PROD[[#This Row],[EFETIVO]] ),"")</f>
        <v>0</v>
      </c>
      <c r="J1055" s="15">
        <f>IFERROR(IF(T_PROD[[#This Row],[META]]&gt;0,(T_PROD[[#This Row],[META]]/T_PROD[[#This Row],[PREVISTO]]),""),"")</f>
        <v>15</v>
      </c>
      <c r="K1055" s="15">
        <f>IFERROR(IF(T_PROD[[#This Row],[PRODUÇÃO]]&gt;0,(T_PROD[[#This Row],[PRODUÇÃO]]/T_PROD[[#This Row],[EFETIVO]]),""),"")</f>
        <v>8.1818181818181817</v>
      </c>
    </row>
    <row r="1056" spans="1:11" x14ac:dyDescent="0.3">
      <c r="A1056" s="11">
        <v>46199</v>
      </c>
      <c r="B1056" s="12" t="str">
        <f t="shared" ref="B1056:B1063" si="116">UPPER(TEXT(A1056,"MMMM"))</f>
        <v>JUNHO</v>
      </c>
      <c r="C1056" s="12" t="s">
        <v>16</v>
      </c>
      <c r="D1056" s="12" t="s">
        <v>12</v>
      </c>
      <c r="E1056" s="13">
        <v>17</v>
      </c>
      <c r="F1056" s="13">
        <v>18</v>
      </c>
      <c r="G1056" s="12">
        <v>0.5</v>
      </c>
      <c r="H1056" s="14">
        <v>0.5</v>
      </c>
      <c r="I1056" s="12">
        <f>IFERROR(IF(T_PROD[[#This Row],[PREVISTO]]-T_PROD[[#This Row],[EFETIVO]]&lt; 0,0,T_PROD[[#This Row],[PREVISTO]]-T_PROD[[#This Row],[EFETIVO]] ),"")</f>
        <v>0</v>
      </c>
      <c r="J1056" s="15">
        <f>IFERROR(IF(T_PROD[[#This Row],[META]]&gt;0,(T_PROD[[#This Row],[META]]/T_PROD[[#This Row],[PREVISTO]]),""),"")</f>
        <v>34</v>
      </c>
      <c r="K1056" s="15">
        <f>IFERROR(IF(T_PROD[[#This Row],[PRODUÇÃO]]&gt;0,(T_PROD[[#This Row],[PRODUÇÃO]]/T_PROD[[#This Row],[EFETIVO]]),""),"")</f>
        <v>36</v>
      </c>
    </row>
    <row r="1057" spans="1:11" x14ac:dyDescent="0.3">
      <c r="A1057" s="11">
        <v>46199</v>
      </c>
      <c r="B1057" s="12" t="str">
        <f t="shared" si="116"/>
        <v>JUNHO</v>
      </c>
      <c r="C1057" s="12" t="s">
        <v>17</v>
      </c>
      <c r="D1057" s="12" t="s">
        <v>12</v>
      </c>
      <c r="E1057" s="13">
        <v>176</v>
      </c>
      <c r="F1057" s="13">
        <v>216</v>
      </c>
      <c r="G1057" s="12">
        <v>11</v>
      </c>
      <c r="H1057" s="14">
        <v>11</v>
      </c>
      <c r="I1057" s="12">
        <f>IFERROR(IF(T_PROD[[#This Row],[PREVISTO]]-T_PROD[[#This Row],[EFETIVO]]&lt; 0,0,T_PROD[[#This Row],[PREVISTO]]-T_PROD[[#This Row],[EFETIVO]] ),"")</f>
        <v>0</v>
      </c>
      <c r="J1057" s="15">
        <f>IFERROR(IF(T_PROD[[#This Row],[META]]&gt;0,(T_PROD[[#This Row],[META]]/T_PROD[[#This Row],[PREVISTO]]),""),"")</f>
        <v>16</v>
      </c>
      <c r="K1057" s="15">
        <f>IFERROR(IF(T_PROD[[#This Row],[PRODUÇÃO]]&gt;0,(T_PROD[[#This Row],[PRODUÇÃO]]/T_PROD[[#This Row],[EFETIVO]]),""),"")</f>
        <v>19.636363636363637</v>
      </c>
    </row>
    <row r="1058" spans="1:11" x14ac:dyDescent="0.3">
      <c r="A1058" s="11">
        <v>46199</v>
      </c>
      <c r="B1058" s="12" t="str">
        <f t="shared" si="116"/>
        <v>JUNHO</v>
      </c>
      <c r="C1058" s="12" t="s">
        <v>18</v>
      </c>
      <c r="D1058" s="12" t="s">
        <v>12</v>
      </c>
      <c r="E1058" s="13"/>
      <c r="F1058" s="13"/>
      <c r="G1058" s="12"/>
      <c r="H1058" s="14"/>
      <c r="I1058" s="12">
        <f>IFERROR(IF(T_PROD[[#This Row],[PREVISTO]]-T_PROD[[#This Row],[EFETIVO]]&lt; 0,0,T_PROD[[#This Row],[PREVISTO]]-T_PROD[[#This Row],[EFETIVO]] ),"")</f>
        <v>0</v>
      </c>
      <c r="J1058" s="15" t="str">
        <f>IFERROR(IF(T_PROD[[#This Row],[META]]&gt;0,(T_PROD[[#This Row],[META]]/T_PROD[[#This Row],[PREVISTO]]),""),"")</f>
        <v/>
      </c>
      <c r="K1058" s="15" t="str">
        <f>IFERROR(IF(T_PROD[[#This Row],[PRODUÇÃO]]&gt;0,(T_PROD[[#This Row],[PRODUÇÃO]]/T_PROD[[#This Row],[EFETIVO]]),""),"")</f>
        <v/>
      </c>
    </row>
    <row r="1059" spans="1:11" x14ac:dyDescent="0.3">
      <c r="A1059" s="11">
        <v>46199</v>
      </c>
      <c r="B1059" s="12" t="str">
        <f t="shared" si="116"/>
        <v>JUNHO</v>
      </c>
      <c r="C1059" s="12" t="s">
        <v>19</v>
      </c>
      <c r="D1059" s="12" t="s">
        <v>12</v>
      </c>
      <c r="E1059" s="13"/>
      <c r="F1059" s="13"/>
      <c r="G1059" s="12"/>
      <c r="H1059" s="14"/>
      <c r="I1059" s="12">
        <f>IFERROR(IF(T_PROD[[#This Row],[PREVISTO]]-T_PROD[[#This Row],[EFETIVO]]&lt; 0,0,T_PROD[[#This Row],[PREVISTO]]-T_PROD[[#This Row],[EFETIVO]] ),"")</f>
        <v>0</v>
      </c>
      <c r="J1059" s="15" t="str">
        <f>IFERROR(IF(T_PROD[[#This Row],[META]]&gt;0,(T_PROD[[#This Row],[META]]/T_PROD[[#This Row],[PREVISTO]]),""),"")</f>
        <v/>
      </c>
      <c r="K1059" s="15" t="str">
        <f>IFERROR(IF(T_PROD[[#This Row],[PRODUÇÃO]]&gt;0,(T_PROD[[#This Row],[PRODUÇÃO]]/T_PROD[[#This Row],[EFETIVO]]),""),"")</f>
        <v/>
      </c>
    </row>
    <row r="1060" spans="1:11" x14ac:dyDescent="0.3">
      <c r="A1060" s="11">
        <v>46199</v>
      </c>
      <c r="B1060" s="12" t="str">
        <f t="shared" si="116"/>
        <v>JUNHO</v>
      </c>
      <c r="C1060" s="12" t="s">
        <v>20</v>
      </c>
      <c r="D1060" s="12" t="s">
        <v>12</v>
      </c>
      <c r="E1060" s="13">
        <v>276</v>
      </c>
      <c r="F1060" s="13">
        <v>279</v>
      </c>
      <c r="G1060" s="12">
        <v>90</v>
      </c>
      <c r="H1060" s="14">
        <v>90</v>
      </c>
      <c r="I1060" s="12">
        <f>IFERROR(IF(T_PROD[[#This Row],[PREVISTO]]-T_PROD[[#This Row],[EFETIVO]]&lt; 0,0,T_PROD[[#This Row],[PREVISTO]]-T_PROD[[#This Row],[EFETIVO]] ),"")</f>
        <v>0</v>
      </c>
      <c r="J1060" s="15">
        <f>IFERROR(IF(T_PROD[[#This Row],[META]]&gt;0,(T_PROD[[#This Row],[META]]/T_PROD[[#This Row],[PREVISTO]]),""),"")</f>
        <v>3.0666666666666669</v>
      </c>
      <c r="K1060" s="15">
        <f>IFERROR(IF(T_PROD[[#This Row],[PRODUÇÃO]]&gt;0,(T_PROD[[#This Row],[PRODUÇÃO]]/T_PROD[[#This Row],[EFETIVO]]),""),"")</f>
        <v>3.1</v>
      </c>
    </row>
    <row r="1061" spans="1:11" x14ac:dyDescent="0.3">
      <c r="A1061" s="11">
        <v>46199</v>
      </c>
      <c r="B1061" s="12" t="str">
        <f t="shared" si="116"/>
        <v>JUNHO</v>
      </c>
      <c r="C1061" s="12" t="s">
        <v>11</v>
      </c>
      <c r="D1061" s="12" t="s">
        <v>12</v>
      </c>
      <c r="E1061" s="13">
        <v>620</v>
      </c>
      <c r="F1061" s="13">
        <v>580</v>
      </c>
      <c r="G1061" s="12">
        <v>31</v>
      </c>
      <c r="H1061" s="14">
        <v>28</v>
      </c>
      <c r="I1061" s="12">
        <f>IFERROR(IF(T_PROD[[#This Row],[PREVISTO]]-T_PROD[[#This Row],[EFETIVO]]&lt; 0,0,T_PROD[[#This Row],[PREVISTO]]-T_PROD[[#This Row],[EFETIVO]] ),"")</f>
        <v>3</v>
      </c>
      <c r="J1061" s="15">
        <f>IFERROR(IF(T_PROD[[#This Row],[META]]&gt;0,(T_PROD[[#This Row],[META]]/T_PROD[[#This Row],[PREVISTO]]),""),"")</f>
        <v>20</v>
      </c>
      <c r="K1061" s="15">
        <f>IFERROR(IF(T_PROD[[#This Row],[PRODUÇÃO]]&gt;0,(T_PROD[[#This Row],[PRODUÇÃO]]/T_PROD[[#This Row],[EFETIVO]]),""),"")</f>
        <v>20.714285714285715</v>
      </c>
    </row>
    <row r="1062" spans="1:11" x14ac:dyDescent="0.3">
      <c r="A1062" s="11">
        <v>46199</v>
      </c>
      <c r="B1062" s="12" t="str">
        <f t="shared" si="116"/>
        <v>JUNHO</v>
      </c>
      <c r="C1062" s="12" t="s">
        <v>32</v>
      </c>
      <c r="D1062" s="12" t="s">
        <v>12</v>
      </c>
      <c r="E1062" s="13">
        <v>22</v>
      </c>
      <c r="F1062" s="13">
        <v>20</v>
      </c>
      <c r="G1062" s="12">
        <v>2</v>
      </c>
      <c r="H1062" s="14">
        <v>2</v>
      </c>
      <c r="I1062" s="12">
        <f>IFERROR(IF(T_PROD[[#This Row],[PREVISTO]]-T_PROD[[#This Row],[EFETIVO]]&lt; 0,0,T_PROD[[#This Row],[PREVISTO]]-T_PROD[[#This Row],[EFETIVO]] ),"")</f>
        <v>0</v>
      </c>
      <c r="J1062" s="15">
        <f>IFERROR(IF(T_PROD[[#This Row],[META]]&gt;0,(T_PROD[[#This Row],[META]]/T_PROD[[#This Row],[PREVISTO]]),""),"")</f>
        <v>11</v>
      </c>
      <c r="K1062" s="15">
        <f>IFERROR(IF(T_PROD[[#This Row],[PRODUÇÃO]]&gt;0,(T_PROD[[#This Row],[PRODUÇÃO]]/T_PROD[[#This Row],[EFETIVO]]),""),"")</f>
        <v>10</v>
      </c>
    </row>
    <row r="1063" spans="1:11" x14ac:dyDescent="0.3">
      <c r="A1063" s="11">
        <v>46199</v>
      </c>
      <c r="B1063" s="12" t="str">
        <f t="shared" si="116"/>
        <v>JUNHO</v>
      </c>
      <c r="C1063" s="12" t="s">
        <v>14</v>
      </c>
      <c r="D1063" s="12" t="s">
        <v>12</v>
      </c>
      <c r="E1063" s="13">
        <v>642</v>
      </c>
      <c r="F1063" s="13">
        <v>600</v>
      </c>
      <c r="G1063" s="12">
        <v>80</v>
      </c>
      <c r="H1063" s="14">
        <v>76</v>
      </c>
      <c r="I1063" s="12">
        <f>IFERROR(IF(T_PROD[[#This Row],[PREVISTO]]-T_PROD[[#This Row],[EFETIVO]]&lt; 0,0,T_PROD[[#This Row],[PREVISTO]]-T_PROD[[#This Row],[EFETIVO]] ),"")</f>
        <v>4</v>
      </c>
      <c r="J1063" s="15">
        <f>IFERROR(IF(T_PROD[[#This Row],[META]]&gt;0,(T_PROD[[#This Row],[META]]/T_PROD[[#This Row],[PREVISTO]]),""),"")</f>
        <v>8.0250000000000004</v>
      </c>
      <c r="K1063" s="15">
        <f>IFERROR(IF(T_PROD[[#This Row],[PRODUÇÃO]]&gt;0,(T_PROD[[#This Row],[PRODUÇÃO]]/T_PROD[[#This Row],[EFETIVO]]),""),"")</f>
        <v>7.8947368421052628</v>
      </c>
    </row>
    <row r="1064" spans="1:11" x14ac:dyDescent="0.3">
      <c r="A1064" s="11">
        <v>46202</v>
      </c>
      <c r="B1064" s="12" t="str">
        <f>UPPER(TEXT(A1064,"MMMM"))</f>
        <v>JUNHO</v>
      </c>
      <c r="C1064" s="12" t="s">
        <v>15</v>
      </c>
      <c r="D1064" s="12" t="s">
        <v>12</v>
      </c>
      <c r="E1064" s="13">
        <v>82.5</v>
      </c>
      <c r="F1064" s="13">
        <v>37</v>
      </c>
      <c r="G1064" s="12">
        <v>5.5</v>
      </c>
      <c r="H1064" s="14">
        <v>5.5</v>
      </c>
      <c r="I1064" s="12">
        <f>IFERROR(IF(T_PROD[[#This Row],[PREVISTO]]-T_PROD[[#This Row],[EFETIVO]]&lt; 0,0,T_PROD[[#This Row],[PREVISTO]]-T_PROD[[#This Row],[EFETIVO]] ),"")</f>
        <v>0</v>
      </c>
      <c r="J1064" s="15">
        <f>IFERROR(IF(T_PROD[[#This Row],[META]]&gt;0,(T_PROD[[#This Row],[META]]/T_PROD[[#This Row],[PREVISTO]]),""),"")</f>
        <v>15</v>
      </c>
      <c r="K1064" s="15">
        <f>IFERROR(IF(T_PROD[[#This Row],[PRODUÇÃO]]&gt;0,(T_PROD[[#This Row],[PRODUÇÃO]]/T_PROD[[#This Row],[EFETIVO]]),""),"")</f>
        <v>6.7272727272727275</v>
      </c>
    </row>
    <row r="1065" spans="1:11" x14ac:dyDescent="0.3">
      <c r="A1065" s="11">
        <v>46202</v>
      </c>
      <c r="B1065" s="12" t="str">
        <f t="shared" ref="B1065:B1072" si="117">UPPER(TEXT(A1065,"MMMM"))</f>
        <v>JUNHO</v>
      </c>
      <c r="C1065" s="12" t="s">
        <v>16</v>
      </c>
      <c r="D1065" s="12" t="s">
        <v>12</v>
      </c>
      <c r="E1065" s="13">
        <v>119</v>
      </c>
      <c r="F1065" s="13">
        <v>81</v>
      </c>
      <c r="G1065" s="12">
        <v>3.5</v>
      </c>
      <c r="H1065" s="14">
        <v>3.5</v>
      </c>
      <c r="I1065" s="12">
        <f>IFERROR(IF(T_PROD[[#This Row],[PREVISTO]]-T_PROD[[#This Row],[EFETIVO]]&lt; 0,0,T_PROD[[#This Row],[PREVISTO]]-T_PROD[[#This Row],[EFETIVO]] ),"")</f>
        <v>0</v>
      </c>
      <c r="J1065" s="15">
        <f>IFERROR(IF(T_PROD[[#This Row],[META]]&gt;0,(T_PROD[[#This Row],[META]]/T_PROD[[#This Row],[PREVISTO]]),""),"")</f>
        <v>34</v>
      </c>
      <c r="K1065" s="15">
        <f>IFERROR(IF(T_PROD[[#This Row],[PRODUÇÃO]]&gt;0,(T_PROD[[#This Row],[PRODUÇÃO]]/T_PROD[[#This Row],[EFETIVO]]),""),"")</f>
        <v>23.142857142857142</v>
      </c>
    </row>
    <row r="1066" spans="1:11" x14ac:dyDescent="0.3">
      <c r="A1066" s="11">
        <v>46202</v>
      </c>
      <c r="B1066" s="12" t="str">
        <f t="shared" si="117"/>
        <v>JUNHO</v>
      </c>
      <c r="C1066" s="12" t="s">
        <v>17</v>
      </c>
      <c r="D1066" s="12" t="s">
        <v>12</v>
      </c>
      <c r="E1066" s="13">
        <v>168</v>
      </c>
      <c r="F1066" s="13">
        <v>251</v>
      </c>
      <c r="G1066" s="12">
        <v>10.5</v>
      </c>
      <c r="H1066" s="14">
        <v>10.5</v>
      </c>
      <c r="I1066" s="12">
        <f>IFERROR(IF(T_PROD[[#This Row],[PREVISTO]]-T_PROD[[#This Row],[EFETIVO]]&lt; 0,0,T_PROD[[#This Row],[PREVISTO]]-T_PROD[[#This Row],[EFETIVO]] ),"")</f>
        <v>0</v>
      </c>
      <c r="J1066" s="15">
        <f>IFERROR(IF(T_PROD[[#This Row],[META]]&gt;0,(T_PROD[[#This Row],[META]]/T_PROD[[#This Row],[PREVISTO]]),""),"")</f>
        <v>16</v>
      </c>
      <c r="K1066" s="15">
        <f>IFERROR(IF(T_PROD[[#This Row],[PRODUÇÃO]]&gt;0,(T_PROD[[#This Row],[PRODUÇÃO]]/T_PROD[[#This Row],[EFETIVO]]),""),"")</f>
        <v>23.904761904761905</v>
      </c>
    </row>
    <row r="1067" spans="1:11" x14ac:dyDescent="0.3">
      <c r="A1067" s="11">
        <v>46202</v>
      </c>
      <c r="B1067" s="12" t="str">
        <f t="shared" si="117"/>
        <v>JUNHO</v>
      </c>
      <c r="C1067" s="12" t="s">
        <v>18</v>
      </c>
      <c r="D1067" s="12" t="s">
        <v>12</v>
      </c>
      <c r="E1067" s="13"/>
      <c r="F1067" s="13"/>
      <c r="G1067" s="12"/>
      <c r="H1067" s="14"/>
      <c r="I1067" s="12">
        <f>IFERROR(IF(T_PROD[[#This Row],[PREVISTO]]-T_PROD[[#This Row],[EFETIVO]]&lt; 0,0,T_PROD[[#This Row],[PREVISTO]]-T_PROD[[#This Row],[EFETIVO]] ),"")</f>
        <v>0</v>
      </c>
      <c r="J1067" s="15" t="str">
        <f>IFERROR(IF(T_PROD[[#This Row],[META]]&gt;0,(T_PROD[[#This Row],[META]]/T_PROD[[#This Row],[PREVISTO]]),""),"")</f>
        <v/>
      </c>
      <c r="K1067" s="15" t="str">
        <f>IFERROR(IF(T_PROD[[#This Row],[PRODUÇÃO]]&gt;0,(T_PROD[[#This Row],[PRODUÇÃO]]/T_PROD[[#This Row],[EFETIVO]]),""),"")</f>
        <v/>
      </c>
    </row>
    <row r="1068" spans="1:11" x14ac:dyDescent="0.3">
      <c r="A1068" s="11">
        <v>46202</v>
      </c>
      <c r="B1068" s="12" t="str">
        <f t="shared" si="117"/>
        <v>JUNHO</v>
      </c>
      <c r="C1068" s="12" t="s">
        <v>19</v>
      </c>
      <c r="D1068" s="12" t="s">
        <v>12</v>
      </c>
      <c r="E1068" s="13"/>
      <c r="F1068" s="13"/>
      <c r="G1068" s="12"/>
      <c r="H1068" s="14"/>
      <c r="I1068" s="12">
        <f>IFERROR(IF(T_PROD[[#This Row],[PREVISTO]]-T_PROD[[#This Row],[EFETIVO]]&lt; 0,0,T_PROD[[#This Row],[PREVISTO]]-T_PROD[[#This Row],[EFETIVO]] ),"")</f>
        <v>0</v>
      </c>
      <c r="J1068" s="15" t="str">
        <f>IFERROR(IF(T_PROD[[#This Row],[META]]&gt;0,(T_PROD[[#This Row],[META]]/T_PROD[[#This Row],[PREVISTO]]),""),"")</f>
        <v/>
      </c>
      <c r="K1068" s="15" t="str">
        <f>IFERROR(IF(T_PROD[[#This Row],[PRODUÇÃO]]&gt;0,(T_PROD[[#This Row],[PRODUÇÃO]]/T_PROD[[#This Row],[EFETIVO]]),""),"")</f>
        <v/>
      </c>
    </row>
    <row r="1069" spans="1:11" x14ac:dyDescent="0.3">
      <c r="A1069" s="11">
        <v>46202</v>
      </c>
      <c r="B1069" s="12" t="str">
        <f t="shared" si="117"/>
        <v>JUNHO</v>
      </c>
      <c r="C1069" s="12" t="s">
        <v>20</v>
      </c>
      <c r="D1069" s="12" t="s">
        <v>12</v>
      </c>
      <c r="E1069" s="13">
        <v>370</v>
      </c>
      <c r="F1069" s="13">
        <v>369</v>
      </c>
      <c r="G1069" s="12">
        <v>90</v>
      </c>
      <c r="H1069" s="14">
        <v>90</v>
      </c>
      <c r="I1069" s="12">
        <f>IFERROR(IF(T_PROD[[#This Row],[PREVISTO]]-T_PROD[[#This Row],[EFETIVO]]&lt; 0,0,T_PROD[[#This Row],[PREVISTO]]-T_PROD[[#This Row],[EFETIVO]] ),"")</f>
        <v>0</v>
      </c>
      <c r="J1069" s="15">
        <f>IFERROR(IF(T_PROD[[#This Row],[META]]&gt;0,(T_PROD[[#This Row],[META]]/T_PROD[[#This Row],[PREVISTO]]),""),"")</f>
        <v>4.1111111111111107</v>
      </c>
      <c r="K1069" s="15">
        <f>IFERROR(IF(T_PROD[[#This Row],[PRODUÇÃO]]&gt;0,(T_PROD[[#This Row],[PRODUÇÃO]]/T_PROD[[#This Row],[EFETIVO]]),""),"")</f>
        <v>4.0999999999999996</v>
      </c>
    </row>
    <row r="1070" spans="1:11" x14ac:dyDescent="0.3">
      <c r="A1070" s="11">
        <v>46202</v>
      </c>
      <c r="B1070" s="12" t="str">
        <f t="shared" si="117"/>
        <v>JUNHO</v>
      </c>
      <c r="C1070" s="12" t="s">
        <v>11</v>
      </c>
      <c r="D1070" s="12" t="s">
        <v>12</v>
      </c>
      <c r="E1070" s="13">
        <v>840</v>
      </c>
      <c r="F1070" s="13">
        <v>873</v>
      </c>
      <c r="G1070" s="12">
        <v>42</v>
      </c>
      <c r="H1070" s="14">
        <v>42</v>
      </c>
      <c r="I1070" s="12">
        <f>IFERROR(IF(T_PROD[[#This Row],[PREVISTO]]-T_PROD[[#This Row],[EFETIVO]]&lt; 0,0,T_PROD[[#This Row],[PREVISTO]]-T_PROD[[#This Row],[EFETIVO]] ),"")</f>
        <v>0</v>
      </c>
      <c r="J1070" s="15">
        <f>IFERROR(IF(T_PROD[[#This Row],[META]]&gt;0,(T_PROD[[#This Row],[META]]/T_PROD[[#This Row],[PREVISTO]]),""),"")</f>
        <v>20</v>
      </c>
      <c r="K1070" s="15">
        <f>IFERROR(IF(T_PROD[[#This Row],[PRODUÇÃO]]&gt;0,(T_PROD[[#This Row],[PRODUÇÃO]]/T_PROD[[#This Row],[EFETIVO]]),""),"")</f>
        <v>20.785714285714285</v>
      </c>
    </row>
    <row r="1071" spans="1:11" x14ac:dyDescent="0.3">
      <c r="A1071" s="11">
        <v>46202</v>
      </c>
      <c r="B1071" s="12" t="str">
        <f t="shared" si="117"/>
        <v>JUNHO</v>
      </c>
      <c r="C1071" s="12" t="s">
        <v>32</v>
      </c>
      <c r="D1071" s="12" t="s">
        <v>12</v>
      </c>
      <c r="E1071" s="13">
        <v>22</v>
      </c>
      <c r="F1071" s="13">
        <v>26</v>
      </c>
      <c r="G1071" s="12">
        <v>2</v>
      </c>
      <c r="H1071" s="14">
        <v>2</v>
      </c>
      <c r="I1071" s="12">
        <f>IFERROR(IF(T_PROD[[#This Row],[PREVISTO]]-T_PROD[[#This Row],[EFETIVO]]&lt; 0,0,T_PROD[[#This Row],[PREVISTO]]-T_PROD[[#This Row],[EFETIVO]] ),"")</f>
        <v>0</v>
      </c>
      <c r="J1071" s="15">
        <f>IFERROR(IF(T_PROD[[#This Row],[META]]&gt;0,(T_PROD[[#This Row],[META]]/T_PROD[[#This Row],[PREVISTO]]),""),"")</f>
        <v>11</v>
      </c>
      <c r="K1071" s="15">
        <f>IFERROR(IF(T_PROD[[#This Row],[PRODUÇÃO]]&gt;0,(T_PROD[[#This Row],[PRODUÇÃO]]/T_PROD[[#This Row],[EFETIVO]]),""),"")</f>
        <v>13</v>
      </c>
    </row>
    <row r="1072" spans="1:11" x14ac:dyDescent="0.3">
      <c r="A1072" s="11">
        <v>46202</v>
      </c>
      <c r="B1072" s="12" t="str">
        <f t="shared" si="117"/>
        <v>JUNHO</v>
      </c>
      <c r="C1072" s="12" t="s">
        <v>14</v>
      </c>
      <c r="D1072" s="12" t="s">
        <v>12</v>
      </c>
      <c r="E1072" s="13">
        <v>862</v>
      </c>
      <c r="F1072" s="13">
        <v>900</v>
      </c>
      <c r="G1072" s="12">
        <v>95</v>
      </c>
      <c r="H1072" s="14">
        <v>95</v>
      </c>
      <c r="I1072" s="12">
        <f>IFERROR(IF(T_PROD[[#This Row],[PREVISTO]]-T_PROD[[#This Row],[EFETIVO]]&lt; 0,0,T_PROD[[#This Row],[PREVISTO]]-T_PROD[[#This Row],[EFETIVO]] ),"")</f>
        <v>0</v>
      </c>
      <c r="J1072" s="15">
        <f>IFERROR(IF(T_PROD[[#This Row],[META]]&gt;0,(T_PROD[[#This Row],[META]]/T_PROD[[#This Row],[PREVISTO]]),""),"")</f>
        <v>9.0736842105263165</v>
      </c>
      <c r="K1072" s="15">
        <f>IFERROR(IF(T_PROD[[#This Row],[PRODUÇÃO]]&gt;0,(T_PROD[[#This Row],[PRODUÇÃO]]/T_PROD[[#This Row],[EFETIVO]]),""),"")</f>
        <v>9.473684210526315</v>
      </c>
    </row>
    <row r="1073" spans="1:11" x14ac:dyDescent="0.3">
      <c r="A1073" s="11">
        <v>46203</v>
      </c>
      <c r="B1073" s="12" t="str">
        <f>UPPER(TEXT(A1073,"MMMM"))</f>
        <v>JUNHO</v>
      </c>
      <c r="C1073" s="12" t="s">
        <v>15</v>
      </c>
      <c r="D1073" s="12" t="s">
        <v>12</v>
      </c>
      <c r="E1073" s="13">
        <v>90</v>
      </c>
      <c r="F1073" s="13">
        <v>64</v>
      </c>
      <c r="G1073" s="12">
        <v>6</v>
      </c>
      <c r="H1073" s="14">
        <v>6</v>
      </c>
      <c r="I1073" s="12">
        <f>IFERROR(IF(T_PROD[[#This Row],[PREVISTO]]-T_PROD[[#This Row],[EFETIVO]]&lt; 0,0,T_PROD[[#This Row],[PREVISTO]]-T_PROD[[#This Row],[EFETIVO]] ),"")</f>
        <v>0</v>
      </c>
      <c r="J1073" s="15">
        <f>IFERROR(IF(T_PROD[[#This Row],[META]]&gt;0,(T_PROD[[#This Row],[META]]/T_PROD[[#This Row],[PREVISTO]]),""),"")</f>
        <v>15</v>
      </c>
      <c r="K1073" s="15">
        <f>IFERROR(IF(T_PROD[[#This Row],[PRODUÇÃO]]&gt;0,(T_PROD[[#This Row],[PRODUÇÃO]]/T_PROD[[#This Row],[EFETIVO]]),""),"")</f>
        <v>10.666666666666666</v>
      </c>
    </row>
    <row r="1074" spans="1:11" x14ac:dyDescent="0.3">
      <c r="A1074" s="11">
        <v>46203</v>
      </c>
      <c r="B1074" s="12" t="str">
        <f t="shared" ref="B1074:B1081" si="118">UPPER(TEXT(A1074,"MMMM"))</f>
        <v>JUNHO</v>
      </c>
      <c r="C1074" s="12" t="s">
        <v>16</v>
      </c>
      <c r="D1074" s="12" t="s">
        <v>12</v>
      </c>
      <c r="E1074" s="13">
        <v>153</v>
      </c>
      <c r="F1074" s="13">
        <v>97</v>
      </c>
      <c r="G1074" s="12">
        <v>4.5</v>
      </c>
      <c r="H1074" s="14">
        <v>4.5</v>
      </c>
      <c r="I1074" s="12">
        <f>IFERROR(IF(T_PROD[[#This Row],[PREVISTO]]-T_PROD[[#This Row],[EFETIVO]]&lt; 0,0,T_PROD[[#This Row],[PREVISTO]]-T_PROD[[#This Row],[EFETIVO]] ),"")</f>
        <v>0</v>
      </c>
      <c r="J1074" s="15">
        <f>IFERROR(IF(T_PROD[[#This Row],[META]]&gt;0,(T_PROD[[#This Row],[META]]/T_PROD[[#This Row],[PREVISTO]]),""),"")</f>
        <v>34</v>
      </c>
      <c r="K1074" s="15">
        <f>IFERROR(IF(T_PROD[[#This Row],[PRODUÇÃO]]&gt;0,(T_PROD[[#This Row],[PRODUÇÃO]]/T_PROD[[#This Row],[EFETIVO]]),""),"")</f>
        <v>21.555555555555557</v>
      </c>
    </row>
    <row r="1075" spans="1:11" x14ac:dyDescent="0.3">
      <c r="A1075" s="11">
        <v>46203</v>
      </c>
      <c r="B1075" s="12" t="str">
        <f t="shared" si="118"/>
        <v>JUNHO</v>
      </c>
      <c r="C1075" s="12" t="s">
        <v>17</v>
      </c>
      <c r="D1075" s="12" t="s">
        <v>12</v>
      </c>
      <c r="E1075" s="13">
        <v>176</v>
      </c>
      <c r="F1075" s="13">
        <v>218</v>
      </c>
      <c r="G1075" s="12">
        <v>11</v>
      </c>
      <c r="H1075" s="14">
        <v>11</v>
      </c>
      <c r="I1075" s="12">
        <f>IFERROR(IF(T_PROD[[#This Row],[PREVISTO]]-T_PROD[[#This Row],[EFETIVO]]&lt; 0,0,T_PROD[[#This Row],[PREVISTO]]-T_PROD[[#This Row],[EFETIVO]] ),"")</f>
        <v>0</v>
      </c>
      <c r="J1075" s="15">
        <f>IFERROR(IF(T_PROD[[#This Row],[META]]&gt;0,(T_PROD[[#This Row],[META]]/T_PROD[[#This Row],[PREVISTO]]),""),"")</f>
        <v>16</v>
      </c>
      <c r="K1075" s="15">
        <f>IFERROR(IF(T_PROD[[#This Row],[PRODUÇÃO]]&gt;0,(T_PROD[[#This Row],[PRODUÇÃO]]/T_PROD[[#This Row],[EFETIVO]]),""),"")</f>
        <v>19.818181818181817</v>
      </c>
    </row>
    <row r="1076" spans="1:11" x14ac:dyDescent="0.3">
      <c r="A1076" s="11">
        <v>46203</v>
      </c>
      <c r="B1076" s="12" t="str">
        <f t="shared" si="118"/>
        <v>JUNHO</v>
      </c>
      <c r="C1076" s="12" t="s">
        <v>18</v>
      </c>
      <c r="D1076" s="12" t="s">
        <v>12</v>
      </c>
      <c r="E1076" s="13"/>
      <c r="F1076" s="13"/>
      <c r="G1076" s="12"/>
      <c r="H1076" s="14"/>
      <c r="I1076" s="12">
        <f>IFERROR(IF(T_PROD[[#This Row],[PREVISTO]]-T_PROD[[#This Row],[EFETIVO]]&lt; 0,0,T_PROD[[#This Row],[PREVISTO]]-T_PROD[[#This Row],[EFETIVO]] ),"")</f>
        <v>0</v>
      </c>
      <c r="J1076" s="15" t="str">
        <f>IFERROR(IF(T_PROD[[#This Row],[META]]&gt;0,(T_PROD[[#This Row],[META]]/T_PROD[[#This Row],[PREVISTO]]),""),"")</f>
        <v/>
      </c>
      <c r="K1076" s="15" t="str">
        <f>IFERROR(IF(T_PROD[[#This Row],[PRODUÇÃO]]&gt;0,(T_PROD[[#This Row],[PRODUÇÃO]]/T_PROD[[#This Row],[EFETIVO]]),""),"")</f>
        <v/>
      </c>
    </row>
    <row r="1077" spans="1:11" x14ac:dyDescent="0.3">
      <c r="A1077" s="11">
        <v>46203</v>
      </c>
      <c r="B1077" s="12" t="str">
        <f t="shared" si="118"/>
        <v>JUNHO</v>
      </c>
      <c r="C1077" s="12" t="s">
        <v>19</v>
      </c>
      <c r="D1077" s="12" t="s">
        <v>12</v>
      </c>
      <c r="E1077" s="13"/>
      <c r="F1077" s="13"/>
      <c r="G1077" s="12"/>
      <c r="H1077" s="14"/>
      <c r="I1077" s="12">
        <f>IFERROR(IF(T_PROD[[#This Row],[PREVISTO]]-T_PROD[[#This Row],[EFETIVO]]&lt; 0,0,T_PROD[[#This Row],[PREVISTO]]-T_PROD[[#This Row],[EFETIVO]] ),"")</f>
        <v>0</v>
      </c>
      <c r="J1077" s="15" t="str">
        <f>IFERROR(IF(T_PROD[[#This Row],[META]]&gt;0,(T_PROD[[#This Row],[META]]/T_PROD[[#This Row],[PREVISTO]]),""),"")</f>
        <v/>
      </c>
      <c r="K1077" s="15" t="str">
        <f>IFERROR(IF(T_PROD[[#This Row],[PRODUÇÃO]]&gt;0,(T_PROD[[#This Row],[PRODUÇÃO]]/T_PROD[[#This Row],[EFETIVO]]),""),"")</f>
        <v/>
      </c>
    </row>
    <row r="1078" spans="1:11" x14ac:dyDescent="0.3">
      <c r="A1078" s="11">
        <v>46203</v>
      </c>
      <c r="B1078" s="12" t="str">
        <f t="shared" si="118"/>
        <v>JUNHO</v>
      </c>
      <c r="C1078" s="12" t="s">
        <v>20</v>
      </c>
      <c r="D1078" s="12" t="s">
        <v>12</v>
      </c>
      <c r="E1078" s="13">
        <v>419</v>
      </c>
      <c r="F1078" s="13">
        <v>379</v>
      </c>
      <c r="G1078" s="12">
        <v>90</v>
      </c>
      <c r="H1078" s="14">
        <v>90</v>
      </c>
      <c r="I1078" s="12">
        <f>IFERROR(IF(T_PROD[[#This Row],[PREVISTO]]-T_PROD[[#This Row],[EFETIVO]]&lt; 0,0,T_PROD[[#This Row],[PREVISTO]]-T_PROD[[#This Row],[EFETIVO]] ),"")</f>
        <v>0</v>
      </c>
      <c r="J1078" s="15">
        <f>IFERROR(IF(T_PROD[[#This Row],[META]]&gt;0,(T_PROD[[#This Row],[META]]/T_PROD[[#This Row],[PREVISTO]]),""),"")</f>
        <v>4.6555555555555559</v>
      </c>
      <c r="K1078" s="15">
        <f>IFERROR(IF(T_PROD[[#This Row],[PRODUÇÃO]]&gt;0,(T_PROD[[#This Row],[PRODUÇÃO]]/T_PROD[[#This Row],[EFETIVO]]),""),"")</f>
        <v>4.2111111111111112</v>
      </c>
    </row>
    <row r="1079" spans="1:11" x14ac:dyDescent="0.3">
      <c r="A1079" s="11">
        <v>46203</v>
      </c>
      <c r="B1079" s="12" t="str">
        <f t="shared" si="118"/>
        <v>JUNHO</v>
      </c>
      <c r="C1079" s="12" t="s">
        <v>11</v>
      </c>
      <c r="D1079" s="12" t="s">
        <v>12</v>
      </c>
      <c r="E1079" s="13">
        <v>840</v>
      </c>
      <c r="F1079" s="13">
        <v>860</v>
      </c>
      <c r="G1079" s="12">
        <v>42</v>
      </c>
      <c r="H1079" s="14">
        <v>42</v>
      </c>
      <c r="I1079" s="12">
        <f>IFERROR(IF(T_PROD[[#This Row],[PREVISTO]]-T_PROD[[#This Row],[EFETIVO]]&lt; 0,0,T_PROD[[#This Row],[PREVISTO]]-T_PROD[[#This Row],[EFETIVO]] ),"")</f>
        <v>0</v>
      </c>
      <c r="J1079" s="15">
        <f>IFERROR(IF(T_PROD[[#This Row],[META]]&gt;0,(T_PROD[[#This Row],[META]]/T_PROD[[#This Row],[PREVISTO]]),""),"")</f>
        <v>20</v>
      </c>
      <c r="K1079" s="15">
        <f>IFERROR(IF(T_PROD[[#This Row],[PRODUÇÃO]]&gt;0,(T_PROD[[#This Row],[PRODUÇÃO]]/T_PROD[[#This Row],[EFETIVO]]),""),"")</f>
        <v>20.476190476190474</v>
      </c>
    </row>
    <row r="1080" spans="1:11" x14ac:dyDescent="0.3">
      <c r="A1080" s="11">
        <v>46203</v>
      </c>
      <c r="B1080" s="12" t="str">
        <f t="shared" si="118"/>
        <v>JUNHO</v>
      </c>
      <c r="C1080" s="12" t="s">
        <v>32</v>
      </c>
      <c r="D1080" s="12" t="s">
        <v>12</v>
      </c>
      <c r="E1080" s="13">
        <v>22</v>
      </c>
      <c r="F1080" s="13">
        <v>20</v>
      </c>
      <c r="G1080" s="12">
        <v>2</v>
      </c>
      <c r="H1080" s="14">
        <v>2</v>
      </c>
      <c r="I1080" s="12">
        <f>IFERROR(IF(T_PROD[[#This Row],[PREVISTO]]-T_PROD[[#This Row],[EFETIVO]]&lt; 0,0,T_PROD[[#This Row],[PREVISTO]]-T_PROD[[#This Row],[EFETIVO]] ),"")</f>
        <v>0</v>
      </c>
      <c r="J1080" s="15">
        <f>IFERROR(IF(T_PROD[[#This Row],[META]]&gt;0,(T_PROD[[#This Row],[META]]/T_PROD[[#This Row],[PREVISTO]]),""),"")</f>
        <v>11</v>
      </c>
      <c r="K1080" s="15">
        <f>IFERROR(IF(T_PROD[[#This Row],[PRODUÇÃO]]&gt;0,(T_PROD[[#This Row],[PRODUÇÃO]]/T_PROD[[#This Row],[EFETIVO]]),""),"")</f>
        <v>10</v>
      </c>
    </row>
    <row r="1081" spans="1:11" x14ac:dyDescent="0.3">
      <c r="A1081" s="11">
        <v>46203</v>
      </c>
      <c r="B1081" s="12" t="str">
        <f t="shared" si="118"/>
        <v>JUNHO</v>
      </c>
      <c r="C1081" s="12" t="s">
        <v>14</v>
      </c>
      <c r="D1081" s="12" t="s">
        <v>12</v>
      </c>
      <c r="E1081" s="13">
        <v>862</v>
      </c>
      <c r="F1081" s="13">
        <v>880</v>
      </c>
      <c r="G1081" s="12">
        <v>95</v>
      </c>
      <c r="H1081" s="14">
        <v>94</v>
      </c>
      <c r="I1081" s="12">
        <f>IFERROR(IF(T_PROD[[#This Row],[PREVISTO]]-T_PROD[[#This Row],[EFETIVO]]&lt; 0,0,T_PROD[[#This Row],[PREVISTO]]-T_PROD[[#This Row],[EFETIVO]] ),"")</f>
        <v>1</v>
      </c>
      <c r="J1081" s="15">
        <f>IFERROR(IF(T_PROD[[#This Row],[META]]&gt;0,(T_PROD[[#This Row],[META]]/T_PROD[[#This Row],[PREVISTO]]),""),"")</f>
        <v>9.0736842105263165</v>
      </c>
      <c r="K1081" s="15">
        <f>IFERROR(IF(T_PROD[[#This Row],[PRODUÇÃO]]&gt;0,(T_PROD[[#This Row],[PRODUÇÃO]]/T_PROD[[#This Row],[EFETIVO]]),""),"")</f>
        <v>9.3617021276595747</v>
      </c>
    </row>
    <row r="1082" spans="1:11" x14ac:dyDescent="0.3">
      <c r="A1082" s="11">
        <v>46204</v>
      </c>
      <c r="B1082" s="12" t="str">
        <f>UPPER(TEXT(A1082,"MMMM"))</f>
        <v>JULHO</v>
      </c>
      <c r="C1082" s="12" t="s">
        <v>15</v>
      </c>
      <c r="D1082" s="12" t="s">
        <v>12</v>
      </c>
      <c r="E1082" s="13">
        <v>97.5</v>
      </c>
      <c r="F1082" s="13">
        <v>31</v>
      </c>
      <c r="G1082" s="12">
        <v>6.5</v>
      </c>
      <c r="H1082" s="14">
        <v>6.5</v>
      </c>
      <c r="I1082" s="12">
        <f>IFERROR(IF(T_PROD[[#This Row],[PREVISTO]]-T_PROD[[#This Row],[EFETIVO]]&lt; 0,0,T_PROD[[#This Row],[PREVISTO]]-T_PROD[[#This Row],[EFETIVO]] ),"")</f>
        <v>0</v>
      </c>
      <c r="J1082" s="15">
        <f>IFERROR(IF(T_PROD[[#This Row],[META]]&gt;0,(T_PROD[[#This Row],[META]]/T_PROD[[#This Row],[PREVISTO]]),""),"")</f>
        <v>15</v>
      </c>
      <c r="K1082" s="15">
        <f>IFERROR(IF(T_PROD[[#This Row],[PRODUÇÃO]]&gt;0,(T_PROD[[#This Row],[PRODUÇÃO]]/T_PROD[[#This Row],[EFETIVO]]),""),"")</f>
        <v>4.7692307692307692</v>
      </c>
    </row>
    <row r="1083" spans="1:11" x14ac:dyDescent="0.3">
      <c r="A1083" s="11">
        <v>46204</v>
      </c>
      <c r="B1083" s="12" t="str">
        <f t="shared" ref="B1083:B1090" si="119">UPPER(TEXT(A1083,"MMMM"))</f>
        <v>JULHO</v>
      </c>
      <c r="C1083" s="12" t="s">
        <v>16</v>
      </c>
      <c r="D1083" s="12" t="s">
        <v>12</v>
      </c>
      <c r="E1083" s="13">
        <v>221</v>
      </c>
      <c r="F1083" s="13">
        <v>60</v>
      </c>
      <c r="G1083" s="12">
        <v>6.5</v>
      </c>
      <c r="H1083" s="14">
        <v>6.5</v>
      </c>
      <c r="I1083" s="12">
        <f>IFERROR(IF(T_PROD[[#This Row],[PREVISTO]]-T_PROD[[#This Row],[EFETIVO]]&lt; 0,0,T_PROD[[#This Row],[PREVISTO]]-T_PROD[[#This Row],[EFETIVO]] ),"")</f>
        <v>0</v>
      </c>
      <c r="J1083" s="15">
        <f>IFERROR(IF(T_PROD[[#This Row],[META]]&gt;0,(T_PROD[[#This Row],[META]]/T_PROD[[#This Row],[PREVISTO]]),""),"")</f>
        <v>34</v>
      </c>
      <c r="K1083" s="15">
        <f>IFERROR(IF(T_PROD[[#This Row],[PRODUÇÃO]]&gt;0,(T_PROD[[#This Row],[PRODUÇÃO]]/T_PROD[[#This Row],[EFETIVO]]),""),"")</f>
        <v>9.2307692307692299</v>
      </c>
    </row>
    <row r="1084" spans="1:11" x14ac:dyDescent="0.3">
      <c r="A1084" s="11">
        <v>46204</v>
      </c>
      <c r="B1084" s="12" t="str">
        <f t="shared" si="119"/>
        <v>JULHO</v>
      </c>
      <c r="C1084" s="12" t="s">
        <v>17</v>
      </c>
      <c r="D1084" s="12" t="s">
        <v>12</v>
      </c>
      <c r="E1084" s="13">
        <v>176</v>
      </c>
      <c r="F1084" s="13">
        <v>163</v>
      </c>
      <c r="G1084" s="12">
        <v>11</v>
      </c>
      <c r="H1084" s="14">
        <v>11</v>
      </c>
      <c r="I1084" s="12">
        <f>IFERROR(IF(T_PROD[[#This Row],[PREVISTO]]-T_PROD[[#This Row],[EFETIVO]]&lt; 0,0,T_PROD[[#This Row],[PREVISTO]]-T_PROD[[#This Row],[EFETIVO]] ),"")</f>
        <v>0</v>
      </c>
      <c r="J1084" s="15">
        <f>IFERROR(IF(T_PROD[[#This Row],[META]]&gt;0,(T_PROD[[#This Row],[META]]/T_PROD[[#This Row],[PREVISTO]]),""),"")</f>
        <v>16</v>
      </c>
      <c r="K1084" s="15">
        <f>IFERROR(IF(T_PROD[[#This Row],[PRODUÇÃO]]&gt;0,(T_PROD[[#This Row],[PRODUÇÃO]]/T_PROD[[#This Row],[EFETIVO]]),""),"")</f>
        <v>14.818181818181818</v>
      </c>
    </row>
    <row r="1085" spans="1:11" x14ac:dyDescent="0.3">
      <c r="A1085" s="11">
        <v>46204</v>
      </c>
      <c r="B1085" s="12" t="str">
        <f t="shared" si="119"/>
        <v>JULHO</v>
      </c>
      <c r="C1085" s="12" t="s">
        <v>18</v>
      </c>
      <c r="D1085" s="12" t="s">
        <v>12</v>
      </c>
      <c r="E1085" s="13"/>
      <c r="F1085" s="13"/>
      <c r="G1085" s="12"/>
      <c r="H1085" s="14"/>
      <c r="I1085" s="12">
        <f>IFERROR(IF(T_PROD[[#This Row],[PREVISTO]]-T_PROD[[#This Row],[EFETIVO]]&lt; 0,0,T_PROD[[#This Row],[PREVISTO]]-T_PROD[[#This Row],[EFETIVO]] ),"")</f>
        <v>0</v>
      </c>
      <c r="J1085" s="15" t="str">
        <f>IFERROR(IF(T_PROD[[#This Row],[META]]&gt;0,(T_PROD[[#This Row],[META]]/T_PROD[[#This Row],[PREVISTO]]),""),"")</f>
        <v/>
      </c>
      <c r="K1085" s="15" t="str">
        <f>IFERROR(IF(T_PROD[[#This Row],[PRODUÇÃO]]&gt;0,(T_PROD[[#This Row],[PRODUÇÃO]]/T_PROD[[#This Row],[EFETIVO]]),""),"")</f>
        <v/>
      </c>
    </row>
    <row r="1086" spans="1:11" x14ac:dyDescent="0.3">
      <c r="A1086" s="11">
        <v>46204</v>
      </c>
      <c r="B1086" s="12" t="str">
        <f t="shared" si="119"/>
        <v>JULHO</v>
      </c>
      <c r="C1086" s="12" t="s">
        <v>19</v>
      </c>
      <c r="D1086" s="12" t="s">
        <v>12</v>
      </c>
      <c r="E1086" s="13"/>
      <c r="F1086" s="13"/>
      <c r="G1086" s="12"/>
      <c r="H1086" s="14"/>
      <c r="I1086" s="12">
        <f>IFERROR(IF(T_PROD[[#This Row],[PREVISTO]]-T_PROD[[#This Row],[EFETIVO]]&lt; 0,0,T_PROD[[#This Row],[PREVISTO]]-T_PROD[[#This Row],[EFETIVO]] ),"")</f>
        <v>0</v>
      </c>
      <c r="J1086" s="15" t="str">
        <f>IFERROR(IF(T_PROD[[#This Row],[META]]&gt;0,(T_PROD[[#This Row],[META]]/T_PROD[[#This Row],[PREVISTO]]),""),"")</f>
        <v/>
      </c>
      <c r="K1086" s="15" t="str">
        <f>IFERROR(IF(T_PROD[[#This Row],[PRODUÇÃO]]&gt;0,(T_PROD[[#This Row],[PRODUÇÃO]]/T_PROD[[#This Row],[EFETIVO]]),""),"")</f>
        <v/>
      </c>
    </row>
    <row r="1087" spans="1:11" x14ac:dyDescent="0.3">
      <c r="A1087" s="11">
        <v>46204</v>
      </c>
      <c r="B1087" s="12" t="str">
        <f t="shared" si="119"/>
        <v>JULHO</v>
      </c>
      <c r="C1087" s="12" t="s">
        <v>20</v>
      </c>
      <c r="D1087" s="12" t="s">
        <v>12</v>
      </c>
      <c r="E1087" s="13">
        <v>495</v>
      </c>
      <c r="F1087" s="13">
        <v>254</v>
      </c>
      <c r="G1087" s="12">
        <v>90</v>
      </c>
      <c r="H1087" s="14">
        <v>90</v>
      </c>
      <c r="I1087" s="12">
        <f>IFERROR(IF(T_PROD[[#This Row],[PREVISTO]]-T_PROD[[#This Row],[EFETIVO]]&lt; 0,0,T_PROD[[#This Row],[PREVISTO]]-T_PROD[[#This Row],[EFETIVO]] ),"")</f>
        <v>0</v>
      </c>
      <c r="J1087" s="15">
        <f>IFERROR(IF(T_PROD[[#This Row],[META]]&gt;0,(T_PROD[[#This Row],[META]]/T_PROD[[#This Row],[PREVISTO]]),""),"")</f>
        <v>5.5</v>
      </c>
      <c r="K1087" s="15">
        <f>IFERROR(IF(T_PROD[[#This Row],[PRODUÇÃO]]&gt;0,(T_PROD[[#This Row],[PRODUÇÃO]]/T_PROD[[#This Row],[EFETIVO]]),""),"")</f>
        <v>2.8222222222222224</v>
      </c>
    </row>
    <row r="1088" spans="1:11" x14ac:dyDescent="0.3">
      <c r="A1088" s="11">
        <v>46204</v>
      </c>
      <c r="B1088" s="12" t="str">
        <f t="shared" si="119"/>
        <v>JULHO</v>
      </c>
      <c r="C1088" s="12" t="s">
        <v>11</v>
      </c>
      <c r="D1088" s="12" t="s">
        <v>12</v>
      </c>
      <c r="E1088" s="13">
        <v>800</v>
      </c>
      <c r="F1088" s="13">
        <v>845</v>
      </c>
      <c r="G1088" s="12">
        <v>40</v>
      </c>
      <c r="H1088" s="14">
        <v>40</v>
      </c>
      <c r="I1088" s="12">
        <f>IFERROR(IF(T_PROD[[#This Row],[PREVISTO]]-T_PROD[[#This Row],[EFETIVO]]&lt; 0,0,T_PROD[[#This Row],[PREVISTO]]-T_PROD[[#This Row],[EFETIVO]] ),"")</f>
        <v>0</v>
      </c>
      <c r="J1088" s="15">
        <f>IFERROR(IF(T_PROD[[#This Row],[META]]&gt;0,(T_PROD[[#This Row],[META]]/T_PROD[[#This Row],[PREVISTO]]),""),"")</f>
        <v>20</v>
      </c>
      <c r="K1088" s="15">
        <f>IFERROR(IF(T_PROD[[#This Row],[PRODUÇÃO]]&gt;0,(T_PROD[[#This Row],[PRODUÇÃO]]/T_PROD[[#This Row],[EFETIVO]]),""),"")</f>
        <v>21.125</v>
      </c>
    </row>
    <row r="1089" spans="1:11" x14ac:dyDescent="0.3">
      <c r="A1089" s="11">
        <v>46204</v>
      </c>
      <c r="B1089" s="12" t="str">
        <f t="shared" si="119"/>
        <v>JULHO</v>
      </c>
      <c r="C1089" s="12" t="s">
        <v>32</v>
      </c>
      <c r="D1089" s="12" t="s">
        <v>12</v>
      </c>
      <c r="E1089" s="13">
        <v>22</v>
      </c>
      <c r="F1089" s="13">
        <v>30</v>
      </c>
      <c r="G1089" s="12">
        <v>2</v>
      </c>
      <c r="H1089" s="14">
        <v>2</v>
      </c>
      <c r="I1089" s="12">
        <f>IFERROR(IF(T_PROD[[#This Row],[PREVISTO]]-T_PROD[[#This Row],[EFETIVO]]&lt; 0,0,T_PROD[[#This Row],[PREVISTO]]-T_PROD[[#This Row],[EFETIVO]] ),"")</f>
        <v>0</v>
      </c>
      <c r="J1089" s="15">
        <f>IFERROR(IF(T_PROD[[#This Row],[META]]&gt;0,(T_PROD[[#This Row],[META]]/T_PROD[[#This Row],[PREVISTO]]),""),"")</f>
        <v>11</v>
      </c>
      <c r="K1089" s="15">
        <f>IFERROR(IF(T_PROD[[#This Row],[PRODUÇÃO]]&gt;0,(T_PROD[[#This Row],[PRODUÇÃO]]/T_PROD[[#This Row],[EFETIVO]]),""),"")</f>
        <v>15</v>
      </c>
    </row>
    <row r="1090" spans="1:11" x14ac:dyDescent="0.3">
      <c r="A1090" s="11">
        <v>46204</v>
      </c>
      <c r="B1090" s="12" t="str">
        <f t="shared" si="119"/>
        <v>JULHO</v>
      </c>
      <c r="C1090" s="12" t="s">
        <v>14</v>
      </c>
      <c r="D1090" s="12" t="s">
        <v>12</v>
      </c>
      <c r="E1090" s="13">
        <v>822</v>
      </c>
      <c r="F1090" s="13">
        <v>875</v>
      </c>
      <c r="G1090" s="12">
        <v>95</v>
      </c>
      <c r="H1090" s="14">
        <v>95</v>
      </c>
      <c r="I1090" s="12">
        <f>IFERROR(IF(T_PROD[[#This Row],[PREVISTO]]-T_PROD[[#This Row],[EFETIVO]]&lt; 0,0,T_PROD[[#This Row],[PREVISTO]]-T_PROD[[#This Row],[EFETIVO]] ),"")</f>
        <v>0</v>
      </c>
      <c r="J1090" s="15">
        <f>IFERROR(IF(T_PROD[[#This Row],[META]]&gt;0,(T_PROD[[#This Row],[META]]/T_PROD[[#This Row],[PREVISTO]]),""),"")</f>
        <v>8.6526315789473678</v>
      </c>
      <c r="K1090" s="15">
        <f>IFERROR(IF(T_PROD[[#This Row],[PRODUÇÃO]]&gt;0,(T_PROD[[#This Row],[PRODUÇÃO]]/T_PROD[[#This Row],[EFETIVO]]),""),"")</f>
        <v>9.2105263157894743</v>
      </c>
    </row>
    <row r="1091" spans="1:11" x14ac:dyDescent="0.3">
      <c r="A1091" s="11">
        <v>46205</v>
      </c>
      <c r="B1091" s="12" t="str">
        <f>UPPER(TEXT(A1091,"MMMM"))</f>
        <v>JULHO</v>
      </c>
      <c r="C1091" s="12" t="s">
        <v>15</v>
      </c>
      <c r="D1091" s="12" t="s">
        <v>12</v>
      </c>
      <c r="E1091" s="13">
        <v>82.5</v>
      </c>
      <c r="F1091" s="13">
        <v>46</v>
      </c>
      <c r="G1091" s="12">
        <v>5.5</v>
      </c>
      <c r="H1091" s="14">
        <v>5.5</v>
      </c>
      <c r="I1091" s="12">
        <f>IFERROR(IF(T_PROD[[#This Row],[PREVISTO]]-T_PROD[[#This Row],[EFETIVO]]&lt; 0,0,T_PROD[[#This Row],[PREVISTO]]-T_PROD[[#This Row],[EFETIVO]] ),"")</f>
        <v>0</v>
      </c>
      <c r="J1091" s="15">
        <f>IFERROR(IF(T_PROD[[#This Row],[META]]&gt;0,(T_PROD[[#This Row],[META]]/T_PROD[[#This Row],[PREVISTO]]),""),"")</f>
        <v>15</v>
      </c>
      <c r="K1091" s="15">
        <f>IFERROR(IF(T_PROD[[#This Row],[PRODUÇÃO]]&gt;0,(T_PROD[[#This Row],[PRODUÇÃO]]/T_PROD[[#This Row],[EFETIVO]]),""),"")</f>
        <v>8.3636363636363633</v>
      </c>
    </row>
    <row r="1092" spans="1:11" x14ac:dyDescent="0.3">
      <c r="A1092" s="11">
        <v>46205</v>
      </c>
      <c r="B1092" s="12" t="str">
        <f t="shared" ref="B1092:B1099" si="120">UPPER(TEXT(A1092,"MMMM"))</f>
        <v>JULHO</v>
      </c>
      <c r="C1092" s="12" t="s">
        <v>16</v>
      </c>
      <c r="D1092" s="12" t="s">
        <v>12</v>
      </c>
      <c r="E1092" s="13">
        <v>170</v>
      </c>
      <c r="F1092" s="13">
        <v>110</v>
      </c>
      <c r="G1092" s="12">
        <v>5</v>
      </c>
      <c r="H1092" s="14">
        <v>5</v>
      </c>
      <c r="I1092" s="12">
        <f>IFERROR(IF(T_PROD[[#This Row],[PREVISTO]]-T_PROD[[#This Row],[EFETIVO]]&lt; 0,0,T_PROD[[#This Row],[PREVISTO]]-T_PROD[[#This Row],[EFETIVO]] ),"")</f>
        <v>0</v>
      </c>
      <c r="J1092" s="15">
        <f>IFERROR(IF(T_PROD[[#This Row],[META]]&gt;0,(T_PROD[[#This Row],[META]]/T_PROD[[#This Row],[PREVISTO]]),""),"")</f>
        <v>34</v>
      </c>
      <c r="K1092" s="15">
        <f>IFERROR(IF(T_PROD[[#This Row],[PRODUÇÃO]]&gt;0,(T_PROD[[#This Row],[PRODUÇÃO]]/T_PROD[[#This Row],[EFETIVO]]),""),"")</f>
        <v>22</v>
      </c>
    </row>
    <row r="1093" spans="1:11" x14ac:dyDescent="0.3">
      <c r="A1093" s="11">
        <v>46205</v>
      </c>
      <c r="B1093" s="12" t="str">
        <f t="shared" si="120"/>
        <v>JULHO</v>
      </c>
      <c r="C1093" s="12" t="s">
        <v>17</v>
      </c>
      <c r="D1093" s="12" t="s">
        <v>12</v>
      </c>
      <c r="E1093" s="13">
        <v>160</v>
      </c>
      <c r="F1093" s="13">
        <v>80</v>
      </c>
      <c r="G1093" s="12">
        <v>10</v>
      </c>
      <c r="H1093" s="14">
        <v>10</v>
      </c>
      <c r="I1093" s="12">
        <f>IFERROR(IF(T_PROD[[#This Row],[PREVISTO]]-T_PROD[[#This Row],[EFETIVO]]&lt; 0,0,T_PROD[[#This Row],[PREVISTO]]-T_PROD[[#This Row],[EFETIVO]] ),"")</f>
        <v>0</v>
      </c>
      <c r="J1093" s="15">
        <f>IFERROR(IF(T_PROD[[#This Row],[META]]&gt;0,(T_PROD[[#This Row],[META]]/T_PROD[[#This Row],[PREVISTO]]),""),"")</f>
        <v>16</v>
      </c>
      <c r="K1093" s="15">
        <f>IFERROR(IF(T_PROD[[#This Row],[PRODUÇÃO]]&gt;0,(T_PROD[[#This Row],[PRODUÇÃO]]/T_PROD[[#This Row],[EFETIVO]]),""),"")</f>
        <v>8</v>
      </c>
    </row>
    <row r="1094" spans="1:11" x14ac:dyDescent="0.3">
      <c r="A1094" s="11">
        <v>46205</v>
      </c>
      <c r="B1094" s="12" t="str">
        <f t="shared" si="120"/>
        <v>JULHO</v>
      </c>
      <c r="C1094" s="12" t="s">
        <v>18</v>
      </c>
      <c r="D1094" s="12" t="s">
        <v>12</v>
      </c>
      <c r="E1094" s="13"/>
      <c r="F1094" s="13"/>
      <c r="G1094" s="12"/>
      <c r="H1094" s="14"/>
      <c r="I1094" s="12">
        <f>IFERROR(IF(T_PROD[[#This Row],[PREVISTO]]-T_PROD[[#This Row],[EFETIVO]]&lt; 0,0,T_PROD[[#This Row],[PREVISTO]]-T_PROD[[#This Row],[EFETIVO]] ),"")</f>
        <v>0</v>
      </c>
      <c r="J1094" s="15" t="str">
        <f>IFERROR(IF(T_PROD[[#This Row],[META]]&gt;0,(T_PROD[[#This Row],[META]]/T_PROD[[#This Row],[PREVISTO]]),""),"")</f>
        <v/>
      </c>
      <c r="K1094" s="15" t="str">
        <f>IFERROR(IF(T_PROD[[#This Row],[PRODUÇÃO]]&gt;0,(T_PROD[[#This Row],[PRODUÇÃO]]/T_PROD[[#This Row],[EFETIVO]]),""),"")</f>
        <v/>
      </c>
    </row>
    <row r="1095" spans="1:11" x14ac:dyDescent="0.3">
      <c r="A1095" s="11">
        <v>46205</v>
      </c>
      <c r="B1095" s="12" t="str">
        <f t="shared" si="120"/>
        <v>JULHO</v>
      </c>
      <c r="C1095" s="12" t="s">
        <v>19</v>
      </c>
      <c r="D1095" s="12" t="s">
        <v>12</v>
      </c>
      <c r="E1095" s="13"/>
      <c r="F1095" s="13"/>
      <c r="G1095" s="12"/>
      <c r="H1095" s="14"/>
      <c r="I1095" s="12">
        <f>IFERROR(IF(T_PROD[[#This Row],[PREVISTO]]-T_PROD[[#This Row],[EFETIVO]]&lt; 0,0,T_PROD[[#This Row],[PREVISTO]]-T_PROD[[#This Row],[EFETIVO]] ),"")</f>
        <v>0</v>
      </c>
      <c r="J1095" s="15" t="str">
        <f>IFERROR(IF(T_PROD[[#This Row],[META]]&gt;0,(T_PROD[[#This Row],[META]]/T_PROD[[#This Row],[PREVISTO]]),""),"")</f>
        <v/>
      </c>
      <c r="K1095" s="15" t="str">
        <f>IFERROR(IF(T_PROD[[#This Row],[PRODUÇÃO]]&gt;0,(T_PROD[[#This Row],[PRODUÇÃO]]/T_PROD[[#This Row],[EFETIVO]]),""),"")</f>
        <v/>
      </c>
    </row>
    <row r="1096" spans="1:11" x14ac:dyDescent="0.3">
      <c r="A1096" s="11">
        <v>46205</v>
      </c>
      <c r="B1096" s="12" t="str">
        <f t="shared" si="120"/>
        <v>JULHO</v>
      </c>
      <c r="C1096" s="12" t="s">
        <v>20</v>
      </c>
      <c r="D1096" s="12" t="s">
        <v>12</v>
      </c>
      <c r="E1096" s="13">
        <v>413</v>
      </c>
      <c r="F1096" s="13">
        <v>236</v>
      </c>
      <c r="G1096" s="12">
        <v>90</v>
      </c>
      <c r="H1096" s="14">
        <v>90</v>
      </c>
      <c r="I1096" s="12">
        <f>IFERROR(IF(T_PROD[[#This Row],[PREVISTO]]-T_PROD[[#This Row],[EFETIVO]]&lt; 0,0,T_PROD[[#This Row],[PREVISTO]]-T_PROD[[#This Row],[EFETIVO]] ),"")</f>
        <v>0</v>
      </c>
      <c r="J1096" s="15">
        <f>IFERROR(IF(T_PROD[[#This Row],[META]]&gt;0,(T_PROD[[#This Row],[META]]/T_PROD[[#This Row],[PREVISTO]]),""),"")</f>
        <v>4.5888888888888886</v>
      </c>
      <c r="K1096" s="15">
        <f>IFERROR(IF(T_PROD[[#This Row],[PRODUÇÃO]]&gt;0,(T_PROD[[#This Row],[PRODUÇÃO]]/T_PROD[[#This Row],[EFETIVO]]),""),"")</f>
        <v>2.6222222222222222</v>
      </c>
    </row>
    <row r="1097" spans="1:11" x14ac:dyDescent="0.3">
      <c r="A1097" s="11">
        <v>46205</v>
      </c>
      <c r="B1097" s="12" t="str">
        <f t="shared" si="120"/>
        <v>JULHO</v>
      </c>
      <c r="C1097" s="12" t="s">
        <v>11</v>
      </c>
      <c r="D1097" s="12" t="s">
        <v>12</v>
      </c>
      <c r="E1097" s="13">
        <v>820</v>
      </c>
      <c r="F1097" s="13">
        <v>860</v>
      </c>
      <c r="G1097" s="12">
        <v>41</v>
      </c>
      <c r="H1097" s="14">
        <v>41</v>
      </c>
      <c r="I1097" s="12">
        <f>IFERROR(IF(T_PROD[[#This Row],[PREVISTO]]-T_PROD[[#This Row],[EFETIVO]]&lt; 0,0,T_PROD[[#This Row],[PREVISTO]]-T_PROD[[#This Row],[EFETIVO]] ),"")</f>
        <v>0</v>
      </c>
      <c r="J1097" s="15">
        <f>IFERROR(IF(T_PROD[[#This Row],[META]]&gt;0,(T_PROD[[#This Row],[META]]/T_PROD[[#This Row],[PREVISTO]]),""),"")</f>
        <v>20</v>
      </c>
      <c r="K1097" s="15">
        <f>IFERROR(IF(T_PROD[[#This Row],[PRODUÇÃO]]&gt;0,(T_PROD[[#This Row],[PRODUÇÃO]]/T_PROD[[#This Row],[EFETIVO]]),""),"")</f>
        <v>20.975609756097562</v>
      </c>
    </row>
    <row r="1098" spans="1:11" x14ac:dyDescent="0.3">
      <c r="A1098" s="11">
        <v>46205</v>
      </c>
      <c r="B1098" s="12" t="str">
        <f t="shared" si="120"/>
        <v>JULHO</v>
      </c>
      <c r="C1098" s="12" t="s">
        <v>32</v>
      </c>
      <c r="D1098" s="12" t="s">
        <v>12</v>
      </c>
      <c r="E1098" s="13">
        <v>33</v>
      </c>
      <c r="F1098" s="13">
        <v>41</v>
      </c>
      <c r="G1098" s="12">
        <v>3</v>
      </c>
      <c r="H1098" s="14">
        <v>3</v>
      </c>
      <c r="I1098" s="12">
        <f>IFERROR(IF(T_PROD[[#This Row],[PREVISTO]]-T_PROD[[#This Row],[EFETIVO]]&lt; 0,0,T_PROD[[#This Row],[PREVISTO]]-T_PROD[[#This Row],[EFETIVO]] ),"")</f>
        <v>0</v>
      </c>
      <c r="J1098" s="15">
        <f>IFERROR(IF(T_PROD[[#This Row],[META]]&gt;0,(T_PROD[[#This Row],[META]]/T_PROD[[#This Row],[PREVISTO]]),""),"")</f>
        <v>11</v>
      </c>
      <c r="K1098" s="15">
        <f>IFERROR(IF(T_PROD[[#This Row],[PRODUÇÃO]]&gt;0,(T_PROD[[#This Row],[PRODUÇÃO]]/T_PROD[[#This Row],[EFETIVO]]),""),"")</f>
        <v>13.666666666666666</v>
      </c>
    </row>
    <row r="1099" spans="1:11" x14ac:dyDescent="0.3">
      <c r="A1099" s="11">
        <v>46205</v>
      </c>
      <c r="B1099" s="12" t="str">
        <f t="shared" si="120"/>
        <v>JULHO</v>
      </c>
      <c r="C1099" s="12" t="s">
        <v>14</v>
      </c>
      <c r="D1099" s="12" t="s">
        <v>12</v>
      </c>
      <c r="E1099" s="13">
        <v>853</v>
      </c>
      <c r="F1099" s="13">
        <v>901</v>
      </c>
      <c r="G1099" s="12">
        <v>95</v>
      </c>
      <c r="H1099" s="14">
        <v>95</v>
      </c>
      <c r="I1099" s="12">
        <f>IFERROR(IF(T_PROD[[#This Row],[PREVISTO]]-T_PROD[[#This Row],[EFETIVO]]&lt; 0,0,T_PROD[[#This Row],[PREVISTO]]-T_PROD[[#This Row],[EFETIVO]] ),"")</f>
        <v>0</v>
      </c>
      <c r="J1099" s="15">
        <f>IFERROR(IF(T_PROD[[#This Row],[META]]&gt;0,(T_PROD[[#This Row],[META]]/T_PROD[[#This Row],[PREVISTO]]),""),"")</f>
        <v>8.9789473684210535</v>
      </c>
      <c r="K1099" s="15">
        <f>IFERROR(IF(T_PROD[[#This Row],[PRODUÇÃO]]&gt;0,(T_PROD[[#This Row],[PRODUÇÃO]]/T_PROD[[#This Row],[EFETIVO]]),""),"")</f>
        <v>9.4842105263157901</v>
      </c>
    </row>
    <row r="1100" spans="1:11" x14ac:dyDescent="0.3">
      <c r="A1100" s="11">
        <v>46206</v>
      </c>
      <c r="B1100" s="12" t="str">
        <f>UPPER(TEXT(A1100,"MMMM"))</f>
        <v>JULHO</v>
      </c>
      <c r="C1100" s="12" t="s">
        <v>15</v>
      </c>
      <c r="D1100" s="12" t="s">
        <v>12</v>
      </c>
      <c r="E1100" s="13">
        <v>75</v>
      </c>
      <c r="F1100" s="13">
        <v>45</v>
      </c>
      <c r="G1100" s="12">
        <v>5</v>
      </c>
      <c r="H1100" s="14">
        <v>5</v>
      </c>
      <c r="I1100" s="12">
        <f>IFERROR(IF(T_PROD[[#This Row],[PREVISTO]]-T_PROD[[#This Row],[EFETIVO]]&lt; 0,0,T_PROD[[#This Row],[PREVISTO]]-T_PROD[[#This Row],[EFETIVO]] ),"")</f>
        <v>0</v>
      </c>
      <c r="J1100" s="15">
        <f>IFERROR(IF(T_PROD[[#This Row],[META]]&gt;0,(T_PROD[[#This Row],[META]]/T_PROD[[#This Row],[PREVISTO]]),""),"")</f>
        <v>15</v>
      </c>
      <c r="K1100" s="15">
        <f>IFERROR(IF(T_PROD[[#This Row],[PRODUÇÃO]]&gt;0,(T_PROD[[#This Row],[PRODUÇÃO]]/T_PROD[[#This Row],[EFETIVO]]),""),"")</f>
        <v>9</v>
      </c>
    </row>
    <row r="1101" spans="1:11" x14ac:dyDescent="0.3">
      <c r="A1101" s="11">
        <v>46206</v>
      </c>
      <c r="B1101" s="12" t="str">
        <f t="shared" ref="B1101:B1108" si="121">UPPER(TEXT(A1101,"MMMM"))</f>
        <v>JULHO</v>
      </c>
      <c r="C1101" s="12" t="s">
        <v>16</v>
      </c>
      <c r="D1101" s="12" t="s">
        <v>12</v>
      </c>
      <c r="E1101" s="13">
        <v>221</v>
      </c>
      <c r="F1101" s="13">
        <v>142</v>
      </c>
      <c r="G1101" s="12">
        <v>6.5</v>
      </c>
      <c r="H1101" s="14">
        <v>6.5</v>
      </c>
      <c r="I1101" s="12">
        <f>IFERROR(IF(T_PROD[[#This Row],[PREVISTO]]-T_PROD[[#This Row],[EFETIVO]]&lt; 0,0,T_PROD[[#This Row],[PREVISTO]]-T_PROD[[#This Row],[EFETIVO]] ),"")</f>
        <v>0</v>
      </c>
      <c r="J1101" s="15">
        <f>IFERROR(IF(T_PROD[[#This Row],[META]]&gt;0,(T_PROD[[#This Row],[META]]/T_PROD[[#This Row],[PREVISTO]]),""),"")</f>
        <v>34</v>
      </c>
      <c r="K1101" s="15">
        <f>IFERROR(IF(T_PROD[[#This Row],[PRODUÇÃO]]&gt;0,(T_PROD[[#This Row],[PRODUÇÃO]]/T_PROD[[#This Row],[EFETIVO]]),""),"")</f>
        <v>21.846153846153847</v>
      </c>
    </row>
    <row r="1102" spans="1:11" x14ac:dyDescent="0.3">
      <c r="A1102" s="11">
        <v>46206</v>
      </c>
      <c r="B1102" s="12" t="str">
        <f t="shared" si="121"/>
        <v>JULHO</v>
      </c>
      <c r="C1102" s="12" t="s">
        <v>17</v>
      </c>
      <c r="D1102" s="12" t="s">
        <v>12</v>
      </c>
      <c r="E1102" s="13">
        <v>176</v>
      </c>
      <c r="F1102" s="13">
        <v>153</v>
      </c>
      <c r="G1102" s="12">
        <v>11</v>
      </c>
      <c r="H1102" s="14">
        <v>11</v>
      </c>
      <c r="I1102" s="12">
        <f>IFERROR(IF(T_PROD[[#This Row],[PREVISTO]]-T_PROD[[#This Row],[EFETIVO]]&lt; 0,0,T_PROD[[#This Row],[PREVISTO]]-T_PROD[[#This Row],[EFETIVO]] ),"")</f>
        <v>0</v>
      </c>
      <c r="J1102" s="15">
        <f>IFERROR(IF(T_PROD[[#This Row],[META]]&gt;0,(T_PROD[[#This Row],[META]]/T_PROD[[#This Row],[PREVISTO]]),""),"")</f>
        <v>16</v>
      </c>
      <c r="K1102" s="15">
        <f>IFERROR(IF(T_PROD[[#This Row],[PRODUÇÃO]]&gt;0,(T_PROD[[#This Row],[PRODUÇÃO]]/T_PROD[[#This Row],[EFETIVO]]),""),"")</f>
        <v>13.909090909090908</v>
      </c>
    </row>
    <row r="1103" spans="1:11" x14ac:dyDescent="0.3">
      <c r="A1103" s="11">
        <v>46206</v>
      </c>
      <c r="B1103" s="12" t="str">
        <f t="shared" si="121"/>
        <v>JULHO</v>
      </c>
      <c r="C1103" s="12" t="s">
        <v>18</v>
      </c>
      <c r="D1103" s="12" t="s">
        <v>12</v>
      </c>
      <c r="E1103" s="13"/>
      <c r="F1103" s="13"/>
      <c r="G1103" s="12"/>
      <c r="H1103" s="14"/>
      <c r="I1103" s="12">
        <f>IFERROR(IF(T_PROD[[#This Row],[PREVISTO]]-T_PROD[[#This Row],[EFETIVO]]&lt; 0,0,T_PROD[[#This Row],[PREVISTO]]-T_PROD[[#This Row],[EFETIVO]] ),"")</f>
        <v>0</v>
      </c>
      <c r="J1103" s="15" t="str">
        <f>IFERROR(IF(T_PROD[[#This Row],[META]]&gt;0,(T_PROD[[#This Row],[META]]/T_PROD[[#This Row],[PREVISTO]]),""),"")</f>
        <v/>
      </c>
      <c r="K1103" s="15" t="str">
        <f>IFERROR(IF(T_PROD[[#This Row],[PRODUÇÃO]]&gt;0,(T_PROD[[#This Row],[PRODUÇÃO]]/T_PROD[[#This Row],[EFETIVO]]),""),"")</f>
        <v/>
      </c>
    </row>
    <row r="1104" spans="1:11" x14ac:dyDescent="0.3">
      <c r="A1104" s="11">
        <v>46206</v>
      </c>
      <c r="B1104" s="12" t="str">
        <f t="shared" si="121"/>
        <v>JULHO</v>
      </c>
      <c r="C1104" s="12" t="s">
        <v>19</v>
      </c>
      <c r="D1104" s="12" t="s">
        <v>12</v>
      </c>
      <c r="E1104" s="13"/>
      <c r="F1104" s="13"/>
      <c r="G1104" s="12"/>
      <c r="H1104" s="14"/>
      <c r="I1104" s="12">
        <f>IFERROR(IF(T_PROD[[#This Row],[PREVISTO]]-T_PROD[[#This Row],[EFETIVO]]&lt; 0,0,T_PROD[[#This Row],[PREVISTO]]-T_PROD[[#This Row],[EFETIVO]] ),"")</f>
        <v>0</v>
      </c>
      <c r="J1104" s="15" t="str">
        <f>IFERROR(IF(T_PROD[[#This Row],[META]]&gt;0,(T_PROD[[#This Row],[META]]/T_PROD[[#This Row],[PREVISTO]]),""),"")</f>
        <v/>
      </c>
      <c r="K1104" s="15" t="str">
        <f>IFERROR(IF(T_PROD[[#This Row],[PRODUÇÃO]]&gt;0,(T_PROD[[#This Row],[PRODUÇÃO]]/T_PROD[[#This Row],[EFETIVO]]),""),"")</f>
        <v/>
      </c>
    </row>
    <row r="1105" spans="1:11" x14ac:dyDescent="0.3">
      <c r="A1105" s="11">
        <v>46206</v>
      </c>
      <c r="B1105" s="12" t="str">
        <f t="shared" si="121"/>
        <v>JULHO</v>
      </c>
      <c r="C1105" s="12" t="s">
        <v>20</v>
      </c>
      <c r="D1105" s="12" t="s">
        <v>12</v>
      </c>
      <c r="E1105" s="13">
        <v>472</v>
      </c>
      <c r="F1105" s="13">
        <v>340</v>
      </c>
      <c r="G1105" s="12">
        <v>90</v>
      </c>
      <c r="H1105" s="14">
        <v>90</v>
      </c>
      <c r="I1105" s="12">
        <f>IFERROR(IF(T_PROD[[#This Row],[PREVISTO]]-T_PROD[[#This Row],[EFETIVO]]&lt; 0,0,T_PROD[[#This Row],[PREVISTO]]-T_PROD[[#This Row],[EFETIVO]] ),"")</f>
        <v>0</v>
      </c>
      <c r="J1105" s="15">
        <f>IFERROR(IF(T_PROD[[#This Row],[META]]&gt;0,(T_PROD[[#This Row],[META]]/T_PROD[[#This Row],[PREVISTO]]),""),"")</f>
        <v>5.2444444444444445</v>
      </c>
      <c r="K1105" s="15">
        <f>IFERROR(IF(T_PROD[[#This Row],[PRODUÇÃO]]&gt;0,(T_PROD[[#This Row],[PRODUÇÃO]]/T_PROD[[#This Row],[EFETIVO]]),""),"")</f>
        <v>3.7777777777777777</v>
      </c>
    </row>
    <row r="1106" spans="1:11" x14ac:dyDescent="0.3">
      <c r="A1106" s="11">
        <v>46206</v>
      </c>
      <c r="B1106" s="12" t="str">
        <f t="shared" si="121"/>
        <v>JULHO</v>
      </c>
      <c r="C1106" s="12" t="s">
        <v>11</v>
      </c>
      <c r="D1106" s="12" t="s">
        <v>12</v>
      </c>
      <c r="E1106" s="13">
        <v>640</v>
      </c>
      <c r="F1106" s="13">
        <v>650</v>
      </c>
      <c r="G1106" s="12">
        <v>32</v>
      </c>
      <c r="H1106" s="14">
        <v>32</v>
      </c>
      <c r="I1106" s="12">
        <f>IFERROR(IF(T_PROD[[#This Row],[PREVISTO]]-T_PROD[[#This Row],[EFETIVO]]&lt; 0,0,T_PROD[[#This Row],[PREVISTO]]-T_PROD[[#This Row],[EFETIVO]] ),"")</f>
        <v>0</v>
      </c>
      <c r="J1106" s="15">
        <f>IFERROR(IF(T_PROD[[#This Row],[META]]&gt;0,(T_PROD[[#This Row],[META]]/T_PROD[[#This Row],[PREVISTO]]),""),"")</f>
        <v>20</v>
      </c>
      <c r="K1106" s="15">
        <f>IFERROR(IF(T_PROD[[#This Row],[PRODUÇÃO]]&gt;0,(T_PROD[[#This Row],[PRODUÇÃO]]/T_PROD[[#This Row],[EFETIVO]]),""),"")</f>
        <v>20.3125</v>
      </c>
    </row>
    <row r="1107" spans="1:11" x14ac:dyDescent="0.3">
      <c r="A1107" s="11">
        <v>46206</v>
      </c>
      <c r="B1107" s="12" t="str">
        <f t="shared" si="121"/>
        <v>JULHO</v>
      </c>
      <c r="C1107" s="12" t="s">
        <v>32</v>
      </c>
      <c r="D1107" s="12" t="s">
        <v>12</v>
      </c>
      <c r="E1107" s="13">
        <v>33</v>
      </c>
      <c r="F1107" s="13">
        <v>35</v>
      </c>
      <c r="G1107" s="12">
        <v>3</v>
      </c>
      <c r="H1107" s="14">
        <v>3</v>
      </c>
      <c r="I1107" s="12">
        <f>IFERROR(IF(T_PROD[[#This Row],[PREVISTO]]-T_PROD[[#This Row],[EFETIVO]]&lt; 0,0,T_PROD[[#This Row],[PREVISTO]]-T_PROD[[#This Row],[EFETIVO]] ),"")</f>
        <v>0</v>
      </c>
      <c r="J1107" s="15">
        <f>IFERROR(IF(T_PROD[[#This Row],[META]]&gt;0,(T_PROD[[#This Row],[META]]/T_PROD[[#This Row],[PREVISTO]]),""),"")</f>
        <v>11</v>
      </c>
      <c r="K1107" s="15">
        <f>IFERROR(IF(T_PROD[[#This Row],[PRODUÇÃO]]&gt;0,(T_PROD[[#This Row],[PRODUÇÃO]]/T_PROD[[#This Row],[EFETIVO]]),""),"")</f>
        <v>11.666666666666666</v>
      </c>
    </row>
    <row r="1108" spans="1:11" x14ac:dyDescent="0.3">
      <c r="A1108" s="11">
        <v>46206</v>
      </c>
      <c r="B1108" s="12" t="str">
        <f t="shared" si="121"/>
        <v>JULHO</v>
      </c>
      <c r="C1108" s="12" t="s">
        <v>14</v>
      </c>
      <c r="D1108" s="12" t="s">
        <v>12</v>
      </c>
      <c r="E1108" s="13">
        <v>673</v>
      </c>
      <c r="F1108" s="13">
        <v>685</v>
      </c>
      <c r="G1108" s="12">
        <v>80</v>
      </c>
      <c r="H1108" s="14">
        <v>78</v>
      </c>
      <c r="I1108" s="12">
        <f>IFERROR(IF(T_PROD[[#This Row],[PREVISTO]]-T_PROD[[#This Row],[EFETIVO]]&lt; 0,0,T_PROD[[#This Row],[PREVISTO]]-T_PROD[[#This Row],[EFETIVO]] ),"")</f>
        <v>2</v>
      </c>
      <c r="J1108" s="15">
        <f>IFERROR(IF(T_PROD[[#This Row],[META]]&gt;0,(T_PROD[[#This Row],[META]]/T_PROD[[#This Row],[PREVISTO]]),""),"")</f>
        <v>8.4124999999999996</v>
      </c>
      <c r="K1108" s="15">
        <f>IFERROR(IF(T_PROD[[#This Row],[PRODUÇÃO]]&gt;0,(T_PROD[[#This Row],[PRODUÇÃO]]/T_PROD[[#This Row],[EFETIVO]]),""),"")</f>
        <v>8.7820512820512828</v>
      </c>
    </row>
    <row r="1109" spans="1:11" x14ac:dyDescent="0.3">
      <c r="A1109" s="11">
        <v>46209</v>
      </c>
      <c r="B1109" s="12" t="str">
        <f>UPPER(TEXT(A1109,"MMMM"))</f>
        <v>JULHO</v>
      </c>
      <c r="C1109" s="12" t="s">
        <v>15</v>
      </c>
      <c r="D1109" s="12" t="s">
        <v>12</v>
      </c>
      <c r="E1109" s="13">
        <v>82.5</v>
      </c>
      <c r="F1109" s="13">
        <v>67</v>
      </c>
      <c r="G1109" s="12">
        <v>5.5</v>
      </c>
      <c r="H1109" s="14">
        <v>5.5</v>
      </c>
      <c r="I1109" s="12">
        <f>IFERROR(IF(T_PROD[[#This Row],[PREVISTO]]-T_PROD[[#This Row],[EFETIVO]]&lt; 0,0,T_PROD[[#This Row],[PREVISTO]]-T_PROD[[#This Row],[EFETIVO]] ),"")</f>
        <v>0</v>
      </c>
      <c r="J1109" s="15">
        <f>IFERROR(IF(T_PROD[[#This Row],[META]]&gt;0,(T_PROD[[#This Row],[META]]/T_PROD[[#This Row],[PREVISTO]]),""),"")</f>
        <v>15</v>
      </c>
      <c r="K1109" s="15">
        <f>IFERROR(IF(T_PROD[[#This Row],[PRODUÇÃO]]&gt;0,(T_PROD[[#This Row],[PRODUÇÃO]]/T_PROD[[#This Row],[EFETIVO]]),""),"")</f>
        <v>12.181818181818182</v>
      </c>
    </row>
    <row r="1110" spans="1:11" x14ac:dyDescent="0.3">
      <c r="A1110" s="11">
        <v>46209</v>
      </c>
      <c r="B1110" s="12" t="str">
        <f t="shared" ref="B1110:B1117" si="122">UPPER(TEXT(A1110,"MMMM"))</f>
        <v>JULHO</v>
      </c>
      <c r="C1110" s="12" t="s">
        <v>16</v>
      </c>
      <c r="D1110" s="12" t="s">
        <v>12</v>
      </c>
      <c r="E1110" s="13">
        <v>187</v>
      </c>
      <c r="F1110" s="13">
        <v>186</v>
      </c>
      <c r="G1110" s="12">
        <v>5.5</v>
      </c>
      <c r="H1110" s="14">
        <v>5.5</v>
      </c>
      <c r="I1110" s="12">
        <f>IFERROR(IF(T_PROD[[#This Row],[PREVISTO]]-T_PROD[[#This Row],[EFETIVO]]&lt; 0,0,T_PROD[[#This Row],[PREVISTO]]-T_PROD[[#This Row],[EFETIVO]] ),"")</f>
        <v>0</v>
      </c>
      <c r="J1110" s="15">
        <f>IFERROR(IF(T_PROD[[#This Row],[META]]&gt;0,(T_PROD[[#This Row],[META]]/T_PROD[[#This Row],[PREVISTO]]),""),"")</f>
        <v>34</v>
      </c>
      <c r="K1110" s="15">
        <f>IFERROR(IF(T_PROD[[#This Row],[PRODUÇÃO]]&gt;0,(T_PROD[[#This Row],[PRODUÇÃO]]/T_PROD[[#This Row],[EFETIVO]]),""),"")</f>
        <v>33.81818181818182</v>
      </c>
    </row>
    <row r="1111" spans="1:11" x14ac:dyDescent="0.3">
      <c r="A1111" s="11">
        <v>46209</v>
      </c>
      <c r="B1111" s="12" t="str">
        <f t="shared" si="122"/>
        <v>JULHO</v>
      </c>
      <c r="C1111" s="12" t="s">
        <v>17</v>
      </c>
      <c r="D1111" s="12" t="s">
        <v>12</v>
      </c>
      <c r="E1111" s="13">
        <v>192</v>
      </c>
      <c r="F1111" s="13">
        <v>227</v>
      </c>
      <c r="G1111" s="12">
        <v>12</v>
      </c>
      <c r="H1111" s="14">
        <v>12</v>
      </c>
      <c r="I1111" s="12">
        <f>IFERROR(IF(T_PROD[[#This Row],[PREVISTO]]-T_PROD[[#This Row],[EFETIVO]]&lt; 0,0,T_PROD[[#This Row],[PREVISTO]]-T_PROD[[#This Row],[EFETIVO]] ),"")</f>
        <v>0</v>
      </c>
      <c r="J1111" s="15">
        <f>IFERROR(IF(T_PROD[[#This Row],[META]]&gt;0,(T_PROD[[#This Row],[META]]/T_PROD[[#This Row],[PREVISTO]]),""),"")</f>
        <v>16</v>
      </c>
      <c r="K1111" s="15">
        <f>IFERROR(IF(T_PROD[[#This Row],[PRODUÇÃO]]&gt;0,(T_PROD[[#This Row],[PRODUÇÃO]]/T_PROD[[#This Row],[EFETIVO]]),""),"")</f>
        <v>18.916666666666668</v>
      </c>
    </row>
    <row r="1112" spans="1:11" x14ac:dyDescent="0.3">
      <c r="A1112" s="11">
        <v>46209</v>
      </c>
      <c r="B1112" s="12" t="str">
        <f t="shared" si="122"/>
        <v>JULHO</v>
      </c>
      <c r="C1112" s="12" t="s">
        <v>18</v>
      </c>
      <c r="D1112" s="12" t="s">
        <v>12</v>
      </c>
      <c r="E1112" s="13"/>
      <c r="F1112" s="13"/>
      <c r="G1112" s="12"/>
      <c r="H1112" s="14"/>
      <c r="I1112" s="12">
        <f>IFERROR(IF(T_PROD[[#This Row],[PREVISTO]]-T_PROD[[#This Row],[EFETIVO]]&lt; 0,0,T_PROD[[#This Row],[PREVISTO]]-T_PROD[[#This Row],[EFETIVO]] ),"")</f>
        <v>0</v>
      </c>
      <c r="J1112" s="15" t="str">
        <f>IFERROR(IF(T_PROD[[#This Row],[META]]&gt;0,(T_PROD[[#This Row],[META]]/T_PROD[[#This Row],[PREVISTO]]),""),"")</f>
        <v/>
      </c>
      <c r="K1112" s="15" t="str">
        <f>IFERROR(IF(T_PROD[[#This Row],[PRODUÇÃO]]&gt;0,(T_PROD[[#This Row],[PRODUÇÃO]]/T_PROD[[#This Row],[EFETIVO]]),""),"")</f>
        <v/>
      </c>
    </row>
    <row r="1113" spans="1:11" x14ac:dyDescent="0.3">
      <c r="A1113" s="11">
        <v>46209</v>
      </c>
      <c r="B1113" s="12" t="str">
        <f t="shared" si="122"/>
        <v>JULHO</v>
      </c>
      <c r="C1113" s="12" t="s">
        <v>19</v>
      </c>
      <c r="D1113" s="12" t="s">
        <v>12</v>
      </c>
      <c r="E1113" s="13"/>
      <c r="F1113" s="13"/>
      <c r="G1113" s="12"/>
      <c r="H1113" s="14"/>
      <c r="I1113" s="12">
        <f>IFERROR(IF(T_PROD[[#This Row],[PREVISTO]]-T_PROD[[#This Row],[EFETIVO]]&lt; 0,0,T_PROD[[#This Row],[PREVISTO]]-T_PROD[[#This Row],[EFETIVO]] ),"")</f>
        <v>0</v>
      </c>
      <c r="J1113" s="15" t="str">
        <f>IFERROR(IF(T_PROD[[#This Row],[META]]&gt;0,(T_PROD[[#This Row],[META]]/T_PROD[[#This Row],[PREVISTO]]),""),"")</f>
        <v/>
      </c>
      <c r="K1113" s="15" t="str">
        <f>IFERROR(IF(T_PROD[[#This Row],[PRODUÇÃO]]&gt;0,(T_PROD[[#This Row],[PRODUÇÃO]]/T_PROD[[#This Row],[EFETIVO]]),""),"")</f>
        <v/>
      </c>
    </row>
    <row r="1114" spans="1:11" x14ac:dyDescent="0.3">
      <c r="A1114" s="11">
        <v>46209</v>
      </c>
      <c r="B1114" s="12" t="str">
        <f t="shared" si="122"/>
        <v>JULHO</v>
      </c>
      <c r="C1114" s="12" t="s">
        <v>20</v>
      </c>
      <c r="D1114" s="12" t="s">
        <v>12</v>
      </c>
      <c r="E1114" s="13">
        <v>462</v>
      </c>
      <c r="F1114" s="13">
        <v>480</v>
      </c>
      <c r="G1114" s="12">
        <v>90</v>
      </c>
      <c r="H1114" s="14">
        <v>90</v>
      </c>
      <c r="I1114" s="12">
        <f>IFERROR(IF(T_PROD[[#This Row],[PREVISTO]]-T_PROD[[#This Row],[EFETIVO]]&lt; 0,0,T_PROD[[#This Row],[PREVISTO]]-T_PROD[[#This Row],[EFETIVO]] ),"")</f>
        <v>0</v>
      </c>
      <c r="J1114" s="15">
        <f>IFERROR(IF(T_PROD[[#This Row],[META]]&gt;0,(T_PROD[[#This Row],[META]]/T_PROD[[#This Row],[PREVISTO]]),""),"")</f>
        <v>5.1333333333333337</v>
      </c>
      <c r="K1114" s="15">
        <f>IFERROR(IF(T_PROD[[#This Row],[PRODUÇÃO]]&gt;0,(T_PROD[[#This Row],[PRODUÇÃO]]/T_PROD[[#This Row],[EFETIVO]]),""),"")</f>
        <v>5.333333333333333</v>
      </c>
    </row>
    <row r="1115" spans="1:11" x14ac:dyDescent="0.3">
      <c r="A1115" s="11">
        <v>46209</v>
      </c>
      <c r="B1115" s="12" t="str">
        <f t="shared" si="122"/>
        <v>JULHO</v>
      </c>
      <c r="C1115" s="12" t="s">
        <v>11</v>
      </c>
      <c r="D1115" s="12" t="s">
        <v>12</v>
      </c>
      <c r="E1115" s="13">
        <v>680</v>
      </c>
      <c r="F1115" s="13">
        <v>550</v>
      </c>
      <c r="G1115" s="12">
        <v>34</v>
      </c>
      <c r="H1115" s="14">
        <v>34</v>
      </c>
      <c r="I1115" s="12">
        <f>IFERROR(IF(T_PROD[[#This Row],[PREVISTO]]-T_PROD[[#This Row],[EFETIVO]]&lt; 0,0,T_PROD[[#This Row],[PREVISTO]]-T_PROD[[#This Row],[EFETIVO]] ),"")</f>
        <v>0</v>
      </c>
      <c r="J1115" s="15">
        <f>IFERROR(IF(T_PROD[[#This Row],[META]]&gt;0,(T_PROD[[#This Row],[META]]/T_PROD[[#This Row],[PREVISTO]]),""),"")</f>
        <v>20</v>
      </c>
      <c r="K1115" s="15">
        <f>IFERROR(IF(T_PROD[[#This Row],[PRODUÇÃO]]&gt;0,(T_PROD[[#This Row],[PRODUÇÃO]]/T_PROD[[#This Row],[EFETIVO]]),""),"")</f>
        <v>16.176470588235293</v>
      </c>
    </row>
    <row r="1116" spans="1:11" x14ac:dyDescent="0.3">
      <c r="A1116" s="11">
        <v>46209</v>
      </c>
      <c r="B1116" s="12" t="str">
        <f t="shared" si="122"/>
        <v>JULHO</v>
      </c>
      <c r="C1116" s="12" t="s">
        <v>32</v>
      </c>
      <c r="D1116" s="12" t="s">
        <v>12</v>
      </c>
      <c r="E1116" s="13">
        <v>44</v>
      </c>
      <c r="F1116" s="13">
        <v>46</v>
      </c>
      <c r="G1116" s="12">
        <v>4</v>
      </c>
      <c r="H1116" s="14">
        <v>4</v>
      </c>
      <c r="I1116" s="12">
        <f>IFERROR(IF(T_PROD[[#This Row],[PREVISTO]]-T_PROD[[#This Row],[EFETIVO]]&lt; 0,0,T_PROD[[#This Row],[PREVISTO]]-T_PROD[[#This Row],[EFETIVO]] ),"")</f>
        <v>0</v>
      </c>
      <c r="J1116" s="15">
        <f>IFERROR(IF(T_PROD[[#This Row],[META]]&gt;0,(T_PROD[[#This Row],[META]]/T_PROD[[#This Row],[PREVISTO]]),""),"")</f>
        <v>11</v>
      </c>
      <c r="K1116" s="15">
        <f>IFERROR(IF(T_PROD[[#This Row],[PRODUÇÃO]]&gt;0,(T_PROD[[#This Row],[PRODUÇÃO]]/T_PROD[[#This Row],[EFETIVO]]),""),"")</f>
        <v>11.5</v>
      </c>
    </row>
    <row r="1117" spans="1:11" x14ac:dyDescent="0.3">
      <c r="A1117" s="11">
        <v>46209</v>
      </c>
      <c r="B1117" s="12" t="str">
        <f t="shared" si="122"/>
        <v>JULHO</v>
      </c>
      <c r="C1117" s="12" t="s">
        <v>14</v>
      </c>
      <c r="D1117" s="12" t="s">
        <v>12</v>
      </c>
      <c r="E1117" s="13">
        <v>724</v>
      </c>
      <c r="F1117" s="13">
        <v>596</v>
      </c>
      <c r="G1117" s="12">
        <v>93</v>
      </c>
      <c r="H1117" s="14">
        <v>85</v>
      </c>
      <c r="I1117" s="12">
        <f>IFERROR(IF(T_PROD[[#This Row],[PREVISTO]]-T_PROD[[#This Row],[EFETIVO]]&lt; 0,0,T_PROD[[#This Row],[PREVISTO]]-T_PROD[[#This Row],[EFETIVO]] ),"")</f>
        <v>8</v>
      </c>
      <c r="J1117" s="15">
        <f>IFERROR(IF(T_PROD[[#This Row],[META]]&gt;0,(T_PROD[[#This Row],[META]]/T_PROD[[#This Row],[PREVISTO]]),""),"")</f>
        <v>7.78494623655914</v>
      </c>
      <c r="K1117" s="15">
        <f>IFERROR(IF(T_PROD[[#This Row],[PRODUÇÃO]]&gt;0,(T_PROD[[#This Row],[PRODUÇÃO]]/T_PROD[[#This Row],[EFETIVO]]),""),"")</f>
        <v>7.0117647058823529</v>
      </c>
    </row>
    <row r="1118" spans="1:11" x14ac:dyDescent="0.3">
      <c r="A1118" s="11">
        <v>46210</v>
      </c>
      <c r="B1118" s="12" t="str">
        <f>UPPER(TEXT(A1118,"MMMM"))</f>
        <v>JULHO</v>
      </c>
      <c r="C1118" s="12" t="s">
        <v>15</v>
      </c>
      <c r="D1118" s="12" t="s">
        <v>12</v>
      </c>
      <c r="E1118" s="13">
        <v>90</v>
      </c>
      <c r="F1118" s="13">
        <v>63</v>
      </c>
      <c r="G1118" s="12">
        <v>6</v>
      </c>
      <c r="H1118" s="14">
        <v>6</v>
      </c>
      <c r="I1118" s="12">
        <f>IFERROR(IF(T_PROD[[#This Row],[PREVISTO]]-T_PROD[[#This Row],[EFETIVO]]&lt; 0,0,T_PROD[[#This Row],[PREVISTO]]-T_PROD[[#This Row],[EFETIVO]] ),"")</f>
        <v>0</v>
      </c>
      <c r="J1118" s="15">
        <f>IFERROR(IF(T_PROD[[#This Row],[META]]&gt;0,(T_PROD[[#This Row],[META]]/T_PROD[[#This Row],[PREVISTO]]),""),"")</f>
        <v>15</v>
      </c>
      <c r="K1118" s="15">
        <f>IFERROR(IF(T_PROD[[#This Row],[PRODUÇÃO]]&gt;0,(T_PROD[[#This Row],[PRODUÇÃO]]/T_PROD[[#This Row],[EFETIVO]]),""),"")</f>
        <v>10.5</v>
      </c>
    </row>
    <row r="1119" spans="1:11" x14ac:dyDescent="0.3">
      <c r="A1119" s="11">
        <v>46210</v>
      </c>
      <c r="B1119" s="12" t="str">
        <f t="shared" ref="B1119:B1126" si="123">UPPER(TEXT(A1119,"MMMM"))</f>
        <v>JULHO</v>
      </c>
      <c r="C1119" s="12" t="s">
        <v>16</v>
      </c>
      <c r="D1119" s="12" t="s">
        <v>12</v>
      </c>
      <c r="E1119" s="13">
        <v>204</v>
      </c>
      <c r="F1119" s="13">
        <v>200</v>
      </c>
      <c r="G1119" s="12">
        <v>6</v>
      </c>
      <c r="H1119" s="14">
        <v>6</v>
      </c>
      <c r="I1119" s="12">
        <f>IFERROR(IF(T_PROD[[#This Row],[PREVISTO]]-T_PROD[[#This Row],[EFETIVO]]&lt; 0,0,T_PROD[[#This Row],[PREVISTO]]-T_PROD[[#This Row],[EFETIVO]] ),"")</f>
        <v>0</v>
      </c>
      <c r="J1119" s="15">
        <f>IFERROR(IF(T_PROD[[#This Row],[META]]&gt;0,(T_PROD[[#This Row],[META]]/T_PROD[[#This Row],[PREVISTO]]),""),"")</f>
        <v>34</v>
      </c>
      <c r="K1119" s="15">
        <f>IFERROR(IF(T_PROD[[#This Row],[PRODUÇÃO]]&gt;0,(T_PROD[[#This Row],[PRODUÇÃO]]/T_PROD[[#This Row],[EFETIVO]]),""),"")</f>
        <v>33.333333333333336</v>
      </c>
    </row>
    <row r="1120" spans="1:11" x14ac:dyDescent="0.3">
      <c r="A1120" s="11">
        <v>46210</v>
      </c>
      <c r="B1120" s="12" t="str">
        <f t="shared" si="123"/>
        <v>JULHO</v>
      </c>
      <c r="C1120" s="12" t="s">
        <v>17</v>
      </c>
      <c r="D1120" s="12" t="s">
        <v>12</v>
      </c>
      <c r="E1120" s="13">
        <v>152</v>
      </c>
      <c r="F1120" s="13">
        <v>106</v>
      </c>
      <c r="G1120" s="12">
        <v>9.5</v>
      </c>
      <c r="H1120" s="14">
        <v>9.5</v>
      </c>
      <c r="I1120" s="12">
        <f>IFERROR(IF(T_PROD[[#This Row],[PREVISTO]]-T_PROD[[#This Row],[EFETIVO]]&lt; 0,0,T_PROD[[#This Row],[PREVISTO]]-T_PROD[[#This Row],[EFETIVO]] ),"")</f>
        <v>0</v>
      </c>
      <c r="J1120" s="15">
        <f>IFERROR(IF(T_PROD[[#This Row],[META]]&gt;0,(T_PROD[[#This Row],[META]]/T_PROD[[#This Row],[PREVISTO]]),""),"")</f>
        <v>16</v>
      </c>
      <c r="K1120" s="15">
        <f>IFERROR(IF(T_PROD[[#This Row],[PRODUÇÃO]]&gt;0,(T_PROD[[#This Row],[PRODUÇÃO]]/T_PROD[[#This Row],[EFETIVO]]),""),"")</f>
        <v>11.157894736842104</v>
      </c>
    </row>
    <row r="1121" spans="1:11" x14ac:dyDescent="0.3">
      <c r="A1121" s="11">
        <v>46210</v>
      </c>
      <c r="B1121" s="12" t="str">
        <f t="shared" si="123"/>
        <v>JULHO</v>
      </c>
      <c r="C1121" s="12" t="s">
        <v>18</v>
      </c>
      <c r="D1121" s="12" t="s">
        <v>12</v>
      </c>
      <c r="E1121" s="13"/>
      <c r="F1121" s="13"/>
      <c r="G1121" s="12"/>
      <c r="H1121" s="14"/>
      <c r="I1121" s="12">
        <f>IFERROR(IF(T_PROD[[#This Row],[PREVISTO]]-T_PROD[[#This Row],[EFETIVO]]&lt; 0,0,T_PROD[[#This Row],[PREVISTO]]-T_PROD[[#This Row],[EFETIVO]] ),"")</f>
        <v>0</v>
      </c>
      <c r="J1121" s="15" t="str">
        <f>IFERROR(IF(T_PROD[[#This Row],[META]]&gt;0,(T_PROD[[#This Row],[META]]/T_PROD[[#This Row],[PREVISTO]]),""),"")</f>
        <v/>
      </c>
      <c r="K1121" s="15" t="str">
        <f>IFERROR(IF(T_PROD[[#This Row],[PRODUÇÃO]]&gt;0,(T_PROD[[#This Row],[PRODUÇÃO]]/T_PROD[[#This Row],[EFETIVO]]),""),"")</f>
        <v/>
      </c>
    </row>
    <row r="1122" spans="1:11" x14ac:dyDescent="0.3">
      <c r="A1122" s="11">
        <v>46210</v>
      </c>
      <c r="B1122" s="12" t="str">
        <f t="shared" si="123"/>
        <v>JULHO</v>
      </c>
      <c r="C1122" s="12" t="s">
        <v>19</v>
      </c>
      <c r="D1122" s="12" t="s">
        <v>12</v>
      </c>
      <c r="E1122" s="13"/>
      <c r="F1122" s="13"/>
      <c r="G1122" s="12"/>
      <c r="H1122" s="14"/>
      <c r="I1122" s="12">
        <f>IFERROR(IF(T_PROD[[#This Row],[PREVISTO]]-T_PROD[[#This Row],[EFETIVO]]&lt; 0,0,T_PROD[[#This Row],[PREVISTO]]-T_PROD[[#This Row],[EFETIVO]] ),"")</f>
        <v>0</v>
      </c>
      <c r="J1122" s="15" t="str">
        <f>IFERROR(IF(T_PROD[[#This Row],[META]]&gt;0,(T_PROD[[#This Row],[META]]/T_PROD[[#This Row],[PREVISTO]]),""),"")</f>
        <v/>
      </c>
      <c r="K1122" s="15" t="str">
        <f>IFERROR(IF(T_PROD[[#This Row],[PRODUÇÃO]]&gt;0,(T_PROD[[#This Row],[PRODUÇÃO]]/T_PROD[[#This Row],[EFETIVO]]),""),"")</f>
        <v/>
      </c>
    </row>
    <row r="1123" spans="1:11" x14ac:dyDescent="0.3">
      <c r="A1123" s="11">
        <v>46210</v>
      </c>
      <c r="B1123" s="12" t="str">
        <f t="shared" si="123"/>
        <v>JULHO</v>
      </c>
      <c r="C1123" s="12" t="s">
        <v>20</v>
      </c>
      <c r="D1123" s="12" t="s">
        <v>12</v>
      </c>
      <c r="E1123" s="13">
        <v>446</v>
      </c>
      <c r="F1123" s="13">
        <v>369</v>
      </c>
      <c r="G1123" s="12">
        <v>90</v>
      </c>
      <c r="H1123" s="14">
        <v>90</v>
      </c>
      <c r="I1123" s="12">
        <f>IFERROR(IF(T_PROD[[#This Row],[PREVISTO]]-T_PROD[[#This Row],[EFETIVO]]&lt; 0,0,T_PROD[[#This Row],[PREVISTO]]-T_PROD[[#This Row],[EFETIVO]] ),"")</f>
        <v>0</v>
      </c>
      <c r="J1123" s="15">
        <f>IFERROR(IF(T_PROD[[#This Row],[META]]&gt;0,(T_PROD[[#This Row],[META]]/T_PROD[[#This Row],[PREVISTO]]),""),"")</f>
        <v>4.9555555555555557</v>
      </c>
      <c r="K1123" s="15">
        <f>IFERROR(IF(T_PROD[[#This Row],[PRODUÇÃO]]&gt;0,(T_PROD[[#This Row],[PRODUÇÃO]]/T_PROD[[#This Row],[EFETIVO]]),""),"")</f>
        <v>4.0999999999999996</v>
      </c>
    </row>
    <row r="1124" spans="1:11" x14ac:dyDescent="0.3">
      <c r="A1124" s="11">
        <v>46210</v>
      </c>
      <c r="B1124" s="12" t="str">
        <f t="shared" si="123"/>
        <v>JULHO</v>
      </c>
      <c r="C1124" s="12" t="s">
        <v>11</v>
      </c>
      <c r="D1124" s="12" t="s">
        <v>12</v>
      </c>
      <c r="E1124" s="13">
        <v>720</v>
      </c>
      <c r="F1124" s="13">
        <v>715</v>
      </c>
      <c r="G1124" s="12">
        <v>36</v>
      </c>
      <c r="H1124" s="14">
        <v>36</v>
      </c>
      <c r="I1124" s="12">
        <f>IFERROR(IF(T_PROD[[#This Row],[PREVISTO]]-T_PROD[[#This Row],[EFETIVO]]&lt; 0,0,T_PROD[[#This Row],[PREVISTO]]-T_PROD[[#This Row],[EFETIVO]] ),"")</f>
        <v>0</v>
      </c>
      <c r="J1124" s="15">
        <f>IFERROR(IF(T_PROD[[#This Row],[META]]&gt;0,(T_PROD[[#This Row],[META]]/T_PROD[[#This Row],[PREVISTO]]),""),"")</f>
        <v>20</v>
      </c>
      <c r="K1124" s="15">
        <f>IFERROR(IF(T_PROD[[#This Row],[PRODUÇÃO]]&gt;0,(T_PROD[[#This Row],[PRODUÇÃO]]/T_PROD[[#This Row],[EFETIVO]]),""),"")</f>
        <v>19.861111111111111</v>
      </c>
    </row>
    <row r="1125" spans="1:11" x14ac:dyDescent="0.3">
      <c r="A1125" s="11">
        <v>46210</v>
      </c>
      <c r="B1125" s="12" t="str">
        <f t="shared" si="123"/>
        <v>JULHO</v>
      </c>
      <c r="C1125" s="12" t="s">
        <v>32</v>
      </c>
      <c r="D1125" s="12" t="s">
        <v>12</v>
      </c>
      <c r="E1125" s="13">
        <v>44</v>
      </c>
      <c r="F1125" s="13">
        <v>52</v>
      </c>
      <c r="G1125" s="12">
        <v>4</v>
      </c>
      <c r="H1125" s="14">
        <v>4</v>
      </c>
      <c r="I1125" s="12">
        <f>IFERROR(IF(T_PROD[[#This Row],[PREVISTO]]-T_PROD[[#This Row],[EFETIVO]]&lt; 0,0,T_PROD[[#This Row],[PREVISTO]]-T_PROD[[#This Row],[EFETIVO]] ),"")</f>
        <v>0</v>
      </c>
      <c r="J1125" s="15">
        <f>IFERROR(IF(T_PROD[[#This Row],[META]]&gt;0,(T_PROD[[#This Row],[META]]/T_PROD[[#This Row],[PREVISTO]]),""),"")</f>
        <v>11</v>
      </c>
      <c r="K1125" s="15">
        <f>IFERROR(IF(T_PROD[[#This Row],[PRODUÇÃO]]&gt;0,(T_PROD[[#This Row],[PRODUÇÃO]]/T_PROD[[#This Row],[EFETIVO]]),""),"")</f>
        <v>13</v>
      </c>
    </row>
    <row r="1126" spans="1:11" x14ac:dyDescent="0.3">
      <c r="A1126" s="11">
        <v>46210</v>
      </c>
      <c r="B1126" s="12" t="str">
        <f t="shared" si="123"/>
        <v>JULHO</v>
      </c>
      <c r="C1126" s="12" t="s">
        <v>14</v>
      </c>
      <c r="D1126" s="12" t="s">
        <v>12</v>
      </c>
      <c r="E1126" s="13">
        <v>764</v>
      </c>
      <c r="F1126" s="13">
        <v>767</v>
      </c>
      <c r="G1126" s="12">
        <v>90</v>
      </c>
      <c r="H1126" s="14">
        <v>87</v>
      </c>
      <c r="I1126" s="12">
        <f>IFERROR(IF(T_PROD[[#This Row],[PREVISTO]]-T_PROD[[#This Row],[EFETIVO]]&lt; 0,0,T_PROD[[#This Row],[PREVISTO]]-T_PROD[[#This Row],[EFETIVO]] ),"")</f>
        <v>3</v>
      </c>
      <c r="J1126" s="15">
        <f>IFERROR(IF(T_PROD[[#This Row],[META]]&gt;0,(T_PROD[[#This Row],[META]]/T_PROD[[#This Row],[PREVISTO]]),""),"")</f>
        <v>8.4888888888888889</v>
      </c>
      <c r="K1126" s="15">
        <f>IFERROR(IF(T_PROD[[#This Row],[PRODUÇÃO]]&gt;0,(T_PROD[[#This Row],[PRODUÇÃO]]/T_PROD[[#This Row],[EFETIVO]]),""),"")</f>
        <v>8.8160919540229887</v>
      </c>
    </row>
    <row r="1127" spans="1:11" x14ac:dyDescent="0.3">
      <c r="A1127" s="11">
        <v>46211</v>
      </c>
      <c r="B1127" s="12" t="str">
        <f>UPPER(TEXT(A1127,"MMMM"))</f>
        <v>JULHO</v>
      </c>
      <c r="C1127" s="12" t="s">
        <v>15</v>
      </c>
      <c r="D1127" s="12" t="s">
        <v>12</v>
      </c>
      <c r="E1127" s="13">
        <v>82.5</v>
      </c>
      <c r="F1127" s="13">
        <v>53</v>
      </c>
      <c r="G1127" s="12">
        <v>5.5</v>
      </c>
      <c r="H1127" s="14">
        <v>5.5</v>
      </c>
      <c r="I1127" s="12">
        <f>IFERROR(IF(T_PROD[[#This Row],[PREVISTO]]-T_PROD[[#This Row],[EFETIVO]]&lt; 0,0,T_PROD[[#This Row],[PREVISTO]]-T_PROD[[#This Row],[EFETIVO]] ),"")</f>
        <v>0</v>
      </c>
      <c r="J1127" s="15">
        <f>IFERROR(IF(T_PROD[[#This Row],[META]]&gt;0,(T_PROD[[#This Row],[META]]/T_PROD[[#This Row],[PREVISTO]]),""),"")</f>
        <v>15</v>
      </c>
      <c r="K1127" s="15">
        <f>IFERROR(IF(T_PROD[[#This Row],[PRODUÇÃO]]&gt;0,(T_PROD[[#This Row],[PRODUÇÃO]]/T_PROD[[#This Row],[EFETIVO]]),""),"")</f>
        <v>9.6363636363636367</v>
      </c>
    </row>
    <row r="1128" spans="1:11" x14ac:dyDescent="0.3">
      <c r="A1128" s="11">
        <v>46211</v>
      </c>
      <c r="B1128" s="12" t="str">
        <f t="shared" ref="B1128:B1135" si="124">UPPER(TEXT(A1128,"MMMM"))</f>
        <v>JULHO</v>
      </c>
      <c r="C1128" s="12" t="s">
        <v>16</v>
      </c>
      <c r="D1128" s="12" t="s">
        <v>12</v>
      </c>
      <c r="E1128" s="13">
        <v>204</v>
      </c>
      <c r="F1128" s="13">
        <v>204</v>
      </c>
      <c r="G1128" s="12">
        <v>6</v>
      </c>
      <c r="H1128" s="14">
        <v>6</v>
      </c>
      <c r="I1128" s="12">
        <f>IFERROR(IF(T_PROD[[#This Row],[PREVISTO]]-T_PROD[[#This Row],[EFETIVO]]&lt; 0,0,T_PROD[[#This Row],[PREVISTO]]-T_PROD[[#This Row],[EFETIVO]] ),"")</f>
        <v>0</v>
      </c>
      <c r="J1128" s="15">
        <f>IFERROR(IF(T_PROD[[#This Row],[META]]&gt;0,(T_PROD[[#This Row],[META]]/T_PROD[[#This Row],[PREVISTO]]),""),"")</f>
        <v>34</v>
      </c>
      <c r="K1128" s="15">
        <f>IFERROR(IF(T_PROD[[#This Row],[PRODUÇÃO]]&gt;0,(T_PROD[[#This Row],[PRODUÇÃO]]/T_PROD[[#This Row],[EFETIVO]]),""),"")</f>
        <v>34</v>
      </c>
    </row>
    <row r="1129" spans="1:11" x14ac:dyDescent="0.3">
      <c r="A1129" s="11">
        <v>46211</v>
      </c>
      <c r="B1129" s="12" t="str">
        <f t="shared" si="124"/>
        <v>JULHO</v>
      </c>
      <c r="C1129" s="12" t="s">
        <v>17</v>
      </c>
      <c r="D1129" s="12" t="s">
        <v>12</v>
      </c>
      <c r="E1129" s="13">
        <v>184</v>
      </c>
      <c r="F1129" s="13">
        <v>258</v>
      </c>
      <c r="G1129" s="12">
        <v>11.5</v>
      </c>
      <c r="H1129" s="14">
        <v>11.5</v>
      </c>
      <c r="I1129" s="12">
        <f>IFERROR(IF(T_PROD[[#This Row],[PREVISTO]]-T_PROD[[#This Row],[EFETIVO]]&lt; 0,0,T_PROD[[#This Row],[PREVISTO]]-T_PROD[[#This Row],[EFETIVO]] ),"")</f>
        <v>0</v>
      </c>
      <c r="J1129" s="15">
        <f>IFERROR(IF(T_PROD[[#This Row],[META]]&gt;0,(T_PROD[[#This Row],[META]]/T_PROD[[#This Row],[PREVISTO]]),""),"")</f>
        <v>16</v>
      </c>
      <c r="K1129" s="15">
        <f>IFERROR(IF(T_PROD[[#This Row],[PRODUÇÃO]]&gt;0,(T_PROD[[#This Row],[PRODUÇÃO]]/T_PROD[[#This Row],[EFETIVO]]),""),"")</f>
        <v>22.434782608695652</v>
      </c>
    </row>
    <row r="1130" spans="1:11" x14ac:dyDescent="0.3">
      <c r="A1130" s="11">
        <v>46211</v>
      </c>
      <c r="B1130" s="12" t="str">
        <f t="shared" si="124"/>
        <v>JULHO</v>
      </c>
      <c r="C1130" s="12" t="s">
        <v>18</v>
      </c>
      <c r="D1130" s="12" t="s">
        <v>12</v>
      </c>
      <c r="E1130" s="13"/>
      <c r="F1130" s="13"/>
      <c r="G1130" s="12"/>
      <c r="H1130" s="14"/>
      <c r="I1130" s="12">
        <f>IFERROR(IF(T_PROD[[#This Row],[PREVISTO]]-T_PROD[[#This Row],[EFETIVO]]&lt; 0,0,T_PROD[[#This Row],[PREVISTO]]-T_PROD[[#This Row],[EFETIVO]] ),"")</f>
        <v>0</v>
      </c>
      <c r="J1130" s="15" t="str">
        <f>IFERROR(IF(T_PROD[[#This Row],[META]]&gt;0,(T_PROD[[#This Row],[META]]/T_PROD[[#This Row],[PREVISTO]]),""),"")</f>
        <v/>
      </c>
      <c r="K1130" s="15" t="str">
        <f>IFERROR(IF(T_PROD[[#This Row],[PRODUÇÃO]]&gt;0,(T_PROD[[#This Row],[PRODUÇÃO]]/T_PROD[[#This Row],[EFETIVO]]),""),"")</f>
        <v/>
      </c>
    </row>
    <row r="1131" spans="1:11" x14ac:dyDescent="0.3">
      <c r="A1131" s="11">
        <v>46211</v>
      </c>
      <c r="B1131" s="12" t="str">
        <f t="shared" si="124"/>
        <v>JULHO</v>
      </c>
      <c r="C1131" s="12" t="s">
        <v>19</v>
      </c>
      <c r="D1131" s="12" t="s">
        <v>12</v>
      </c>
      <c r="E1131" s="13"/>
      <c r="F1131" s="13"/>
      <c r="G1131" s="12"/>
      <c r="H1131" s="14"/>
      <c r="I1131" s="12">
        <f>IFERROR(IF(T_PROD[[#This Row],[PREVISTO]]-T_PROD[[#This Row],[EFETIVO]]&lt; 0,0,T_PROD[[#This Row],[PREVISTO]]-T_PROD[[#This Row],[EFETIVO]] ),"")</f>
        <v>0</v>
      </c>
      <c r="J1131" s="15" t="str">
        <f>IFERROR(IF(T_PROD[[#This Row],[META]]&gt;0,(T_PROD[[#This Row],[META]]/T_PROD[[#This Row],[PREVISTO]]),""),"")</f>
        <v/>
      </c>
      <c r="K1131" s="15" t="str">
        <f>IFERROR(IF(T_PROD[[#This Row],[PRODUÇÃO]]&gt;0,(T_PROD[[#This Row],[PRODUÇÃO]]/T_PROD[[#This Row],[EFETIVO]]),""),"")</f>
        <v/>
      </c>
    </row>
    <row r="1132" spans="1:11" x14ac:dyDescent="0.3">
      <c r="A1132" s="11">
        <v>46211</v>
      </c>
      <c r="B1132" s="12" t="str">
        <f t="shared" si="124"/>
        <v>JULHO</v>
      </c>
      <c r="C1132" s="12" t="s">
        <v>20</v>
      </c>
      <c r="D1132" s="12" t="s">
        <v>12</v>
      </c>
      <c r="E1132" s="13">
        <v>471</v>
      </c>
      <c r="F1132" s="13">
        <v>515</v>
      </c>
      <c r="G1132" s="12">
        <v>90</v>
      </c>
      <c r="H1132" s="14">
        <v>90</v>
      </c>
      <c r="I1132" s="12">
        <f>IFERROR(IF(T_PROD[[#This Row],[PREVISTO]]-T_PROD[[#This Row],[EFETIVO]]&lt; 0,0,T_PROD[[#This Row],[PREVISTO]]-T_PROD[[#This Row],[EFETIVO]] ),"")</f>
        <v>0</v>
      </c>
      <c r="J1132" s="15">
        <f>IFERROR(IF(T_PROD[[#This Row],[META]]&gt;0,(T_PROD[[#This Row],[META]]/T_PROD[[#This Row],[PREVISTO]]),""),"")</f>
        <v>5.2333333333333334</v>
      </c>
      <c r="K1132" s="15">
        <f>IFERROR(IF(T_PROD[[#This Row],[PRODUÇÃO]]&gt;0,(T_PROD[[#This Row],[PRODUÇÃO]]/T_PROD[[#This Row],[EFETIVO]]),""),"")</f>
        <v>5.7222222222222223</v>
      </c>
    </row>
    <row r="1133" spans="1:11" x14ac:dyDescent="0.3">
      <c r="A1133" s="11">
        <v>46211</v>
      </c>
      <c r="B1133" s="12" t="str">
        <f t="shared" si="124"/>
        <v>JULHO</v>
      </c>
      <c r="C1133" s="12" t="s">
        <v>11</v>
      </c>
      <c r="D1133" s="12" t="s">
        <v>12</v>
      </c>
      <c r="E1133" s="13">
        <v>740</v>
      </c>
      <c r="F1133" s="13">
        <v>715</v>
      </c>
      <c r="G1133" s="12">
        <v>37</v>
      </c>
      <c r="H1133" s="14">
        <v>37</v>
      </c>
      <c r="I1133" s="12">
        <f>IFERROR(IF(T_PROD[[#This Row],[PREVISTO]]-T_PROD[[#This Row],[EFETIVO]]&lt; 0,0,T_PROD[[#This Row],[PREVISTO]]-T_PROD[[#This Row],[EFETIVO]] ),"")</f>
        <v>0</v>
      </c>
      <c r="J1133" s="15">
        <f>IFERROR(IF(T_PROD[[#This Row],[META]]&gt;0,(T_PROD[[#This Row],[META]]/T_PROD[[#This Row],[PREVISTO]]),""),"")</f>
        <v>20</v>
      </c>
      <c r="K1133" s="15">
        <f>IFERROR(IF(T_PROD[[#This Row],[PRODUÇÃO]]&gt;0,(T_PROD[[#This Row],[PRODUÇÃO]]/T_PROD[[#This Row],[EFETIVO]]),""),"")</f>
        <v>19.324324324324323</v>
      </c>
    </row>
    <row r="1134" spans="1:11" x14ac:dyDescent="0.3">
      <c r="A1134" s="11">
        <v>46211</v>
      </c>
      <c r="B1134" s="12" t="str">
        <f t="shared" si="124"/>
        <v>JULHO</v>
      </c>
      <c r="C1134" s="12" t="s">
        <v>32</v>
      </c>
      <c r="D1134" s="12" t="s">
        <v>12</v>
      </c>
      <c r="E1134" s="13">
        <v>44</v>
      </c>
      <c r="F1134" s="13">
        <v>52</v>
      </c>
      <c r="G1134" s="12">
        <v>4</v>
      </c>
      <c r="H1134" s="14">
        <v>4</v>
      </c>
      <c r="I1134" s="12">
        <f>IFERROR(IF(T_PROD[[#This Row],[PREVISTO]]-T_PROD[[#This Row],[EFETIVO]]&lt; 0,0,T_PROD[[#This Row],[PREVISTO]]-T_PROD[[#This Row],[EFETIVO]] ),"")</f>
        <v>0</v>
      </c>
      <c r="J1134" s="15">
        <f>IFERROR(IF(T_PROD[[#This Row],[META]]&gt;0,(T_PROD[[#This Row],[META]]/T_PROD[[#This Row],[PREVISTO]]),""),"")</f>
        <v>11</v>
      </c>
      <c r="K1134" s="15">
        <f>IFERROR(IF(T_PROD[[#This Row],[PRODUÇÃO]]&gt;0,(T_PROD[[#This Row],[PRODUÇÃO]]/T_PROD[[#This Row],[EFETIVO]]),""),"")</f>
        <v>13</v>
      </c>
    </row>
    <row r="1135" spans="1:11" x14ac:dyDescent="0.3">
      <c r="A1135" s="11">
        <v>46211</v>
      </c>
      <c r="B1135" s="12" t="str">
        <f t="shared" si="124"/>
        <v>JULHO</v>
      </c>
      <c r="C1135" s="12" t="s">
        <v>14</v>
      </c>
      <c r="D1135" s="12" t="s">
        <v>12</v>
      </c>
      <c r="E1135" s="13">
        <v>795</v>
      </c>
      <c r="F1135" s="13">
        <v>767</v>
      </c>
      <c r="G1135" s="12">
        <v>95</v>
      </c>
      <c r="H1135" s="14">
        <v>95</v>
      </c>
      <c r="I1135" s="12">
        <f>IFERROR(IF(T_PROD[[#This Row],[PREVISTO]]-T_PROD[[#This Row],[EFETIVO]]&lt; 0,0,T_PROD[[#This Row],[PREVISTO]]-T_PROD[[#This Row],[EFETIVO]] ),"")</f>
        <v>0</v>
      </c>
      <c r="J1135" s="15">
        <f>IFERROR(IF(T_PROD[[#This Row],[META]]&gt;0,(T_PROD[[#This Row],[META]]/T_PROD[[#This Row],[PREVISTO]]),""),"")</f>
        <v>8.3684210526315788</v>
      </c>
      <c r="K1135" s="15">
        <f>IFERROR(IF(T_PROD[[#This Row],[PRODUÇÃO]]&gt;0,(T_PROD[[#This Row],[PRODUÇÃO]]/T_PROD[[#This Row],[EFETIVO]]),""),"")</f>
        <v>8.0736842105263165</v>
      </c>
    </row>
    <row r="1136" spans="1:11" x14ac:dyDescent="0.3">
      <c r="A1136" s="11">
        <v>46212</v>
      </c>
      <c r="B1136" s="12" t="str">
        <f>UPPER(TEXT(A1136,"MMMM"))</f>
        <v>JULHO</v>
      </c>
      <c r="C1136" s="12" t="s">
        <v>15</v>
      </c>
      <c r="D1136" s="12" t="s">
        <v>12</v>
      </c>
      <c r="E1136" s="13">
        <v>60</v>
      </c>
      <c r="F1136" s="13">
        <v>41</v>
      </c>
      <c r="G1136" s="12">
        <v>4</v>
      </c>
      <c r="H1136" s="14">
        <v>4</v>
      </c>
      <c r="I1136" s="12">
        <f>IFERROR(IF(T_PROD[[#This Row],[PREVISTO]]-T_PROD[[#This Row],[EFETIVO]]&lt; 0,0,T_PROD[[#This Row],[PREVISTO]]-T_PROD[[#This Row],[EFETIVO]] ),"")</f>
        <v>0</v>
      </c>
      <c r="J1136" s="15">
        <f>IFERROR(IF(T_PROD[[#This Row],[META]]&gt;0,(T_PROD[[#This Row],[META]]/T_PROD[[#This Row],[PREVISTO]]),""),"")</f>
        <v>15</v>
      </c>
      <c r="K1136" s="15">
        <f>IFERROR(IF(T_PROD[[#This Row],[PRODUÇÃO]]&gt;0,(T_PROD[[#This Row],[PRODUÇÃO]]/T_PROD[[#This Row],[EFETIVO]]),""),"")</f>
        <v>10.25</v>
      </c>
    </row>
    <row r="1137" spans="1:11" x14ac:dyDescent="0.3">
      <c r="A1137" s="11">
        <v>46212</v>
      </c>
      <c r="B1137" s="12" t="str">
        <f t="shared" ref="B1137:B1144" si="125">UPPER(TEXT(A1137,"MMMM"))</f>
        <v>JULHO</v>
      </c>
      <c r="C1137" s="12" t="s">
        <v>16</v>
      </c>
      <c r="D1137" s="12" t="s">
        <v>12</v>
      </c>
      <c r="E1137" s="13">
        <v>170</v>
      </c>
      <c r="F1137" s="13">
        <v>175</v>
      </c>
      <c r="G1137" s="12">
        <v>5</v>
      </c>
      <c r="H1137" s="14">
        <v>5</v>
      </c>
      <c r="I1137" s="12">
        <f>IFERROR(IF(T_PROD[[#This Row],[PREVISTO]]-T_PROD[[#This Row],[EFETIVO]]&lt; 0,0,T_PROD[[#This Row],[PREVISTO]]-T_PROD[[#This Row],[EFETIVO]] ),"")</f>
        <v>0</v>
      </c>
      <c r="J1137" s="15">
        <f>IFERROR(IF(T_PROD[[#This Row],[META]]&gt;0,(T_PROD[[#This Row],[META]]/T_PROD[[#This Row],[PREVISTO]]),""),"")</f>
        <v>34</v>
      </c>
      <c r="K1137" s="15">
        <f>IFERROR(IF(T_PROD[[#This Row],[PRODUÇÃO]]&gt;0,(T_PROD[[#This Row],[PRODUÇÃO]]/T_PROD[[#This Row],[EFETIVO]]),""),"")</f>
        <v>35</v>
      </c>
    </row>
    <row r="1138" spans="1:11" x14ac:dyDescent="0.3">
      <c r="A1138" s="11">
        <v>46212</v>
      </c>
      <c r="B1138" s="12" t="str">
        <f t="shared" si="125"/>
        <v>JULHO</v>
      </c>
      <c r="C1138" s="12" t="s">
        <v>17</v>
      </c>
      <c r="D1138" s="12" t="s">
        <v>12</v>
      </c>
      <c r="E1138" s="13">
        <v>192</v>
      </c>
      <c r="F1138" s="13">
        <v>260</v>
      </c>
      <c r="G1138" s="12">
        <v>12</v>
      </c>
      <c r="H1138" s="14">
        <v>12</v>
      </c>
      <c r="I1138" s="12">
        <f>IFERROR(IF(T_PROD[[#This Row],[PREVISTO]]-T_PROD[[#This Row],[EFETIVO]]&lt; 0,0,T_PROD[[#This Row],[PREVISTO]]-T_PROD[[#This Row],[EFETIVO]] ),"")</f>
        <v>0</v>
      </c>
      <c r="J1138" s="15">
        <f>IFERROR(IF(T_PROD[[#This Row],[META]]&gt;0,(T_PROD[[#This Row],[META]]/T_PROD[[#This Row],[PREVISTO]]),""),"")</f>
        <v>16</v>
      </c>
      <c r="K1138" s="15">
        <f>IFERROR(IF(T_PROD[[#This Row],[PRODUÇÃO]]&gt;0,(T_PROD[[#This Row],[PRODUÇÃO]]/T_PROD[[#This Row],[EFETIVO]]),""),"")</f>
        <v>21.666666666666668</v>
      </c>
    </row>
    <row r="1139" spans="1:11" x14ac:dyDescent="0.3">
      <c r="A1139" s="11">
        <v>46212</v>
      </c>
      <c r="B1139" s="12" t="str">
        <f t="shared" si="125"/>
        <v>JULHO</v>
      </c>
      <c r="C1139" s="12" t="s">
        <v>18</v>
      </c>
      <c r="D1139" s="12" t="s">
        <v>12</v>
      </c>
      <c r="E1139" s="13"/>
      <c r="F1139" s="13"/>
      <c r="G1139" s="12"/>
      <c r="H1139" s="14"/>
      <c r="I1139" s="12">
        <f>IFERROR(IF(T_PROD[[#This Row],[PREVISTO]]-T_PROD[[#This Row],[EFETIVO]]&lt; 0,0,T_PROD[[#This Row],[PREVISTO]]-T_PROD[[#This Row],[EFETIVO]] ),"")</f>
        <v>0</v>
      </c>
      <c r="J1139" s="15" t="str">
        <f>IFERROR(IF(T_PROD[[#This Row],[META]]&gt;0,(T_PROD[[#This Row],[META]]/T_PROD[[#This Row],[PREVISTO]]),""),"")</f>
        <v/>
      </c>
      <c r="K1139" s="15" t="str">
        <f>IFERROR(IF(T_PROD[[#This Row],[PRODUÇÃO]]&gt;0,(T_PROD[[#This Row],[PRODUÇÃO]]/T_PROD[[#This Row],[EFETIVO]]),""),"")</f>
        <v/>
      </c>
    </row>
    <row r="1140" spans="1:11" x14ac:dyDescent="0.3">
      <c r="A1140" s="11">
        <v>46212</v>
      </c>
      <c r="B1140" s="12" t="str">
        <f t="shared" si="125"/>
        <v>JULHO</v>
      </c>
      <c r="C1140" s="12" t="s">
        <v>19</v>
      </c>
      <c r="D1140" s="12" t="s">
        <v>12</v>
      </c>
      <c r="E1140" s="13"/>
      <c r="F1140" s="13"/>
      <c r="G1140" s="12"/>
      <c r="H1140" s="14"/>
      <c r="I1140" s="12">
        <f>IFERROR(IF(T_PROD[[#This Row],[PREVISTO]]-T_PROD[[#This Row],[EFETIVO]]&lt; 0,0,T_PROD[[#This Row],[PREVISTO]]-T_PROD[[#This Row],[EFETIVO]] ),"")</f>
        <v>0</v>
      </c>
      <c r="J1140" s="15" t="str">
        <f>IFERROR(IF(T_PROD[[#This Row],[META]]&gt;0,(T_PROD[[#This Row],[META]]/T_PROD[[#This Row],[PREVISTO]]),""),"")</f>
        <v/>
      </c>
      <c r="K1140" s="15" t="str">
        <f>IFERROR(IF(T_PROD[[#This Row],[PRODUÇÃO]]&gt;0,(T_PROD[[#This Row],[PRODUÇÃO]]/T_PROD[[#This Row],[EFETIVO]]),""),"")</f>
        <v/>
      </c>
    </row>
    <row r="1141" spans="1:11" x14ac:dyDescent="0.3">
      <c r="A1141" s="11">
        <v>46212</v>
      </c>
      <c r="B1141" s="12" t="str">
        <f t="shared" si="125"/>
        <v>JULHO</v>
      </c>
      <c r="C1141" s="12" t="s">
        <v>20</v>
      </c>
      <c r="D1141" s="12" t="s">
        <v>12</v>
      </c>
      <c r="E1141" s="13">
        <v>422</v>
      </c>
      <c r="F1141" s="13">
        <v>476</v>
      </c>
      <c r="G1141" s="12">
        <v>90</v>
      </c>
      <c r="H1141" s="14">
        <v>90</v>
      </c>
      <c r="I1141" s="12">
        <f>IFERROR(IF(T_PROD[[#This Row],[PREVISTO]]-T_PROD[[#This Row],[EFETIVO]]&lt; 0,0,T_PROD[[#This Row],[PREVISTO]]-T_PROD[[#This Row],[EFETIVO]] ),"")</f>
        <v>0</v>
      </c>
      <c r="J1141" s="15">
        <f>IFERROR(IF(T_PROD[[#This Row],[META]]&gt;0,(T_PROD[[#This Row],[META]]/T_PROD[[#This Row],[PREVISTO]]),""),"")</f>
        <v>4.6888888888888891</v>
      </c>
      <c r="K1141" s="15">
        <f>IFERROR(IF(T_PROD[[#This Row],[PRODUÇÃO]]&gt;0,(T_PROD[[#This Row],[PRODUÇÃO]]/T_PROD[[#This Row],[EFETIVO]]),""),"")</f>
        <v>5.2888888888888888</v>
      </c>
    </row>
    <row r="1142" spans="1:11" x14ac:dyDescent="0.3">
      <c r="A1142" s="11">
        <v>46212</v>
      </c>
      <c r="B1142" s="12" t="str">
        <f t="shared" si="125"/>
        <v>JULHO</v>
      </c>
      <c r="C1142" s="12" t="s">
        <v>11</v>
      </c>
      <c r="D1142" s="12" t="s">
        <v>12</v>
      </c>
      <c r="E1142" s="13">
        <v>600</v>
      </c>
      <c r="F1142" s="13">
        <v>600</v>
      </c>
      <c r="G1142" s="12">
        <v>30</v>
      </c>
      <c r="H1142" s="14">
        <v>30</v>
      </c>
      <c r="I1142" s="12">
        <f>IFERROR(IF(T_PROD[[#This Row],[PREVISTO]]-T_PROD[[#This Row],[EFETIVO]]&lt; 0,0,T_PROD[[#This Row],[PREVISTO]]-T_PROD[[#This Row],[EFETIVO]] ),"")</f>
        <v>0</v>
      </c>
      <c r="J1142" s="15">
        <f>IFERROR(IF(T_PROD[[#This Row],[META]]&gt;0,(T_PROD[[#This Row],[META]]/T_PROD[[#This Row],[PREVISTO]]),""),"")</f>
        <v>20</v>
      </c>
      <c r="K1142" s="15">
        <f>IFERROR(IF(T_PROD[[#This Row],[PRODUÇÃO]]&gt;0,(T_PROD[[#This Row],[PRODUÇÃO]]/T_PROD[[#This Row],[EFETIVO]]),""),"")</f>
        <v>20</v>
      </c>
    </row>
    <row r="1143" spans="1:11" x14ac:dyDescent="0.3">
      <c r="A1143" s="11">
        <v>46212</v>
      </c>
      <c r="B1143" s="12" t="str">
        <f t="shared" si="125"/>
        <v>JULHO</v>
      </c>
      <c r="C1143" s="12" t="s">
        <v>32</v>
      </c>
      <c r="D1143" s="12" t="s">
        <v>12</v>
      </c>
      <c r="E1143" s="13">
        <v>110</v>
      </c>
      <c r="F1143" s="13">
        <v>114</v>
      </c>
      <c r="G1143" s="12">
        <v>10</v>
      </c>
      <c r="H1143" s="14">
        <v>10</v>
      </c>
      <c r="I1143" s="12">
        <f>IFERROR(IF(T_PROD[[#This Row],[PREVISTO]]-T_PROD[[#This Row],[EFETIVO]]&lt; 0,0,T_PROD[[#This Row],[PREVISTO]]-T_PROD[[#This Row],[EFETIVO]] ),"")</f>
        <v>0</v>
      </c>
      <c r="J1143" s="15">
        <f>IFERROR(IF(T_PROD[[#This Row],[META]]&gt;0,(T_PROD[[#This Row],[META]]/T_PROD[[#This Row],[PREVISTO]]),""),"")</f>
        <v>11</v>
      </c>
      <c r="K1143" s="15">
        <f>IFERROR(IF(T_PROD[[#This Row],[PRODUÇÃO]]&gt;0,(T_PROD[[#This Row],[PRODUÇÃO]]/T_PROD[[#This Row],[EFETIVO]]),""),"")</f>
        <v>11.4</v>
      </c>
    </row>
    <row r="1144" spans="1:11" x14ac:dyDescent="0.3">
      <c r="A1144" s="11">
        <v>46212</v>
      </c>
      <c r="B1144" s="12" t="str">
        <f t="shared" si="125"/>
        <v>JULHO</v>
      </c>
      <c r="C1144" s="12" t="s">
        <v>14</v>
      </c>
      <c r="D1144" s="12" t="s">
        <v>12</v>
      </c>
      <c r="E1144" s="13">
        <v>710</v>
      </c>
      <c r="F1144" s="13">
        <v>714</v>
      </c>
      <c r="G1144" s="12">
        <v>95</v>
      </c>
      <c r="H1144" s="14">
        <v>89</v>
      </c>
      <c r="I1144" s="12">
        <f>IFERROR(IF(T_PROD[[#This Row],[PREVISTO]]-T_PROD[[#This Row],[EFETIVO]]&lt; 0,0,T_PROD[[#This Row],[PREVISTO]]-T_PROD[[#This Row],[EFETIVO]] ),"")</f>
        <v>6</v>
      </c>
      <c r="J1144" s="15">
        <f>IFERROR(IF(T_PROD[[#This Row],[META]]&gt;0,(T_PROD[[#This Row],[META]]/T_PROD[[#This Row],[PREVISTO]]),""),"")</f>
        <v>7.4736842105263159</v>
      </c>
      <c r="K1144" s="15">
        <f>IFERROR(IF(T_PROD[[#This Row],[PRODUÇÃO]]&gt;0,(T_PROD[[#This Row],[PRODUÇÃO]]/T_PROD[[#This Row],[EFETIVO]]),""),"")</f>
        <v>8.02247191011236</v>
      </c>
    </row>
    <row r="1145" spans="1:11" x14ac:dyDescent="0.3">
      <c r="A1145" s="11">
        <v>46213</v>
      </c>
      <c r="B1145" s="12" t="str">
        <f>UPPER(TEXT(A1145,"MMMM"))</f>
        <v>JULHO</v>
      </c>
      <c r="C1145" s="12" t="s">
        <v>15</v>
      </c>
      <c r="D1145" s="12" t="s">
        <v>12</v>
      </c>
      <c r="E1145" s="13">
        <v>75</v>
      </c>
      <c r="F1145" s="13">
        <v>51</v>
      </c>
      <c r="G1145" s="12">
        <v>5</v>
      </c>
      <c r="H1145" s="14">
        <v>5</v>
      </c>
      <c r="I1145" s="12">
        <f>IFERROR(IF(T_PROD[[#This Row],[PREVISTO]]-T_PROD[[#This Row],[EFETIVO]]&lt; 0,0,T_PROD[[#This Row],[PREVISTO]]-T_PROD[[#This Row],[EFETIVO]] ),"")</f>
        <v>0</v>
      </c>
      <c r="J1145" s="15">
        <f>IFERROR(IF(T_PROD[[#This Row],[META]]&gt;0,(T_PROD[[#This Row],[META]]/T_PROD[[#This Row],[PREVISTO]]),""),"")</f>
        <v>15</v>
      </c>
      <c r="K1145" s="15">
        <f>IFERROR(IF(T_PROD[[#This Row],[PRODUÇÃO]]&gt;0,(T_PROD[[#This Row],[PRODUÇÃO]]/T_PROD[[#This Row],[EFETIVO]]),""),"")</f>
        <v>10.199999999999999</v>
      </c>
    </row>
    <row r="1146" spans="1:11" x14ac:dyDescent="0.3">
      <c r="A1146" s="11">
        <v>46213</v>
      </c>
      <c r="B1146" s="12" t="str">
        <f t="shared" ref="B1146:B1153" si="126">UPPER(TEXT(A1146,"MMMM"))</f>
        <v>JULHO</v>
      </c>
      <c r="C1146" s="12" t="s">
        <v>16</v>
      </c>
      <c r="D1146" s="12" t="s">
        <v>12</v>
      </c>
      <c r="E1146" s="13">
        <v>170</v>
      </c>
      <c r="F1146" s="13">
        <v>140</v>
      </c>
      <c r="G1146" s="12">
        <v>5</v>
      </c>
      <c r="H1146" s="14">
        <v>5</v>
      </c>
      <c r="I1146" s="12">
        <f>IFERROR(IF(T_PROD[[#This Row],[PREVISTO]]-T_PROD[[#This Row],[EFETIVO]]&lt; 0,0,T_PROD[[#This Row],[PREVISTO]]-T_PROD[[#This Row],[EFETIVO]] ),"")</f>
        <v>0</v>
      </c>
      <c r="J1146" s="15">
        <f>IFERROR(IF(T_PROD[[#This Row],[META]]&gt;0,(T_PROD[[#This Row],[META]]/T_PROD[[#This Row],[PREVISTO]]),""),"")</f>
        <v>34</v>
      </c>
      <c r="K1146" s="15">
        <f>IFERROR(IF(T_PROD[[#This Row],[PRODUÇÃO]]&gt;0,(T_PROD[[#This Row],[PRODUÇÃO]]/T_PROD[[#This Row],[EFETIVO]]),""),"")</f>
        <v>28</v>
      </c>
    </row>
    <row r="1147" spans="1:11" x14ac:dyDescent="0.3">
      <c r="A1147" s="11">
        <v>46213</v>
      </c>
      <c r="B1147" s="12" t="str">
        <f t="shared" si="126"/>
        <v>JULHO</v>
      </c>
      <c r="C1147" s="12" t="s">
        <v>17</v>
      </c>
      <c r="D1147" s="12" t="s">
        <v>12</v>
      </c>
      <c r="E1147" s="13">
        <v>144</v>
      </c>
      <c r="F1147" s="13">
        <v>186</v>
      </c>
      <c r="G1147" s="12">
        <v>9</v>
      </c>
      <c r="H1147" s="14">
        <v>9</v>
      </c>
      <c r="I1147" s="12">
        <f>IFERROR(IF(T_PROD[[#This Row],[PREVISTO]]-T_PROD[[#This Row],[EFETIVO]]&lt; 0,0,T_PROD[[#This Row],[PREVISTO]]-T_PROD[[#This Row],[EFETIVO]] ),"")</f>
        <v>0</v>
      </c>
      <c r="J1147" s="15">
        <f>IFERROR(IF(T_PROD[[#This Row],[META]]&gt;0,(T_PROD[[#This Row],[META]]/T_PROD[[#This Row],[PREVISTO]]),""),"")</f>
        <v>16</v>
      </c>
      <c r="K1147" s="15">
        <f>IFERROR(IF(T_PROD[[#This Row],[PRODUÇÃO]]&gt;0,(T_PROD[[#This Row],[PRODUÇÃO]]/T_PROD[[#This Row],[EFETIVO]]),""),"")</f>
        <v>20.666666666666668</v>
      </c>
    </row>
    <row r="1148" spans="1:11" x14ac:dyDescent="0.3">
      <c r="A1148" s="11">
        <v>46213</v>
      </c>
      <c r="B1148" s="12" t="str">
        <f t="shared" si="126"/>
        <v>JULHO</v>
      </c>
      <c r="C1148" s="12" t="s">
        <v>18</v>
      </c>
      <c r="D1148" s="12" t="s">
        <v>12</v>
      </c>
      <c r="E1148" s="13"/>
      <c r="F1148" s="13"/>
      <c r="G1148" s="12"/>
      <c r="H1148" s="14"/>
      <c r="I1148" s="12">
        <f>IFERROR(IF(T_PROD[[#This Row],[PREVISTO]]-T_PROD[[#This Row],[EFETIVO]]&lt; 0,0,T_PROD[[#This Row],[PREVISTO]]-T_PROD[[#This Row],[EFETIVO]] ),"")</f>
        <v>0</v>
      </c>
      <c r="J1148" s="15" t="str">
        <f>IFERROR(IF(T_PROD[[#This Row],[META]]&gt;0,(T_PROD[[#This Row],[META]]/T_PROD[[#This Row],[PREVISTO]]),""),"")</f>
        <v/>
      </c>
      <c r="K1148" s="15" t="str">
        <f>IFERROR(IF(T_PROD[[#This Row],[PRODUÇÃO]]&gt;0,(T_PROD[[#This Row],[PRODUÇÃO]]/T_PROD[[#This Row],[EFETIVO]]),""),"")</f>
        <v/>
      </c>
    </row>
    <row r="1149" spans="1:11" x14ac:dyDescent="0.3">
      <c r="A1149" s="11">
        <v>46213</v>
      </c>
      <c r="B1149" s="12" t="str">
        <f t="shared" si="126"/>
        <v>JULHO</v>
      </c>
      <c r="C1149" s="12" t="s">
        <v>19</v>
      </c>
      <c r="D1149" s="12" t="s">
        <v>12</v>
      </c>
      <c r="E1149" s="13"/>
      <c r="F1149" s="13"/>
      <c r="G1149" s="12"/>
      <c r="H1149" s="14"/>
      <c r="I1149" s="12">
        <f>IFERROR(IF(T_PROD[[#This Row],[PREVISTO]]-T_PROD[[#This Row],[EFETIVO]]&lt; 0,0,T_PROD[[#This Row],[PREVISTO]]-T_PROD[[#This Row],[EFETIVO]] ),"")</f>
        <v>0</v>
      </c>
      <c r="J1149" s="15" t="str">
        <f>IFERROR(IF(T_PROD[[#This Row],[META]]&gt;0,(T_PROD[[#This Row],[META]]/T_PROD[[#This Row],[PREVISTO]]),""),"")</f>
        <v/>
      </c>
      <c r="K1149" s="15" t="str">
        <f>IFERROR(IF(T_PROD[[#This Row],[PRODUÇÃO]]&gt;0,(T_PROD[[#This Row],[PRODUÇÃO]]/T_PROD[[#This Row],[EFETIVO]]),""),"")</f>
        <v/>
      </c>
    </row>
    <row r="1150" spans="1:11" x14ac:dyDescent="0.3">
      <c r="A1150" s="11">
        <v>46213</v>
      </c>
      <c r="B1150" s="12" t="str">
        <f t="shared" si="126"/>
        <v>JULHO</v>
      </c>
      <c r="C1150" s="12" t="s">
        <v>20</v>
      </c>
      <c r="D1150" s="12" t="s">
        <v>12</v>
      </c>
      <c r="E1150" s="13">
        <v>389</v>
      </c>
      <c r="F1150" s="13">
        <v>377</v>
      </c>
      <c r="G1150" s="12">
        <v>90</v>
      </c>
      <c r="H1150" s="14">
        <v>90</v>
      </c>
      <c r="I1150" s="12">
        <f>IFERROR(IF(T_PROD[[#This Row],[PREVISTO]]-T_PROD[[#This Row],[EFETIVO]]&lt; 0,0,T_PROD[[#This Row],[PREVISTO]]-T_PROD[[#This Row],[EFETIVO]] ),"")</f>
        <v>0</v>
      </c>
      <c r="J1150" s="15">
        <f>IFERROR(IF(T_PROD[[#This Row],[META]]&gt;0,(T_PROD[[#This Row],[META]]/T_PROD[[#This Row],[PREVISTO]]),""),"")</f>
        <v>4.322222222222222</v>
      </c>
      <c r="K1150" s="15">
        <f>IFERROR(IF(T_PROD[[#This Row],[PRODUÇÃO]]&gt;0,(T_PROD[[#This Row],[PRODUÇÃO]]/T_PROD[[#This Row],[EFETIVO]]),""),"")</f>
        <v>4.1888888888888891</v>
      </c>
    </row>
    <row r="1151" spans="1:11" x14ac:dyDescent="0.3">
      <c r="A1151" s="11">
        <v>46213</v>
      </c>
      <c r="B1151" s="12" t="str">
        <f t="shared" si="126"/>
        <v>JULHO</v>
      </c>
      <c r="C1151" s="12" t="s">
        <v>11</v>
      </c>
      <c r="D1151" s="12" t="s">
        <v>12</v>
      </c>
      <c r="E1151" s="13">
        <v>440</v>
      </c>
      <c r="F1151" s="13">
        <v>400</v>
      </c>
      <c r="G1151" s="12">
        <v>22</v>
      </c>
      <c r="H1151" s="14">
        <v>22</v>
      </c>
      <c r="I1151" s="12">
        <f>IFERROR(IF(T_PROD[[#This Row],[PREVISTO]]-T_PROD[[#This Row],[EFETIVO]]&lt; 0,0,T_PROD[[#This Row],[PREVISTO]]-T_PROD[[#This Row],[EFETIVO]] ),"")</f>
        <v>0</v>
      </c>
      <c r="J1151" s="15">
        <f>IFERROR(IF(T_PROD[[#This Row],[META]]&gt;0,(T_PROD[[#This Row],[META]]/T_PROD[[#This Row],[PREVISTO]]),""),"")</f>
        <v>20</v>
      </c>
      <c r="K1151" s="15">
        <f>IFERROR(IF(T_PROD[[#This Row],[PRODUÇÃO]]&gt;0,(T_PROD[[#This Row],[PRODUÇÃO]]/T_PROD[[#This Row],[EFETIVO]]),""),"")</f>
        <v>18.181818181818183</v>
      </c>
    </row>
    <row r="1152" spans="1:11" x14ac:dyDescent="0.3">
      <c r="A1152" s="11">
        <v>46213</v>
      </c>
      <c r="B1152" s="12" t="str">
        <f t="shared" si="126"/>
        <v>JULHO</v>
      </c>
      <c r="C1152" s="12" t="s">
        <v>32</v>
      </c>
      <c r="D1152" s="12" t="s">
        <v>12</v>
      </c>
      <c r="E1152" s="13">
        <v>88</v>
      </c>
      <c r="F1152" s="13">
        <v>91</v>
      </c>
      <c r="G1152" s="12">
        <v>8</v>
      </c>
      <c r="H1152" s="14">
        <v>8</v>
      </c>
      <c r="I1152" s="12">
        <f>IFERROR(IF(T_PROD[[#This Row],[PREVISTO]]-T_PROD[[#This Row],[EFETIVO]]&lt; 0,0,T_PROD[[#This Row],[PREVISTO]]-T_PROD[[#This Row],[EFETIVO]] ),"")</f>
        <v>0</v>
      </c>
      <c r="J1152" s="15">
        <f>IFERROR(IF(T_PROD[[#This Row],[META]]&gt;0,(T_PROD[[#This Row],[META]]/T_PROD[[#This Row],[PREVISTO]]),""),"")</f>
        <v>11</v>
      </c>
      <c r="K1152" s="15">
        <f>IFERROR(IF(T_PROD[[#This Row],[PRODUÇÃO]]&gt;0,(T_PROD[[#This Row],[PRODUÇÃO]]/T_PROD[[#This Row],[EFETIVO]]),""),"")</f>
        <v>11.375</v>
      </c>
    </row>
    <row r="1153" spans="1:11" x14ac:dyDescent="0.3">
      <c r="A1153" s="11">
        <v>46213</v>
      </c>
      <c r="B1153" s="12" t="str">
        <f t="shared" si="126"/>
        <v>JULHO</v>
      </c>
      <c r="C1153" s="12" t="s">
        <v>14</v>
      </c>
      <c r="D1153" s="12" t="s">
        <v>12</v>
      </c>
      <c r="E1153" s="13">
        <v>528</v>
      </c>
      <c r="F1153" s="13">
        <v>491</v>
      </c>
      <c r="G1153" s="12">
        <v>70</v>
      </c>
      <c r="H1153" s="14">
        <v>69</v>
      </c>
      <c r="I1153" s="12">
        <f>IFERROR(IF(T_PROD[[#This Row],[PREVISTO]]-T_PROD[[#This Row],[EFETIVO]]&lt; 0,0,T_PROD[[#This Row],[PREVISTO]]-T_PROD[[#This Row],[EFETIVO]] ),"")</f>
        <v>1</v>
      </c>
      <c r="J1153" s="15">
        <f>IFERROR(IF(T_PROD[[#This Row],[META]]&gt;0,(T_PROD[[#This Row],[META]]/T_PROD[[#This Row],[PREVISTO]]),""),"")</f>
        <v>7.5428571428571427</v>
      </c>
      <c r="K1153" s="15">
        <f>IFERROR(IF(T_PROD[[#This Row],[PRODUÇÃO]]&gt;0,(T_PROD[[#This Row],[PRODUÇÃO]]/T_PROD[[#This Row],[EFETIVO]]),""),"")</f>
        <v>7.1159420289855069</v>
      </c>
    </row>
    <row r="1154" spans="1:11" x14ac:dyDescent="0.3">
      <c r="A1154" s="11">
        <v>46216</v>
      </c>
      <c r="B1154" s="12" t="str">
        <f>UPPER(TEXT(A1154,"MMMM"))</f>
        <v>JULHO</v>
      </c>
      <c r="C1154" s="12" t="s">
        <v>15</v>
      </c>
      <c r="D1154" s="12" t="s">
        <v>12</v>
      </c>
      <c r="E1154" s="13">
        <v>60</v>
      </c>
      <c r="F1154" s="13">
        <v>55</v>
      </c>
      <c r="G1154" s="12">
        <v>4</v>
      </c>
      <c r="H1154" s="14">
        <v>4</v>
      </c>
      <c r="I1154" s="12">
        <f>IFERROR(IF(T_PROD[[#This Row],[PREVISTO]]-T_PROD[[#This Row],[EFETIVO]]&lt; 0,0,T_PROD[[#This Row],[PREVISTO]]-T_PROD[[#This Row],[EFETIVO]] ),"")</f>
        <v>0</v>
      </c>
      <c r="J1154" s="15">
        <f>IFERROR(IF(T_PROD[[#This Row],[META]]&gt;0,(T_PROD[[#This Row],[META]]/T_PROD[[#This Row],[PREVISTO]]),""),"")</f>
        <v>15</v>
      </c>
      <c r="K1154" s="15">
        <f>IFERROR(IF(T_PROD[[#This Row],[PRODUÇÃO]]&gt;0,(T_PROD[[#This Row],[PRODUÇÃO]]/T_PROD[[#This Row],[EFETIVO]]),""),"")</f>
        <v>13.75</v>
      </c>
    </row>
    <row r="1155" spans="1:11" x14ac:dyDescent="0.3">
      <c r="A1155" s="11">
        <v>46216</v>
      </c>
      <c r="B1155" s="12" t="str">
        <f t="shared" ref="B1155:B1162" si="127">UPPER(TEXT(A1155,"MMMM"))</f>
        <v>JULHO</v>
      </c>
      <c r="C1155" s="12" t="s">
        <v>16</v>
      </c>
      <c r="D1155" s="12" t="s">
        <v>12</v>
      </c>
      <c r="E1155" s="13">
        <v>68</v>
      </c>
      <c r="F1155" s="13">
        <v>68</v>
      </c>
      <c r="G1155" s="12">
        <v>2</v>
      </c>
      <c r="H1155" s="14">
        <v>2</v>
      </c>
      <c r="I1155" s="12">
        <f>IFERROR(IF(T_PROD[[#This Row],[PREVISTO]]-T_PROD[[#This Row],[EFETIVO]]&lt; 0,0,T_PROD[[#This Row],[PREVISTO]]-T_PROD[[#This Row],[EFETIVO]] ),"")</f>
        <v>0</v>
      </c>
      <c r="J1155" s="15">
        <f>IFERROR(IF(T_PROD[[#This Row],[META]]&gt;0,(T_PROD[[#This Row],[META]]/T_PROD[[#This Row],[PREVISTO]]),""),"")</f>
        <v>34</v>
      </c>
      <c r="K1155" s="15">
        <f>IFERROR(IF(T_PROD[[#This Row],[PRODUÇÃO]]&gt;0,(T_PROD[[#This Row],[PRODUÇÃO]]/T_PROD[[#This Row],[EFETIVO]]),""),"")</f>
        <v>34</v>
      </c>
    </row>
    <row r="1156" spans="1:11" x14ac:dyDescent="0.3">
      <c r="A1156" s="11">
        <v>46216</v>
      </c>
      <c r="B1156" s="12" t="str">
        <f t="shared" si="127"/>
        <v>JULHO</v>
      </c>
      <c r="C1156" s="12" t="s">
        <v>17</v>
      </c>
      <c r="D1156" s="12" t="s">
        <v>12</v>
      </c>
      <c r="E1156" s="13">
        <v>128</v>
      </c>
      <c r="F1156" s="13">
        <v>212</v>
      </c>
      <c r="G1156" s="12">
        <v>8</v>
      </c>
      <c r="H1156" s="14">
        <v>8</v>
      </c>
      <c r="I1156" s="12">
        <f>IFERROR(IF(T_PROD[[#This Row],[PREVISTO]]-T_PROD[[#This Row],[EFETIVO]]&lt; 0,0,T_PROD[[#This Row],[PREVISTO]]-T_PROD[[#This Row],[EFETIVO]] ),"")</f>
        <v>0</v>
      </c>
      <c r="J1156" s="15">
        <f>IFERROR(IF(T_PROD[[#This Row],[META]]&gt;0,(T_PROD[[#This Row],[META]]/T_PROD[[#This Row],[PREVISTO]]),""),"")</f>
        <v>16</v>
      </c>
      <c r="K1156" s="15">
        <f>IFERROR(IF(T_PROD[[#This Row],[PRODUÇÃO]]&gt;0,(T_PROD[[#This Row],[PRODUÇÃO]]/T_PROD[[#This Row],[EFETIVO]]),""),"")</f>
        <v>26.5</v>
      </c>
    </row>
    <row r="1157" spans="1:11" x14ac:dyDescent="0.3">
      <c r="A1157" s="11">
        <v>46216</v>
      </c>
      <c r="B1157" s="12" t="str">
        <f t="shared" si="127"/>
        <v>JULHO</v>
      </c>
      <c r="C1157" s="12" t="s">
        <v>18</v>
      </c>
      <c r="D1157" s="12" t="s">
        <v>12</v>
      </c>
      <c r="E1157" s="13"/>
      <c r="F1157" s="13"/>
      <c r="G1157" s="12"/>
      <c r="H1157" s="14"/>
      <c r="I1157" s="12">
        <f>IFERROR(IF(T_PROD[[#This Row],[PREVISTO]]-T_PROD[[#This Row],[EFETIVO]]&lt; 0,0,T_PROD[[#This Row],[PREVISTO]]-T_PROD[[#This Row],[EFETIVO]] ),"")</f>
        <v>0</v>
      </c>
      <c r="J1157" s="15" t="str">
        <f>IFERROR(IF(T_PROD[[#This Row],[META]]&gt;0,(T_PROD[[#This Row],[META]]/T_PROD[[#This Row],[PREVISTO]]),""),"")</f>
        <v/>
      </c>
      <c r="K1157" s="15" t="str">
        <f>IFERROR(IF(T_PROD[[#This Row],[PRODUÇÃO]]&gt;0,(T_PROD[[#This Row],[PRODUÇÃO]]/T_PROD[[#This Row],[EFETIVO]]),""),"")</f>
        <v/>
      </c>
    </row>
    <row r="1158" spans="1:11" x14ac:dyDescent="0.3">
      <c r="A1158" s="11">
        <v>46216</v>
      </c>
      <c r="B1158" s="12" t="str">
        <f t="shared" si="127"/>
        <v>JULHO</v>
      </c>
      <c r="C1158" s="12" t="s">
        <v>19</v>
      </c>
      <c r="D1158" s="12" t="s">
        <v>12</v>
      </c>
      <c r="E1158" s="13"/>
      <c r="F1158" s="13"/>
      <c r="G1158" s="12"/>
      <c r="H1158" s="14"/>
      <c r="I1158" s="12">
        <f>IFERROR(IF(T_PROD[[#This Row],[PREVISTO]]-T_PROD[[#This Row],[EFETIVO]]&lt; 0,0,T_PROD[[#This Row],[PREVISTO]]-T_PROD[[#This Row],[EFETIVO]] ),"")</f>
        <v>0</v>
      </c>
      <c r="J1158" s="15" t="str">
        <f>IFERROR(IF(T_PROD[[#This Row],[META]]&gt;0,(T_PROD[[#This Row],[META]]/T_PROD[[#This Row],[PREVISTO]]),""),"")</f>
        <v/>
      </c>
      <c r="K1158" s="15" t="str">
        <f>IFERROR(IF(T_PROD[[#This Row],[PRODUÇÃO]]&gt;0,(T_PROD[[#This Row],[PRODUÇÃO]]/T_PROD[[#This Row],[EFETIVO]]),""),"")</f>
        <v/>
      </c>
    </row>
    <row r="1159" spans="1:11" x14ac:dyDescent="0.3">
      <c r="A1159" s="11">
        <v>46216</v>
      </c>
      <c r="B1159" s="12" t="str">
        <f t="shared" si="127"/>
        <v>JULHO</v>
      </c>
      <c r="C1159" s="12" t="s">
        <v>20</v>
      </c>
      <c r="D1159" s="12" t="s">
        <v>12</v>
      </c>
      <c r="E1159" s="13">
        <v>256</v>
      </c>
      <c r="F1159" s="13">
        <v>335</v>
      </c>
      <c r="G1159" s="12">
        <v>90</v>
      </c>
      <c r="H1159" s="14">
        <v>90</v>
      </c>
      <c r="I1159" s="12">
        <f>IFERROR(IF(T_PROD[[#This Row],[PREVISTO]]-T_PROD[[#This Row],[EFETIVO]]&lt; 0,0,T_PROD[[#This Row],[PREVISTO]]-T_PROD[[#This Row],[EFETIVO]] ),"")</f>
        <v>0</v>
      </c>
      <c r="J1159" s="15">
        <f>IFERROR(IF(T_PROD[[#This Row],[META]]&gt;0,(T_PROD[[#This Row],[META]]/T_PROD[[#This Row],[PREVISTO]]),""),"")</f>
        <v>2.8444444444444446</v>
      </c>
      <c r="K1159" s="15">
        <f>IFERROR(IF(T_PROD[[#This Row],[PRODUÇÃO]]&gt;0,(T_PROD[[#This Row],[PRODUÇÃO]]/T_PROD[[#This Row],[EFETIVO]]),""),"")</f>
        <v>3.7222222222222223</v>
      </c>
    </row>
    <row r="1160" spans="1:11" x14ac:dyDescent="0.3">
      <c r="A1160" s="11">
        <v>46216</v>
      </c>
      <c r="B1160" s="12" t="str">
        <f t="shared" si="127"/>
        <v>JULHO</v>
      </c>
      <c r="C1160" s="12" t="s">
        <v>11</v>
      </c>
      <c r="D1160" s="12" t="s">
        <v>12</v>
      </c>
      <c r="E1160" s="13">
        <v>600</v>
      </c>
      <c r="F1160" s="13">
        <v>640</v>
      </c>
      <c r="G1160" s="12">
        <v>30</v>
      </c>
      <c r="H1160" s="14">
        <v>30</v>
      </c>
      <c r="I1160" s="12">
        <f>IFERROR(IF(T_PROD[[#This Row],[PREVISTO]]-T_PROD[[#This Row],[EFETIVO]]&lt; 0,0,T_PROD[[#This Row],[PREVISTO]]-T_PROD[[#This Row],[EFETIVO]] ),"")</f>
        <v>0</v>
      </c>
      <c r="J1160" s="15">
        <f>IFERROR(IF(T_PROD[[#This Row],[META]]&gt;0,(T_PROD[[#This Row],[META]]/T_PROD[[#This Row],[PREVISTO]]),""),"")</f>
        <v>20</v>
      </c>
      <c r="K1160" s="15">
        <f>IFERROR(IF(T_PROD[[#This Row],[PRODUÇÃO]]&gt;0,(T_PROD[[#This Row],[PRODUÇÃO]]/T_PROD[[#This Row],[EFETIVO]]),""),"")</f>
        <v>21.333333333333332</v>
      </c>
    </row>
    <row r="1161" spans="1:11" x14ac:dyDescent="0.3">
      <c r="A1161" s="11">
        <v>46216</v>
      </c>
      <c r="B1161" s="12" t="str">
        <f t="shared" si="127"/>
        <v>JULHO</v>
      </c>
      <c r="C1161" s="12" t="s">
        <v>32</v>
      </c>
      <c r="D1161" s="12" t="s">
        <v>12</v>
      </c>
      <c r="E1161" s="13">
        <v>110</v>
      </c>
      <c r="F1161" s="13">
        <v>131</v>
      </c>
      <c r="G1161" s="12">
        <v>10</v>
      </c>
      <c r="H1161" s="14">
        <v>10</v>
      </c>
      <c r="I1161" s="12">
        <f>IFERROR(IF(T_PROD[[#This Row],[PREVISTO]]-T_PROD[[#This Row],[EFETIVO]]&lt; 0,0,T_PROD[[#This Row],[PREVISTO]]-T_PROD[[#This Row],[EFETIVO]] ),"")</f>
        <v>0</v>
      </c>
      <c r="J1161" s="15">
        <f>IFERROR(IF(T_PROD[[#This Row],[META]]&gt;0,(T_PROD[[#This Row],[META]]/T_PROD[[#This Row],[PREVISTO]]),""),"")</f>
        <v>11</v>
      </c>
      <c r="K1161" s="15">
        <f>IFERROR(IF(T_PROD[[#This Row],[PRODUÇÃO]]&gt;0,(T_PROD[[#This Row],[PRODUÇÃO]]/T_PROD[[#This Row],[EFETIVO]]),""),"")</f>
        <v>13.1</v>
      </c>
    </row>
    <row r="1162" spans="1:11" x14ac:dyDescent="0.3">
      <c r="A1162" s="11">
        <v>46216</v>
      </c>
      <c r="B1162" s="12" t="str">
        <f t="shared" si="127"/>
        <v>JULHO</v>
      </c>
      <c r="C1162" s="12" t="s">
        <v>14</v>
      </c>
      <c r="D1162" s="12" t="s">
        <v>12</v>
      </c>
      <c r="E1162" s="13">
        <v>710</v>
      </c>
      <c r="F1162" s="13">
        <v>771</v>
      </c>
      <c r="G1162" s="12">
        <v>90</v>
      </c>
      <c r="H1162" s="14">
        <v>90</v>
      </c>
      <c r="I1162" s="12">
        <f>IFERROR(IF(T_PROD[[#This Row],[PREVISTO]]-T_PROD[[#This Row],[EFETIVO]]&lt; 0,0,T_PROD[[#This Row],[PREVISTO]]-T_PROD[[#This Row],[EFETIVO]] ),"")</f>
        <v>0</v>
      </c>
      <c r="J1162" s="15">
        <f>IFERROR(IF(T_PROD[[#This Row],[META]]&gt;0,(T_PROD[[#This Row],[META]]/T_PROD[[#This Row],[PREVISTO]]),""),"")</f>
        <v>7.8888888888888893</v>
      </c>
      <c r="K1162" s="15">
        <f>IFERROR(IF(T_PROD[[#This Row],[PRODUÇÃO]]&gt;0,(T_PROD[[#This Row],[PRODUÇÃO]]/T_PROD[[#This Row],[EFETIVO]]),""),"")</f>
        <v>8.5666666666666664</v>
      </c>
    </row>
    <row r="1163" spans="1:11" x14ac:dyDescent="0.3">
      <c r="A1163" s="11">
        <v>46217</v>
      </c>
      <c r="B1163" s="12" t="str">
        <f>UPPER(TEXT(A1163,"MMMM"))</f>
        <v>JULHO</v>
      </c>
      <c r="C1163" s="12" t="s">
        <v>15</v>
      </c>
      <c r="D1163" s="12" t="s">
        <v>12</v>
      </c>
      <c r="E1163" s="13">
        <v>60</v>
      </c>
      <c r="F1163" s="13">
        <v>39</v>
      </c>
      <c r="G1163" s="12">
        <v>4</v>
      </c>
      <c r="H1163" s="14">
        <v>4</v>
      </c>
      <c r="I1163" s="12">
        <f>IFERROR(IF(T_PROD[[#This Row],[PREVISTO]]-T_PROD[[#This Row],[EFETIVO]]&lt; 0,0,T_PROD[[#This Row],[PREVISTO]]-T_PROD[[#This Row],[EFETIVO]] ),"")</f>
        <v>0</v>
      </c>
      <c r="J1163" s="15">
        <f>IFERROR(IF(T_PROD[[#This Row],[META]]&gt;0,(T_PROD[[#This Row],[META]]/T_PROD[[#This Row],[PREVISTO]]),""),"")</f>
        <v>15</v>
      </c>
      <c r="K1163" s="15">
        <f>IFERROR(IF(T_PROD[[#This Row],[PRODUÇÃO]]&gt;0,(T_PROD[[#This Row],[PRODUÇÃO]]/T_PROD[[#This Row],[EFETIVO]]),""),"")</f>
        <v>9.75</v>
      </c>
    </row>
    <row r="1164" spans="1:11" x14ac:dyDescent="0.3">
      <c r="A1164" s="11">
        <v>46217</v>
      </c>
      <c r="B1164" s="12" t="str">
        <f t="shared" ref="B1164:B1171" si="128">UPPER(TEXT(A1164,"MMMM"))</f>
        <v>JULHO</v>
      </c>
      <c r="C1164" s="12" t="s">
        <v>16</v>
      </c>
      <c r="D1164" s="12" t="s">
        <v>12</v>
      </c>
      <c r="E1164" s="13">
        <v>221</v>
      </c>
      <c r="F1164" s="13">
        <v>149</v>
      </c>
      <c r="G1164" s="12">
        <v>6.5</v>
      </c>
      <c r="H1164" s="14">
        <v>6.5</v>
      </c>
      <c r="I1164" s="12">
        <f>IFERROR(IF(T_PROD[[#This Row],[PREVISTO]]-T_PROD[[#This Row],[EFETIVO]]&lt; 0,0,T_PROD[[#This Row],[PREVISTO]]-T_PROD[[#This Row],[EFETIVO]] ),"")</f>
        <v>0</v>
      </c>
      <c r="J1164" s="15">
        <f>IFERROR(IF(T_PROD[[#This Row],[META]]&gt;0,(T_PROD[[#This Row],[META]]/T_PROD[[#This Row],[PREVISTO]]),""),"")</f>
        <v>34</v>
      </c>
      <c r="K1164" s="15">
        <f>IFERROR(IF(T_PROD[[#This Row],[PRODUÇÃO]]&gt;0,(T_PROD[[#This Row],[PRODUÇÃO]]/T_PROD[[#This Row],[EFETIVO]]),""),"")</f>
        <v>22.923076923076923</v>
      </c>
    </row>
    <row r="1165" spans="1:11" x14ac:dyDescent="0.3">
      <c r="A1165" s="11">
        <v>46217</v>
      </c>
      <c r="B1165" s="12" t="str">
        <f t="shared" si="128"/>
        <v>JULHO</v>
      </c>
      <c r="C1165" s="12" t="s">
        <v>17</v>
      </c>
      <c r="D1165" s="12" t="s">
        <v>12</v>
      </c>
      <c r="E1165" s="13">
        <v>192</v>
      </c>
      <c r="F1165" s="13">
        <v>186</v>
      </c>
      <c r="G1165" s="12">
        <v>12</v>
      </c>
      <c r="H1165" s="14">
        <v>12</v>
      </c>
      <c r="I1165" s="12">
        <f>IFERROR(IF(T_PROD[[#This Row],[PREVISTO]]-T_PROD[[#This Row],[EFETIVO]]&lt; 0,0,T_PROD[[#This Row],[PREVISTO]]-T_PROD[[#This Row],[EFETIVO]] ),"")</f>
        <v>0</v>
      </c>
      <c r="J1165" s="15">
        <f>IFERROR(IF(T_PROD[[#This Row],[META]]&gt;0,(T_PROD[[#This Row],[META]]/T_PROD[[#This Row],[PREVISTO]]),""),"")</f>
        <v>16</v>
      </c>
      <c r="K1165" s="15">
        <f>IFERROR(IF(T_PROD[[#This Row],[PRODUÇÃO]]&gt;0,(T_PROD[[#This Row],[PRODUÇÃO]]/T_PROD[[#This Row],[EFETIVO]]),""),"")</f>
        <v>15.5</v>
      </c>
    </row>
    <row r="1166" spans="1:11" x14ac:dyDescent="0.3">
      <c r="A1166" s="11">
        <v>46217</v>
      </c>
      <c r="B1166" s="12" t="str">
        <f t="shared" si="128"/>
        <v>JULHO</v>
      </c>
      <c r="C1166" s="12" t="s">
        <v>18</v>
      </c>
      <c r="D1166" s="12" t="s">
        <v>12</v>
      </c>
      <c r="E1166" s="13"/>
      <c r="F1166" s="13"/>
      <c r="G1166" s="12"/>
      <c r="H1166" s="14"/>
      <c r="I1166" s="12">
        <f>IFERROR(IF(T_PROD[[#This Row],[PREVISTO]]-T_PROD[[#This Row],[EFETIVO]]&lt; 0,0,T_PROD[[#This Row],[PREVISTO]]-T_PROD[[#This Row],[EFETIVO]] ),"")</f>
        <v>0</v>
      </c>
      <c r="J1166" s="15" t="str">
        <f>IFERROR(IF(T_PROD[[#This Row],[META]]&gt;0,(T_PROD[[#This Row],[META]]/T_PROD[[#This Row],[PREVISTO]]),""),"")</f>
        <v/>
      </c>
      <c r="K1166" s="15" t="str">
        <f>IFERROR(IF(T_PROD[[#This Row],[PRODUÇÃO]]&gt;0,(T_PROD[[#This Row],[PRODUÇÃO]]/T_PROD[[#This Row],[EFETIVO]]),""),"")</f>
        <v/>
      </c>
    </row>
    <row r="1167" spans="1:11" x14ac:dyDescent="0.3">
      <c r="A1167" s="11">
        <v>46217</v>
      </c>
      <c r="B1167" s="12" t="str">
        <f t="shared" si="128"/>
        <v>JULHO</v>
      </c>
      <c r="C1167" s="12" t="s">
        <v>19</v>
      </c>
      <c r="D1167" s="12" t="s">
        <v>12</v>
      </c>
      <c r="E1167" s="13"/>
      <c r="F1167" s="13"/>
      <c r="G1167" s="12"/>
      <c r="H1167" s="14"/>
      <c r="I1167" s="12">
        <f>IFERROR(IF(T_PROD[[#This Row],[PREVISTO]]-T_PROD[[#This Row],[EFETIVO]]&lt; 0,0,T_PROD[[#This Row],[PREVISTO]]-T_PROD[[#This Row],[EFETIVO]] ),"")</f>
        <v>0</v>
      </c>
      <c r="J1167" s="15" t="str">
        <f>IFERROR(IF(T_PROD[[#This Row],[META]]&gt;0,(T_PROD[[#This Row],[META]]/T_PROD[[#This Row],[PREVISTO]]),""),"")</f>
        <v/>
      </c>
      <c r="K1167" s="15" t="str">
        <f>IFERROR(IF(T_PROD[[#This Row],[PRODUÇÃO]]&gt;0,(T_PROD[[#This Row],[PRODUÇÃO]]/T_PROD[[#This Row],[EFETIVO]]),""),"")</f>
        <v/>
      </c>
    </row>
    <row r="1168" spans="1:11" x14ac:dyDescent="0.3">
      <c r="A1168" s="11">
        <v>46217</v>
      </c>
      <c r="B1168" s="12" t="str">
        <f t="shared" si="128"/>
        <v>JULHO</v>
      </c>
      <c r="C1168" s="12" t="s">
        <v>20</v>
      </c>
      <c r="D1168" s="12" t="s">
        <v>12</v>
      </c>
      <c r="E1168" s="13">
        <v>473</v>
      </c>
      <c r="F1168" s="13">
        <v>374</v>
      </c>
      <c r="G1168" s="12">
        <v>90</v>
      </c>
      <c r="H1168" s="14">
        <v>90</v>
      </c>
      <c r="I1168" s="12">
        <f>IFERROR(IF(T_PROD[[#This Row],[PREVISTO]]-T_PROD[[#This Row],[EFETIVO]]&lt; 0,0,T_PROD[[#This Row],[PREVISTO]]-T_PROD[[#This Row],[EFETIVO]] ),"")</f>
        <v>0</v>
      </c>
      <c r="J1168" s="15">
        <f>IFERROR(IF(T_PROD[[#This Row],[META]]&gt;0,(T_PROD[[#This Row],[META]]/T_PROD[[#This Row],[PREVISTO]]),""),"")</f>
        <v>5.2555555555555555</v>
      </c>
      <c r="K1168" s="15">
        <f>IFERROR(IF(T_PROD[[#This Row],[PRODUÇÃO]]&gt;0,(T_PROD[[#This Row],[PRODUÇÃO]]/T_PROD[[#This Row],[EFETIVO]]),""),"")</f>
        <v>4.1555555555555559</v>
      </c>
    </row>
    <row r="1169" spans="1:11" x14ac:dyDescent="0.3">
      <c r="A1169" s="11">
        <v>46217</v>
      </c>
      <c r="B1169" s="12" t="str">
        <f t="shared" si="128"/>
        <v>JULHO</v>
      </c>
      <c r="C1169" s="12" t="s">
        <v>11</v>
      </c>
      <c r="D1169" s="12" t="s">
        <v>12</v>
      </c>
      <c r="E1169" s="13">
        <v>620</v>
      </c>
      <c r="F1169" s="13">
        <v>660</v>
      </c>
      <c r="G1169" s="12">
        <v>31</v>
      </c>
      <c r="H1169" s="14">
        <v>31</v>
      </c>
      <c r="I1169" s="12">
        <f>IFERROR(IF(T_PROD[[#This Row],[PREVISTO]]-T_PROD[[#This Row],[EFETIVO]]&lt; 0,0,T_PROD[[#This Row],[PREVISTO]]-T_PROD[[#This Row],[EFETIVO]] ),"")</f>
        <v>0</v>
      </c>
      <c r="J1169" s="15">
        <f>IFERROR(IF(T_PROD[[#This Row],[META]]&gt;0,(T_PROD[[#This Row],[META]]/T_PROD[[#This Row],[PREVISTO]]),""),"")</f>
        <v>20</v>
      </c>
      <c r="K1169" s="15">
        <f>IFERROR(IF(T_PROD[[#This Row],[PRODUÇÃO]]&gt;0,(T_PROD[[#This Row],[PRODUÇÃO]]/T_PROD[[#This Row],[EFETIVO]]),""),"")</f>
        <v>21.29032258064516</v>
      </c>
    </row>
    <row r="1170" spans="1:11" x14ac:dyDescent="0.3">
      <c r="A1170" s="11">
        <v>46217</v>
      </c>
      <c r="B1170" s="12" t="str">
        <f t="shared" si="128"/>
        <v>JULHO</v>
      </c>
      <c r="C1170" s="12" t="s">
        <v>32</v>
      </c>
      <c r="D1170" s="12" t="s">
        <v>12</v>
      </c>
      <c r="E1170" s="13">
        <v>110</v>
      </c>
      <c r="F1170" s="13">
        <v>120</v>
      </c>
      <c r="G1170" s="12">
        <v>10</v>
      </c>
      <c r="H1170" s="14">
        <v>10</v>
      </c>
      <c r="I1170" s="12">
        <f>IFERROR(IF(T_PROD[[#This Row],[PREVISTO]]-T_PROD[[#This Row],[EFETIVO]]&lt; 0,0,T_PROD[[#This Row],[PREVISTO]]-T_PROD[[#This Row],[EFETIVO]] ),"")</f>
        <v>0</v>
      </c>
      <c r="J1170" s="15">
        <f>IFERROR(IF(T_PROD[[#This Row],[META]]&gt;0,(T_PROD[[#This Row],[META]]/T_PROD[[#This Row],[PREVISTO]]),""),"")</f>
        <v>11</v>
      </c>
      <c r="K1170" s="15">
        <f>IFERROR(IF(T_PROD[[#This Row],[PRODUÇÃO]]&gt;0,(T_PROD[[#This Row],[PRODUÇÃO]]/T_PROD[[#This Row],[EFETIVO]]),""),"")</f>
        <v>12</v>
      </c>
    </row>
    <row r="1171" spans="1:11" x14ac:dyDescent="0.3">
      <c r="A1171" s="11">
        <v>46217</v>
      </c>
      <c r="B1171" s="12" t="str">
        <f t="shared" si="128"/>
        <v>JULHO</v>
      </c>
      <c r="C1171" s="12" t="s">
        <v>14</v>
      </c>
      <c r="D1171" s="12" t="s">
        <v>12</v>
      </c>
      <c r="E1171" s="13">
        <v>730</v>
      </c>
      <c r="F1171" s="13">
        <v>780</v>
      </c>
      <c r="G1171" s="12">
        <v>90</v>
      </c>
      <c r="H1171" s="14">
        <v>90</v>
      </c>
      <c r="I1171" s="12">
        <f>IFERROR(IF(T_PROD[[#This Row],[PREVISTO]]-T_PROD[[#This Row],[EFETIVO]]&lt; 0,0,T_PROD[[#This Row],[PREVISTO]]-T_PROD[[#This Row],[EFETIVO]] ),"")</f>
        <v>0</v>
      </c>
      <c r="J1171" s="15">
        <f>IFERROR(IF(T_PROD[[#This Row],[META]]&gt;0,(T_PROD[[#This Row],[META]]/T_PROD[[#This Row],[PREVISTO]]),""),"")</f>
        <v>8.1111111111111107</v>
      </c>
      <c r="K1171" s="15">
        <f>IFERROR(IF(T_PROD[[#This Row],[PRODUÇÃO]]&gt;0,(T_PROD[[#This Row],[PRODUÇÃO]]/T_PROD[[#This Row],[EFETIVO]]),""),"")</f>
        <v>8.6666666666666661</v>
      </c>
    </row>
    <row r="1172" spans="1:11" x14ac:dyDescent="0.3">
      <c r="A1172" s="11">
        <v>46218</v>
      </c>
      <c r="B1172" s="12" t="str">
        <f>UPPER(TEXT(A1172,"MMMM"))</f>
        <v>JULHO</v>
      </c>
      <c r="C1172" s="12" t="s">
        <v>15</v>
      </c>
      <c r="D1172" s="12" t="s">
        <v>12</v>
      </c>
      <c r="E1172" s="13">
        <v>75</v>
      </c>
      <c r="F1172" s="13">
        <v>36</v>
      </c>
      <c r="G1172" s="12">
        <v>5</v>
      </c>
      <c r="H1172" s="14">
        <v>5</v>
      </c>
      <c r="I1172" s="12">
        <f>IFERROR(IF(T_PROD[[#This Row],[PREVISTO]]-T_PROD[[#This Row],[EFETIVO]]&lt; 0,0,T_PROD[[#This Row],[PREVISTO]]-T_PROD[[#This Row],[EFETIVO]] ),"")</f>
        <v>0</v>
      </c>
      <c r="J1172" s="15">
        <f>IFERROR(IF(T_PROD[[#This Row],[META]]&gt;0,(T_PROD[[#This Row],[META]]/T_PROD[[#This Row],[PREVISTO]]),""),"")</f>
        <v>15</v>
      </c>
      <c r="K1172" s="15">
        <f>IFERROR(IF(T_PROD[[#This Row],[PRODUÇÃO]]&gt;0,(T_PROD[[#This Row],[PRODUÇÃO]]/T_PROD[[#This Row],[EFETIVO]]),""),"")</f>
        <v>7.2</v>
      </c>
    </row>
    <row r="1173" spans="1:11" x14ac:dyDescent="0.3">
      <c r="A1173" s="11">
        <v>46218</v>
      </c>
      <c r="B1173" s="12" t="str">
        <f t="shared" ref="B1173:B1180" si="129">UPPER(TEXT(A1173,"MMMM"))</f>
        <v>JULHO</v>
      </c>
      <c r="C1173" s="12" t="s">
        <v>16</v>
      </c>
      <c r="D1173" s="12" t="s">
        <v>12</v>
      </c>
      <c r="E1173" s="13">
        <v>187</v>
      </c>
      <c r="F1173" s="13">
        <v>181</v>
      </c>
      <c r="G1173" s="12">
        <v>5.5</v>
      </c>
      <c r="H1173" s="14">
        <v>5.5</v>
      </c>
      <c r="I1173" s="12">
        <f>IFERROR(IF(T_PROD[[#This Row],[PREVISTO]]-T_PROD[[#This Row],[EFETIVO]]&lt; 0,0,T_PROD[[#This Row],[PREVISTO]]-T_PROD[[#This Row],[EFETIVO]] ),"")</f>
        <v>0</v>
      </c>
      <c r="J1173" s="15">
        <f>IFERROR(IF(T_PROD[[#This Row],[META]]&gt;0,(T_PROD[[#This Row],[META]]/T_PROD[[#This Row],[PREVISTO]]),""),"")</f>
        <v>34</v>
      </c>
      <c r="K1173" s="15">
        <f>IFERROR(IF(T_PROD[[#This Row],[PRODUÇÃO]]&gt;0,(T_PROD[[#This Row],[PRODUÇÃO]]/T_PROD[[#This Row],[EFETIVO]]),""),"")</f>
        <v>32.909090909090907</v>
      </c>
    </row>
    <row r="1174" spans="1:11" x14ac:dyDescent="0.3">
      <c r="A1174" s="11">
        <v>46218</v>
      </c>
      <c r="B1174" s="12" t="str">
        <f t="shared" si="129"/>
        <v>JULHO</v>
      </c>
      <c r="C1174" s="12" t="s">
        <v>17</v>
      </c>
      <c r="D1174" s="12" t="s">
        <v>12</v>
      </c>
      <c r="E1174" s="13">
        <v>208</v>
      </c>
      <c r="F1174" s="13">
        <v>247</v>
      </c>
      <c r="G1174" s="12">
        <v>13</v>
      </c>
      <c r="H1174" s="14">
        <v>13</v>
      </c>
      <c r="I1174" s="12">
        <f>IFERROR(IF(T_PROD[[#This Row],[PREVISTO]]-T_PROD[[#This Row],[EFETIVO]]&lt; 0,0,T_PROD[[#This Row],[PREVISTO]]-T_PROD[[#This Row],[EFETIVO]] ),"")</f>
        <v>0</v>
      </c>
      <c r="J1174" s="15">
        <f>IFERROR(IF(T_PROD[[#This Row],[META]]&gt;0,(T_PROD[[#This Row],[META]]/T_PROD[[#This Row],[PREVISTO]]),""),"")</f>
        <v>16</v>
      </c>
      <c r="K1174" s="15">
        <f>IFERROR(IF(T_PROD[[#This Row],[PRODUÇÃO]]&gt;0,(T_PROD[[#This Row],[PRODUÇÃO]]/T_PROD[[#This Row],[EFETIVO]]),""),"")</f>
        <v>19</v>
      </c>
    </row>
    <row r="1175" spans="1:11" x14ac:dyDescent="0.3">
      <c r="A1175" s="11">
        <v>46218</v>
      </c>
      <c r="B1175" s="12" t="str">
        <f t="shared" si="129"/>
        <v>JULHO</v>
      </c>
      <c r="C1175" s="12" t="s">
        <v>18</v>
      </c>
      <c r="D1175" s="12" t="s">
        <v>12</v>
      </c>
      <c r="E1175" s="13"/>
      <c r="F1175" s="13"/>
      <c r="G1175" s="12"/>
      <c r="H1175" s="14"/>
      <c r="I1175" s="12">
        <f>IFERROR(IF(T_PROD[[#This Row],[PREVISTO]]-T_PROD[[#This Row],[EFETIVO]]&lt; 0,0,T_PROD[[#This Row],[PREVISTO]]-T_PROD[[#This Row],[EFETIVO]] ),"")</f>
        <v>0</v>
      </c>
      <c r="J1175" s="15" t="str">
        <f>IFERROR(IF(T_PROD[[#This Row],[META]]&gt;0,(T_PROD[[#This Row],[META]]/T_PROD[[#This Row],[PREVISTO]]),""),"")</f>
        <v/>
      </c>
      <c r="K1175" s="15" t="str">
        <f>IFERROR(IF(T_PROD[[#This Row],[PRODUÇÃO]]&gt;0,(T_PROD[[#This Row],[PRODUÇÃO]]/T_PROD[[#This Row],[EFETIVO]]),""),"")</f>
        <v/>
      </c>
    </row>
    <row r="1176" spans="1:11" x14ac:dyDescent="0.3">
      <c r="A1176" s="11">
        <v>46218</v>
      </c>
      <c r="B1176" s="12" t="str">
        <f t="shared" si="129"/>
        <v>JULHO</v>
      </c>
      <c r="C1176" s="12" t="s">
        <v>19</v>
      </c>
      <c r="D1176" s="12" t="s">
        <v>12</v>
      </c>
      <c r="E1176" s="13"/>
      <c r="F1176" s="13"/>
      <c r="G1176" s="12"/>
      <c r="H1176" s="14"/>
      <c r="I1176" s="12">
        <f>IFERROR(IF(T_PROD[[#This Row],[PREVISTO]]-T_PROD[[#This Row],[EFETIVO]]&lt; 0,0,T_PROD[[#This Row],[PREVISTO]]-T_PROD[[#This Row],[EFETIVO]] ),"")</f>
        <v>0</v>
      </c>
      <c r="J1176" s="15" t="str">
        <f>IFERROR(IF(T_PROD[[#This Row],[META]]&gt;0,(T_PROD[[#This Row],[META]]/T_PROD[[#This Row],[PREVISTO]]),""),"")</f>
        <v/>
      </c>
      <c r="K1176" s="15" t="str">
        <f>IFERROR(IF(T_PROD[[#This Row],[PRODUÇÃO]]&gt;0,(T_PROD[[#This Row],[PRODUÇÃO]]/T_PROD[[#This Row],[EFETIVO]]),""),"")</f>
        <v/>
      </c>
    </row>
    <row r="1177" spans="1:11" x14ac:dyDescent="0.3">
      <c r="A1177" s="11">
        <v>46218</v>
      </c>
      <c r="B1177" s="12" t="str">
        <f t="shared" si="129"/>
        <v>JULHO</v>
      </c>
      <c r="C1177" s="12" t="s">
        <v>20</v>
      </c>
      <c r="D1177" s="12" t="s">
        <v>12</v>
      </c>
      <c r="E1177" s="13">
        <v>470</v>
      </c>
      <c r="F1177" s="13">
        <v>464</v>
      </c>
      <c r="G1177" s="12">
        <v>90</v>
      </c>
      <c r="H1177" s="14">
        <v>90</v>
      </c>
      <c r="I1177" s="12">
        <f>IFERROR(IF(T_PROD[[#This Row],[PREVISTO]]-T_PROD[[#This Row],[EFETIVO]]&lt; 0,0,T_PROD[[#This Row],[PREVISTO]]-T_PROD[[#This Row],[EFETIVO]] ),"")</f>
        <v>0</v>
      </c>
      <c r="J1177" s="15">
        <f>IFERROR(IF(T_PROD[[#This Row],[META]]&gt;0,(T_PROD[[#This Row],[META]]/T_PROD[[#This Row],[PREVISTO]]),""),"")</f>
        <v>5.2222222222222223</v>
      </c>
      <c r="K1177" s="15">
        <f>IFERROR(IF(T_PROD[[#This Row],[PRODUÇÃO]]&gt;0,(T_PROD[[#This Row],[PRODUÇÃO]]/T_PROD[[#This Row],[EFETIVO]]),""),"")</f>
        <v>5.1555555555555559</v>
      </c>
    </row>
    <row r="1178" spans="1:11" x14ac:dyDescent="0.3">
      <c r="A1178" s="11">
        <v>46218</v>
      </c>
      <c r="B1178" s="12" t="str">
        <f t="shared" si="129"/>
        <v>JULHO</v>
      </c>
      <c r="C1178" s="12" t="s">
        <v>11</v>
      </c>
      <c r="D1178" s="12" t="s">
        <v>12</v>
      </c>
      <c r="E1178" s="13">
        <v>640</v>
      </c>
      <c r="F1178" s="13">
        <v>660</v>
      </c>
      <c r="G1178" s="12">
        <v>32</v>
      </c>
      <c r="H1178" s="14">
        <v>32</v>
      </c>
      <c r="I1178" s="12">
        <f>IFERROR(IF(T_PROD[[#This Row],[PREVISTO]]-T_PROD[[#This Row],[EFETIVO]]&lt; 0,0,T_PROD[[#This Row],[PREVISTO]]-T_PROD[[#This Row],[EFETIVO]] ),"")</f>
        <v>0</v>
      </c>
      <c r="J1178" s="15">
        <f>IFERROR(IF(T_PROD[[#This Row],[META]]&gt;0,(T_PROD[[#This Row],[META]]/T_PROD[[#This Row],[PREVISTO]]),""),"")</f>
        <v>20</v>
      </c>
      <c r="K1178" s="15">
        <f>IFERROR(IF(T_PROD[[#This Row],[PRODUÇÃO]]&gt;0,(T_PROD[[#This Row],[PRODUÇÃO]]/T_PROD[[#This Row],[EFETIVO]]),""),"")</f>
        <v>20.625</v>
      </c>
    </row>
    <row r="1179" spans="1:11" x14ac:dyDescent="0.3">
      <c r="A1179" s="11">
        <v>46218</v>
      </c>
      <c r="B1179" s="12" t="str">
        <f t="shared" si="129"/>
        <v>JULHO</v>
      </c>
      <c r="C1179" s="12" t="s">
        <v>32</v>
      </c>
      <c r="D1179" s="12" t="s">
        <v>12</v>
      </c>
      <c r="E1179" s="13">
        <v>110</v>
      </c>
      <c r="F1179" s="13">
        <v>137</v>
      </c>
      <c r="G1179" s="12">
        <v>10</v>
      </c>
      <c r="H1179" s="14">
        <v>10</v>
      </c>
      <c r="I1179" s="12">
        <f>IFERROR(IF(T_PROD[[#This Row],[PREVISTO]]-T_PROD[[#This Row],[EFETIVO]]&lt; 0,0,T_PROD[[#This Row],[PREVISTO]]-T_PROD[[#This Row],[EFETIVO]] ),"")</f>
        <v>0</v>
      </c>
      <c r="J1179" s="15">
        <f>IFERROR(IF(T_PROD[[#This Row],[META]]&gt;0,(T_PROD[[#This Row],[META]]/T_PROD[[#This Row],[PREVISTO]]),""),"")</f>
        <v>11</v>
      </c>
      <c r="K1179" s="15">
        <f>IFERROR(IF(T_PROD[[#This Row],[PRODUÇÃO]]&gt;0,(T_PROD[[#This Row],[PRODUÇÃO]]/T_PROD[[#This Row],[EFETIVO]]),""),"")</f>
        <v>13.7</v>
      </c>
    </row>
    <row r="1180" spans="1:11" x14ac:dyDescent="0.3">
      <c r="A1180" s="11">
        <v>46218</v>
      </c>
      <c r="B1180" s="12" t="str">
        <f t="shared" si="129"/>
        <v>JULHO</v>
      </c>
      <c r="C1180" s="12" t="s">
        <v>14</v>
      </c>
      <c r="D1180" s="12" t="s">
        <v>12</v>
      </c>
      <c r="E1180" s="13">
        <v>770</v>
      </c>
      <c r="F1180" s="13">
        <v>797</v>
      </c>
      <c r="G1180" s="12">
        <v>92</v>
      </c>
      <c r="H1180" s="14">
        <v>92</v>
      </c>
      <c r="I1180" s="12">
        <f>IFERROR(IF(T_PROD[[#This Row],[PREVISTO]]-T_PROD[[#This Row],[EFETIVO]]&lt; 0,0,T_PROD[[#This Row],[PREVISTO]]-T_PROD[[#This Row],[EFETIVO]] ),"")</f>
        <v>0</v>
      </c>
      <c r="J1180" s="15">
        <f>IFERROR(IF(T_PROD[[#This Row],[META]]&gt;0,(T_PROD[[#This Row],[META]]/T_PROD[[#This Row],[PREVISTO]]),""),"")</f>
        <v>8.3695652173913047</v>
      </c>
      <c r="K1180" s="15">
        <f>IFERROR(IF(T_PROD[[#This Row],[PRODUÇÃO]]&gt;0,(T_PROD[[#This Row],[PRODUÇÃO]]/T_PROD[[#This Row],[EFETIVO]]),""),"")</f>
        <v>8.6630434782608692</v>
      </c>
    </row>
    <row r="1181" spans="1:11" x14ac:dyDescent="0.3">
      <c r="A1181" s="11">
        <v>46219</v>
      </c>
      <c r="B1181" s="12" t="str">
        <f>UPPER(TEXT(A1181,"MMMM"))</f>
        <v>JULHO</v>
      </c>
      <c r="C1181" s="12" t="s">
        <v>15</v>
      </c>
      <c r="D1181" s="12" t="s">
        <v>12</v>
      </c>
      <c r="E1181" s="13">
        <v>67.5</v>
      </c>
      <c r="F1181" s="13">
        <v>36</v>
      </c>
      <c r="G1181" s="12">
        <v>4.5</v>
      </c>
      <c r="H1181" s="14">
        <v>4.5</v>
      </c>
      <c r="I1181" s="12">
        <f>IFERROR(IF(T_PROD[[#This Row],[PREVISTO]]-T_PROD[[#This Row],[EFETIVO]]&lt; 0,0,T_PROD[[#This Row],[PREVISTO]]-T_PROD[[#This Row],[EFETIVO]] ),"")</f>
        <v>0</v>
      </c>
      <c r="J1181" s="15">
        <f>IFERROR(IF(T_PROD[[#This Row],[META]]&gt;0,(T_PROD[[#This Row],[META]]/T_PROD[[#This Row],[PREVISTO]]),""),"")</f>
        <v>15</v>
      </c>
      <c r="K1181" s="15">
        <f>IFERROR(IF(T_PROD[[#This Row],[PRODUÇÃO]]&gt;0,(T_PROD[[#This Row],[PRODUÇÃO]]/T_PROD[[#This Row],[EFETIVO]]),""),"")</f>
        <v>8</v>
      </c>
    </row>
    <row r="1182" spans="1:11" x14ac:dyDescent="0.3">
      <c r="A1182" s="11">
        <v>46219</v>
      </c>
      <c r="B1182" s="12" t="str">
        <f t="shared" ref="B1182:B1189" si="130">UPPER(TEXT(A1182,"MMMM"))</f>
        <v>JULHO</v>
      </c>
      <c r="C1182" s="12" t="s">
        <v>16</v>
      </c>
      <c r="D1182" s="12" t="s">
        <v>12</v>
      </c>
      <c r="E1182" s="13">
        <v>221</v>
      </c>
      <c r="F1182" s="13">
        <v>238</v>
      </c>
      <c r="G1182" s="12">
        <v>6.5</v>
      </c>
      <c r="H1182" s="14">
        <v>6.5</v>
      </c>
      <c r="I1182" s="12">
        <f>IFERROR(IF(T_PROD[[#This Row],[PREVISTO]]-T_PROD[[#This Row],[EFETIVO]]&lt; 0,0,T_PROD[[#This Row],[PREVISTO]]-T_PROD[[#This Row],[EFETIVO]] ),"")</f>
        <v>0</v>
      </c>
      <c r="J1182" s="15">
        <f>IFERROR(IF(T_PROD[[#This Row],[META]]&gt;0,(T_PROD[[#This Row],[META]]/T_PROD[[#This Row],[PREVISTO]]),""),"")</f>
        <v>34</v>
      </c>
      <c r="K1182" s="15">
        <f>IFERROR(IF(T_PROD[[#This Row],[PRODUÇÃO]]&gt;0,(T_PROD[[#This Row],[PRODUÇÃO]]/T_PROD[[#This Row],[EFETIVO]]),""),"")</f>
        <v>36.615384615384613</v>
      </c>
    </row>
    <row r="1183" spans="1:11" x14ac:dyDescent="0.3">
      <c r="A1183" s="11">
        <v>46219</v>
      </c>
      <c r="B1183" s="12" t="str">
        <f t="shared" si="130"/>
        <v>JULHO</v>
      </c>
      <c r="C1183" s="12" t="s">
        <v>17</v>
      </c>
      <c r="D1183" s="12" t="s">
        <v>12</v>
      </c>
      <c r="E1183" s="13">
        <v>192</v>
      </c>
      <c r="F1183" s="13">
        <v>250</v>
      </c>
      <c r="G1183" s="12">
        <v>12</v>
      </c>
      <c r="H1183" s="14">
        <v>12</v>
      </c>
      <c r="I1183" s="12">
        <f>IFERROR(IF(T_PROD[[#This Row],[PREVISTO]]-T_PROD[[#This Row],[EFETIVO]]&lt; 0,0,T_PROD[[#This Row],[PREVISTO]]-T_PROD[[#This Row],[EFETIVO]] ),"")</f>
        <v>0</v>
      </c>
      <c r="J1183" s="15">
        <f>IFERROR(IF(T_PROD[[#This Row],[META]]&gt;0,(T_PROD[[#This Row],[META]]/T_PROD[[#This Row],[PREVISTO]]),""),"")</f>
        <v>16</v>
      </c>
      <c r="K1183" s="15">
        <f>IFERROR(IF(T_PROD[[#This Row],[PRODUÇÃO]]&gt;0,(T_PROD[[#This Row],[PRODUÇÃO]]/T_PROD[[#This Row],[EFETIVO]]),""),"")</f>
        <v>20.833333333333332</v>
      </c>
    </row>
    <row r="1184" spans="1:11" x14ac:dyDescent="0.3">
      <c r="A1184" s="11">
        <v>46219</v>
      </c>
      <c r="B1184" s="12" t="str">
        <f t="shared" si="130"/>
        <v>JULHO</v>
      </c>
      <c r="C1184" s="12" t="s">
        <v>18</v>
      </c>
      <c r="D1184" s="12" t="s">
        <v>12</v>
      </c>
      <c r="E1184" s="13"/>
      <c r="F1184" s="13"/>
      <c r="G1184" s="12"/>
      <c r="H1184" s="14"/>
      <c r="I1184" s="12">
        <f>IFERROR(IF(T_PROD[[#This Row],[PREVISTO]]-T_PROD[[#This Row],[EFETIVO]]&lt; 0,0,T_PROD[[#This Row],[PREVISTO]]-T_PROD[[#This Row],[EFETIVO]] ),"")</f>
        <v>0</v>
      </c>
      <c r="J1184" s="15" t="str">
        <f>IFERROR(IF(T_PROD[[#This Row],[META]]&gt;0,(T_PROD[[#This Row],[META]]/T_PROD[[#This Row],[PREVISTO]]),""),"")</f>
        <v/>
      </c>
      <c r="K1184" s="15" t="str">
        <f>IFERROR(IF(T_PROD[[#This Row],[PRODUÇÃO]]&gt;0,(T_PROD[[#This Row],[PRODUÇÃO]]/T_PROD[[#This Row],[EFETIVO]]),""),"")</f>
        <v/>
      </c>
    </row>
    <row r="1185" spans="1:11" x14ac:dyDescent="0.3">
      <c r="A1185" s="11">
        <v>46219</v>
      </c>
      <c r="B1185" s="12" t="str">
        <f t="shared" si="130"/>
        <v>JULHO</v>
      </c>
      <c r="C1185" s="12" t="s">
        <v>19</v>
      </c>
      <c r="D1185" s="12" t="s">
        <v>12</v>
      </c>
      <c r="E1185" s="13"/>
      <c r="F1185" s="13"/>
      <c r="G1185" s="12"/>
      <c r="H1185" s="14"/>
      <c r="I1185" s="12">
        <f>IFERROR(IF(T_PROD[[#This Row],[PREVISTO]]-T_PROD[[#This Row],[EFETIVO]]&lt; 0,0,T_PROD[[#This Row],[PREVISTO]]-T_PROD[[#This Row],[EFETIVO]] ),"")</f>
        <v>0</v>
      </c>
      <c r="J1185" s="15" t="str">
        <f>IFERROR(IF(T_PROD[[#This Row],[META]]&gt;0,(T_PROD[[#This Row],[META]]/T_PROD[[#This Row],[PREVISTO]]),""),"")</f>
        <v/>
      </c>
      <c r="K1185" s="15" t="str">
        <f>IFERROR(IF(T_PROD[[#This Row],[PRODUÇÃO]]&gt;0,(T_PROD[[#This Row],[PRODUÇÃO]]/T_PROD[[#This Row],[EFETIVO]]),""),"")</f>
        <v/>
      </c>
    </row>
    <row r="1186" spans="1:11" x14ac:dyDescent="0.3">
      <c r="A1186" s="11">
        <v>46219</v>
      </c>
      <c r="B1186" s="12" t="str">
        <f t="shared" si="130"/>
        <v>JULHO</v>
      </c>
      <c r="C1186" s="12" t="s">
        <v>20</v>
      </c>
      <c r="D1186" s="12" t="s">
        <v>12</v>
      </c>
      <c r="E1186" s="13">
        <v>481</v>
      </c>
      <c r="F1186" s="13">
        <v>524</v>
      </c>
      <c r="G1186" s="12">
        <v>90</v>
      </c>
      <c r="H1186" s="14">
        <v>90</v>
      </c>
      <c r="I1186" s="12">
        <f>IFERROR(IF(T_PROD[[#This Row],[PREVISTO]]-T_PROD[[#This Row],[EFETIVO]]&lt; 0,0,T_PROD[[#This Row],[PREVISTO]]-T_PROD[[#This Row],[EFETIVO]] ),"")</f>
        <v>0</v>
      </c>
      <c r="J1186" s="15">
        <f>IFERROR(IF(T_PROD[[#This Row],[META]]&gt;0,(T_PROD[[#This Row],[META]]/T_PROD[[#This Row],[PREVISTO]]),""),"")</f>
        <v>5.3444444444444441</v>
      </c>
      <c r="K1186" s="15">
        <f>IFERROR(IF(T_PROD[[#This Row],[PRODUÇÃO]]&gt;0,(T_PROD[[#This Row],[PRODUÇÃO]]/T_PROD[[#This Row],[EFETIVO]]),""),"")</f>
        <v>5.822222222222222</v>
      </c>
    </row>
    <row r="1187" spans="1:11" x14ac:dyDescent="0.3">
      <c r="A1187" s="11">
        <v>46219</v>
      </c>
      <c r="B1187" s="12" t="str">
        <f t="shared" si="130"/>
        <v>JULHO</v>
      </c>
      <c r="C1187" s="12" t="s">
        <v>11</v>
      </c>
      <c r="D1187" s="12" t="s">
        <v>12</v>
      </c>
      <c r="E1187" s="13">
        <v>660</v>
      </c>
      <c r="F1187" s="13">
        <v>700</v>
      </c>
      <c r="G1187" s="12">
        <v>33</v>
      </c>
      <c r="H1187" s="14">
        <v>33</v>
      </c>
      <c r="I1187" s="12">
        <f>IFERROR(IF(T_PROD[[#This Row],[PREVISTO]]-T_PROD[[#This Row],[EFETIVO]]&lt; 0,0,T_PROD[[#This Row],[PREVISTO]]-T_PROD[[#This Row],[EFETIVO]] ),"")</f>
        <v>0</v>
      </c>
      <c r="J1187" s="15">
        <f>IFERROR(IF(T_PROD[[#This Row],[META]]&gt;0,(T_PROD[[#This Row],[META]]/T_PROD[[#This Row],[PREVISTO]]),""),"")</f>
        <v>20</v>
      </c>
      <c r="K1187" s="15">
        <f>IFERROR(IF(T_PROD[[#This Row],[PRODUÇÃO]]&gt;0,(T_PROD[[#This Row],[PRODUÇÃO]]/T_PROD[[#This Row],[EFETIVO]]),""),"")</f>
        <v>21.212121212121211</v>
      </c>
    </row>
    <row r="1188" spans="1:11" x14ac:dyDescent="0.3">
      <c r="A1188" s="11">
        <v>46219</v>
      </c>
      <c r="B1188" s="12" t="str">
        <f t="shared" si="130"/>
        <v>JULHO</v>
      </c>
      <c r="C1188" s="12" t="s">
        <v>32</v>
      </c>
      <c r="D1188" s="12" t="s">
        <v>12</v>
      </c>
      <c r="E1188" s="13">
        <v>110</v>
      </c>
      <c r="F1188" s="13">
        <v>104</v>
      </c>
      <c r="G1188" s="12">
        <v>10</v>
      </c>
      <c r="H1188" s="14">
        <v>10</v>
      </c>
      <c r="I1188" s="12">
        <f>IFERROR(IF(T_PROD[[#This Row],[PREVISTO]]-T_PROD[[#This Row],[EFETIVO]]&lt; 0,0,T_PROD[[#This Row],[PREVISTO]]-T_PROD[[#This Row],[EFETIVO]] ),"")</f>
        <v>0</v>
      </c>
      <c r="J1188" s="15">
        <f>IFERROR(IF(T_PROD[[#This Row],[META]]&gt;0,(T_PROD[[#This Row],[META]]/T_PROD[[#This Row],[PREVISTO]]),""),"")</f>
        <v>11</v>
      </c>
      <c r="K1188" s="15">
        <f>IFERROR(IF(T_PROD[[#This Row],[PRODUÇÃO]]&gt;0,(T_PROD[[#This Row],[PRODUÇÃO]]/T_PROD[[#This Row],[EFETIVO]]),""),"")</f>
        <v>10.4</v>
      </c>
    </row>
    <row r="1189" spans="1:11" x14ac:dyDescent="0.3">
      <c r="A1189" s="11">
        <v>46219</v>
      </c>
      <c r="B1189" s="12" t="str">
        <f t="shared" si="130"/>
        <v>JULHO</v>
      </c>
      <c r="C1189" s="12" t="s">
        <v>14</v>
      </c>
      <c r="D1189" s="12" t="s">
        <v>12</v>
      </c>
      <c r="E1189" s="13">
        <v>770</v>
      </c>
      <c r="F1189" s="13">
        <v>804</v>
      </c>
      <c r="G1189" s="12">
        <v>90</v>
      </c>
      <c r="H1189" s="14">
        <v>89</v>
      </c>
      <c r="I1189" s="12">
        <f>IFERROR(IF(T_PROD[[#This Row],[PREVISTO]]-T_PROD[[#This Row],[EFETIVO]]&lt; 0,0,T_PROD[[#This Row],[PREVISTO]]-T_PROD[[#This Row],[EFETIVO]] ),"")</f>
        <v>1</v>
      </c>
      <c r="J1189" s="15">
        <f>IFERROR(IF(T_PROD[[#This Row],[META]]&gt;0,(T_PROD[[#This Row],[META]]/T_PROD[[#This Row],[PREVISTO]]),""),"")</f>
        <v>8.5555555555555554</v>
      </c>
      <c r="K1189" s="15">
        <f>IFERROR(IF(T_PROD[[#This Row],[PRODUÇÃO]]&gt;0,(T_PROD[[#This Row],[PRODUÇÃO]]/T_PROD[[#This Row],[EFETIVO]]),""),"")</f>
        <v>9.0337078651685392</v>
      </c>
    </row>
    <row r="1190" spans="1:11" x14ac:dyDescent="0.3">
      <c r="A1190" s="11">
        <v>46220</v>
      </c>
      <c r="B1190" s="12" t="str">
        <f>UPPER(TEXT(A1190,"MMMM"))</f>
        <v>JULHO</v>
      </c>
      <c r="C1190" s="12" t="s">
        <v>15</v>
      </c>
      <c r="D1190" s="12" t="s">
        <v>12</v>
      </c>
      <c r="E1190" s="13">
        <v>75</v>
      </c>
      <c r="F1190" s="13">
        <v>50</v>
      </c>
      <c r="G1190" s="12">
        <v>5</v>
      </c>
      <c r="H1190" s="14">
        <v>5</v>
      </c>
      <c r="I1190" s="12">
        <f>IFERROR(IF(T_PROD[[#This Row],[PREVISTO]]-T_PROD[[#This Row],[EFETIVO]]&lt; 0,0,T_PROD[[#This Row],[PREVISTO]]-T_PROD[[#This Row],[EFETIVO]] ),"")</f>
        <v>0</v>
      </c>
      <c r="J1190" s="15">
        <f>IFERROR(IF(T_PROD[[#This Row],[META]]&gt;0,(T_PROD[[#This Row],[META]]/T_PROD[[#This Row],[PREVISTO]]),""),"")</f>
        <v>15</v>
      </c>
      <c r="K1190" s="15">
        <f>IFERROR(IF(T_PROD[[#This Row],[PRODUÇÃO]]&gt;0,(T_PROD[[#This Row],[PRODUÇÃO]]/T_PROD[[#This Row],[EFETIVO]]),""),"")</f>
        <v>10</v>
      </c>
    </row>
    <row r="1191" spans="1:11" x14ac:dyDescent="0.3">
      <c r="A1191" s="11">
        <v>46220</v>
      </c>
      <c r="B1191" s="12" t="str">
        <f t="shared" ref="B1191:B1198" si="131">UPPER(TEXT(A1191,"MMMM"))</f>
        <v>JULHO</v>
      </c>
      <c r="C1191" s="12" t="s">
        <v>16</v>
      </c>
      <c r="D1191" s="12" t="s">
        <v>12</v>
      </c>
      <c r="E1191" s="13">
        <v>187</v>
      </c>
      <c r="F1191" s="13">
        <v>190</v>
      </c>
      <c r="G1191" s="12">
        <v>5.5</v>
      </c>
      <c r="H1191" s="14">
        <v>5.5</v>
      </c>
      <c r="I1191" s="12">
        <f>IFERROR(IF(T_PROD[[#This Row],[PREVISTO]]-T_PROD[[#This Row],[EFETIVO]]&lt; 0,0,T_PROD[[#This Row],[PREVISTO]]-T_PROD[[#This Row],[EFETIVO]] ),"")</f>
        <v>0</v>
      </c>
      <c r="J1191" s="15">
        <f>IFERROR(IF(T_PROD[[#This Row],[META]]&gt;0,(T_PROD[[#This Row],[META]]/T_PROD[[#This Row],[PREVISTO]]),""),"")</f>
        <v>34</v>
      </c>
      <c r="K1191" s="15">
        <f>IFERROR(IF(T_PROD[[#This Row],[PRODUÇÃO]]&gt;0,(T_PROD[[#This Row],[PRODUÇÃO]]/T_PROD[[#This Row],[EFETIVO]]),""),"")</f>
        <v>34.545454545454547</v>
      </c>
    </row>
    <row r="1192" spans="1:11" x14ac:dyDescent="0.3">
      <c r="A1192" s="11">
        <v>46220</v>
      </c>
      <c r="B1192" s="12" t="str">
        <f t="shared" si="131"/>
        <v>JULHO</v>
      </c>
      <c r="C1192" s="12" t="s">
        <v>17</v>
      </c>
      <c r="D1192" s="12" t="s">
        <v>12</v>
      </c>
      <c r="E1192" s="13">
        <v>168</v>
      </c>
      <c r="F1192" s="13">
        <v>181</v>
      </c>
      <c r="G1192" s="12">
        <v>10.5</v>
      </c>
      <c r="H1192" s="14">
        <v>10.5</v>
      </c>
      <c r="I1192" s="12">
        <f>IFERROR(IF(T_PROD[[#This Row],[PREVISTO]]-T_PROD[[#This Row],[EFETIVO]]&lt; 0,0,T_PROD[[#This Row],[PREVISTO]]-T_PROD[[#This Row],[EFETIVO]] ),"")</f>
        <v>0</v>
      </c>
      <c r="J1192" s="15">
        <f>IFERROR(IF(T_PROD[[#This Row],[META]]&gt;0,(T_PROD[[#This Row],[META]]/T_PROD[[#This Row],[PREVISTO]]),""),"")</f>
        <v>16</v>
      </c>
      <c r="K1192" s="15">
        <f>IFERROR(IF(T_PROD[[#This Row],[PRODUÇÃO]]&gt;0,(T_PROD[[#This Row],[PRODUÇÃO]]/T_PROD[[#This Row],[EFETIVO]]),""),"")</f>
        <v>17.238095238095237</v>
      </c>
    </row>
    <row r="1193" spans="1:11" x14ac:dyDescent="0.3">
      <c r="A1193" s="11">
        <v>46220</v>
      </c>
      <c r="B1193" s="12" t="str">
        <f t="shared" si="131"/>
        <v>JULHO</v>
      </c>
      <c r="C1193" s="12" t="s">
        <v>18</v>
      </c>
      <c r="D1193" s="12" t="s">
        <v>12</v>
      </c>
      <c r="E1193" s="13"/>
      <c r="F1193" s="13"/>
      <c r="G1193" s="12"/>
      <c r="H1193" s="14"/>
      <c r="I1193" s="12">
        <f>IFERROR(IF(T_PROD[[#This Row],[PREVISTO]]-T_PROD[[#This Row],[EFETIVO]]&lt; 0,0,T_PROD[[#This Row],[PREVISTO]]-T_PROD[[#This Row],[EFETIVO]] ),"")</f>
        <v>0</v>
      </c>
      <c r="J1193" s="15" t="str">
        <f>IFERROR(IF(T_PROD[[#This Row],[META]]&gt;0,(T_PROD[[#This Row],[META]]/T_PROD[[#This Row],[PREVISTO]]),""),"")</f>
        <v/>
      </c>
      <c r="K1193" s="15" t="str">
        <f>IFERROR(IF(T_PROD[[#This Row],[PRODUÇÃO]]&gt;0,(T_PROD[[#This Row],[PRODUÇÃO]]/T_PROD[[#This Row],[EFETIVO]]),""),"")</f>
        <v/>
      </c>
    </row>
    <row r="1194" spans="1:11" x14ac:dyDescent="0.3">
      <c r="A1194" s="11">
        <v>46220</v>
      </c>
      <c r="B1194" s="12" t="str">
        <f t="shared" si="131"/>
        <v>JULHO</v>
      </c>
      <c r="C1194" s="12" t="s">
        <v>19</v>
      </c>
      <c r="D1194" s="12" t="s">
        <v>12</v>
      </c>
      <c r="E1194" s="13"/>
      <c r="F1194" s="13"/>
      <c r="G1194" s="12"/>
      <c r="H1194" s="14"/>
      <c r="I1194" s="12">
        <f>IFERROR(IF(T_PROD[[#This Row],[PREVISTO]]-T_PROD[[#This Row],[EFETIVO]]&lt; 0,0,T_PROD[[#This Row],[PREVISTO]]-T_PROD[[#This Row],[EFETIVO]] ),"")</f>
        <v>0</v>
      </c>
      <c r="J1194" s="15" t="str">
        <f>IFERROR(IF(T_PROD[[#This Row],[META]]&gt;0,(T_PROD[[#This Row],[META]]/T_PROD[[#This Row],[PREVISTO]]),""),"")</f>
        <v/>
      </c>
      <c r="K1194" s="15" t="str">
        <f>IFERROR(IF(T_PROD[[#This Row],[PRODUÇÃO]]&gt;0,(T_PROD[[#This Row],[PRODUÇÃO]]/T_PROD[[#This Row],[EFETIVO]]),""),"")</f>
        <v/>
      </c>
    </row>
    <row r="1195" spans="1:11" x14ac:dyDescent="0.3">
      <c r="A1195" s="11">
        <v>46220</v>
      </c>
      <c r="B1195" s="12" t="str">
        <f t="shared" si="131"/>
        <v>JULHO</v>
      </c>
      <c r="C1195" s="12" t="s">
        <v>20</v>
      </c>
      <c r="D1195" s="12" t="s">
        <v>12</v>
      </c>
      <c r="E1195" s="13">
        <v>430</v>
      </c>
      <c r="F1195" s="13">
        <v>421</v>
      </c>
      <c r="G1195" s="12">
        <v>90</v>
      </c>
      <c r="H1195" s="14">
        <v>90</v>
      </c>
      <c r="I1195" s="12">
        <f>IFERROR(IF(T_PROD[[#This Row],[PREVISTO]]-T_PROD[[#This Row],[EFETIVO]]&lt; 0,0,T_PROD[[#This Row],[PREVISTO]]-T_PROD[[#This Row],[EFETIVO]] ),"")</f>
        <v>0</v>
      </c>
      <c r="J1195" s="15">
        <f>IFERROR(IF(T_PROD[[#This Row],[META]]&gt;0,(T_PROD[[#This Row],[META]]/T_PROD[[#This Row],[PREVISTO]]),""),"")</f>
        <v>4.7777777777777777</v>
      </c>
      <c r="K1195" s="15">
        <f>IFERROR(IF(T_PROD[[#This Row],[PRODUÇÃO]]&gt;0,(T_PROD[[#This Row],[PRODUÇÃO]]/T_PROD[[#This Row],[EFETIVO]]),""),"")</f>
        <v>4.677777777777778</v>
      </c>
    </row>
    <row r="1196" spans="1:11" x14ac:dyDescent="0.3">
      <c r="A1196" s="11">
        <v>46220</v>
      </c>
      <c r="B1196" s="12" t="str">
        <f t="shared" si="131"/>
        <v>JULHO</v>
      </c>
      <c r="C1196" s="12" t="s">
        <v>11</v>
      </c>
      <c r="D1196" s="12" t="s">
        <v>12</v>
      </c>
      <c r="E1196" s="13">
        <v>540</v>
      </c>
      <c r="F1196" s="13">
        <v>550</v>
      </c>
      <c r="G1196" s="12">
        <v>27</v>
      </c>
      <c r="H1196" s="14">
        <v>27</v>
      </c>
      <c r="I1196" s="12">
        <f>IFERROR(IF(T_PROD[[#This Row],[PREVISTO]]-T_PROD[[#This Row],[EFETIVO]]&lt; 0,0,T_PROD[[#This Row],[PREVISTO]]-T_PROD[[#This Row],[EFETIVO]] ),"")</f>
        <v>0</v>
      </c>
      <c r="J1196" s="15">
        <f>IFERROR(IF(T_PROD[[#This Row],[META]]&gt;0,(T_PROD[[#This Row],[META]]/T_PROD[[#This Row],[PREVISTO]]),""),"")</f>
        <v>20</v>
      </c>
      <c r="K1196" s="15">
        <f>IFERROR(IF(T_PROD[[#This Row],[PRODUÇÃO]]&gt;0,(T_PROD[[#This Row],[PRODUÇÃO]]/T_PROD[[#This Row],[EFETIVO]]),""),"")</f>
        <v>20.37037037037037</v>
      </c>
    </row>
    <row r="1197" spans="1:11" x14ac:dyDescent="0.3">
      <c r="A1197" s="11">
        <v>46220</v>
      </c>
      <c r="B1197" s="12" t="str">
        <f t="shared" si="131"/>
        <v>JULHO</v>
      </c>
      <c r="C1197" s="12" t="s">
        <v>32</v>
      </c>
      <c r="D1197" s="12" t="s">
        <v>12</v>
      </c>
      <c r="E1197" s="13">
        <v>66</v>
      </c>
      <c r="F1197" s="13">
        <v>76</v>
      </c>
      <c r="G1197" s="12">
        <v>6</v>
      </c>
      <c r="H1197" s="14">
        <v>6</v>
      </c>
      <c r="I1197" s="12">
        <f>IFERROR(IF(T_PROD[[#This Row],[PREVISTO]]-T_PROD[[#This Row],[EFETIVO]]&lt; 0,0,T_PROD[[#This Row],[PREVISTO]]-T_PROD[[#This Row],[EFETIVO]] ),"")</f>
        <v>0</v>
      </c>
      <c r="J1197" s="15">
        <f>IFERROR(IF(T_PROD[[#This Row],[META]]&gt;0,(T_PROD[[#This Row],[META]]/T_PROD[[#This Row],[PREVISTO]]),""),"")</f>
        <v>11</v>
      </c>
      <c r="K1197" s="15">
        <f>IFERROR(IF(T_PROD[[#This Row],[PRODUÇÃO]]&gt;0,(T_PROD[[#This Row],[PRODUÇÃO]]/T_PROD[[#This Row],[EFETIVO]]),""),"")</f>
        <v>12.666666666666666</v>
      </c>
    </row>
    <row r="1198" spans="1:11" x14ac:dyDescent="0.3">
      <c r="A1198" s="11">
        <v>46220</v>
      </c>
      <c r="B1198" s="12" t="str">
        <f t="shared" si="131"/>
        <v>JULHO</v>
      </c>
      <c r="C1198" s="12" t="s">
        <v>14</v>
      </c>
      <c r="D1198" s="12" t="s">
        <v>12</v>
      </c>
      <c r="E1198" s="13">
        <v>606</v>
      </c>
      <c r="F1198" s="13">
        <v>626</v>
      </c>
      <c r="G1198" s="12">
        <v>77</v>
      </c>
      <c r="H1198" s="14">
        <v>77</v>
      </c>
      <c r="I1198" s="12">
        <f>IFERROR(IF(T_PROD[[#This Row],[PREVISTO]]-T_PROD[[#This Row],[EFETIVO]]&lt; 0,0,T_PROD[[#This Row],[PREVISTO]]-T_PROD[[#This Row],[EFETIVO]] ),"")</f>
        <v>0</v>
      </c>
      <c r="J1198" s="15">
        <f>IFERROR(IF(T_PROD[[#This Row],[META]]&gt;0,(T_PROD[[#This Row],[META]]/T_PROD[[#This Row],[PREVISTO]]),""),"")</f>
        <v>7.8701298701298699</v>
      </c>
      <c r="K1198" s="15">
        <f>IFERROR(IF(T_PROD[[#This Row],[PRODUÇÃO]]&gt;0,(T_PROD[[#This Row],[PRODUÇÃO]]/T_PROD[[#This Row],[EFETIVO]]),""),"")</f>
        <v>8.1298701298701292</v>
      </c>
    </row>
    <row r="1199" spans="1:11" x14ac:dyDescent="0.3">
      <c r="A1199" s="11">
        <v>46223</v>
      </c>
      <c r="B1199" s="12" t="str">
        <f>UPPER(TEXT(A1199,"MMMM"))</f>
        <v>JULHO</v>
      </c>
      <c r="C1199" s="12" t="s">
        <v>15</v>
      </c>
      <c r="D1199" s="12" t="s">
        <v>12</v>
      </c>
      <c r="E1199" s="13"/>
      <c r="F1199" s="13"/>
      <c r="G1199" s="12"/>
      <c r="H1199" s="14"/>
      <c r="I1199" s="12">
        <f>IFERROR(IF(T_PROD[[#This Row],[PREVISTO]]-T_PROD[[#This Row],[EFETIVO]]&lt; 0,0,T_PROD[[#This Row],[PREVISTO]]-T_PROD[[#This Row],[EFETIVO]] ),"")</f>
        <v>0</v>
      </c>
      <c r="J1199" s="15" t="str">
        <f>IFERROR(IF(T_PROD[[#This Row],[META]]&gt;0,(T_PROD[[#This Row],[META]]/T_PROD[[#This Row],[PREVISTO]]),""),"")</f>
        <v/>
      </c>
      <c r="K1199" s="15" t="str">
        <f>IFERROR(IF(T_PROD[[#This Row],[PRODUÇÃO]]&gt;0,(T_PROD[[#This Row],[PRODUÇÃO]]/T_PROD[[#This Row],[EFETIVO]]),""),"")</f>
        <v/>
      </c>
    </row>
    <row r="1200" spans="1:11" x14ac:dyDescent="0.3">
      <c r="A1200" s="11">
        <v>46223</v>
      </c>
      <c r="B1200" s="12" t="str">
        <f t="shared" ref="B1200:B1207" si="132">UPPER(TEXT(A1200,"MMMM"))</f>
        <v>JULHO</v>
      </c>
      <c r="C1200" s="12" t="s">
        <v>16</v>
      </c>
      <c r="D1200" s="12" t="s">
        <v>12</v>
      </c>
      <c r="E1200" s="13"/>
      <c r="F1200" s="13"/>
      <c r="G1200" s="12"/>
      <c r="H1200" s="14"/>
      <c r="I1200" s="12">
        <f>IFERROR(IF(T_PROD[[#This Row],[PREVISTO]]-T_PROD[[#This Row],[EFETIVO]]&lt; 0,0,T_PROD[[#This Row],[PREVISTO]]-T_PROD[[#This Row],[EFETIVO]] ),"")</f>
        <v>0</v>
      </c>
      <c r="J1200" s="15" t="str">
        <f>IFERROR(IF(T_PROD[[#This Row],[META]]&gt;0,(T_PROD[[#This Row],[META]]/T_PROD[[#This Row],[PREVISTO]]),""),"")</f>
        <v/>
      </c>
      <c r="K1200" s="15" t="str">
        <f>IFERROR(IF(T_PROD[[#This Row],[PRODUÇÃO]]&gt;0,(T_PROD[[#This Row],[PRODUÇÃO]]/T_PROD[[#This Row],[EFETIVO]]),""),"")</f>
        <v/>
      </c>
    </row>
    <row r="1201" spans="1:11" x14ac:dyDescent="0.3">
      <c r="A1201" s="11">
        <v>46223</v>
      </c>
      <c r="B1201" s="12" t="str">
        <f t="shared" si="132"/>
        <v>JULHO</v>
      </c>
      <c r="C1201" s="12" t="s">
        <v>17</v>
      </c>
      <c r="D1201" s="12" t="s">
        <v>12</v>
      </c>
      <c r="E1201" s="13"/>
      <c r="F1201" s="13"/>
      <c r="G1201" s="12"/>
      <c r="H1201" s="14"/>
      <c r="I1201" s="12">
        <f>IFERROR(IF(T_PROD[[#This Row],[PREVISTO]]-T_PROD[[#This Row],[EFETIVO]]&lt; 0,0,T_PROD[[#This Row],[PREVISTO]]-T_PROD[[#This Row],[EFETIVO]] ),"")</f>
        <v>0</v>
      </c>
      <c r="J1201" s="15" t="str">
        <f>IFERROR(IF(T_PROD[[#This Row],[META]]&gt;0,(T_PROD[[#This Row],[META]]/T_PROD[[#This Row],[PREVISTO]]),""),"")</f>
        <v/>
      </c>
      <c r="K1201" s="15" t="str">
        <f>IFERROR(IF(T_PROD[[#This Row],[PRODUÇÃO]]&gt;0,(T_PROD[[#This Row],[PRODUÇÃO]]/T_PROD[[#This Row],[EFETIVO]]),""),"")</f>
        <v/>
      </c>
    </row>
    <row r="1202" spans="1:11" x14ac:dyDescent="0.3">
      <c r="A1202" s="11">
        <v>46223</v>
      </c>
      <c r="B1202" s="12" t="str">
        <f t="shared" si="132"/>
        <v>JULHO</v>
      </c>
      <c r="C1202" s="12" t="s">
        <v>18</v>
      </c>
      <c r="D1202" s="12" t="s">
        <v>12</v>
      </c>
      <c r="E1202" s="13"/>
      <c r="F1202" s="13"/>
      <c r="G1202" s="12"/>
      <c r="H1202" s="14"/>
      <c r="I1202" s="12">
        <f>IFERROR(IF(T_PROD[[#This Row],[PREVISTO]]-T_PROD[[#This Row],[EFETIVO]]&lt; 0,0,T_PROD[[#This Row],[PREVISTO]]-T_PROD[[#This Row],[EFETIVO]] ),"")</f>
        <v>0</v>
      </c>
      <c r="J1202" s="15" t="str">
        <f>IFERROR(IF(T_PROD[[#This Row],[META]]&gt;0,(T_PROD[[#This Row],[META]]/T_PROD[[#This Row],[PREVISTO]]),""),"")</f>
        <v/>
      </c>
      <c r="K1202" s="15" t="str">
        <f>IFERROR(IF(T_PROD[[#This Row],[PRODUÇÃO]]&gt;0,(T_PROD[[#This Row],[PRODUÇÃO]]/T_PROD[[#This Row],[EFETIVO]]),""),"")</f>
        <v/>
      </c>
    </row>
    <row r="1203" spans="1:11" x14ac:dyDescent="0.3">
      <c r="A1203" s="11">
        <v>46223</v>
      </c>
      <c r="B1203" s="12" t="str">
        <f t="shared" si="132"/>
        <v>JULHO</v>
      </c>
      <c r="C1203" s="12" t="s">
        <v>19</v>
      </c>
      <c r="D1203" s="12" t="s">
        <v>12</v>
      </c>
      <c r="E1203" s="13"/>
      <c r="F1203" s="13"/>
      <c r="G1203" s="12"/>
      <c r="H1203" s="14"/>
      <c r="I1203" s="12">
        <f>IFERROR(IF(T_PROD[[#This Row],[PREVISTO]]-T_PROD[[#This Row],[EFETIVO]]&lt; 0,0,T_PROD[[#This Row],[PREVISTO]]-T_PROD[[#This Row],[EFETIVO]] ),"")</f>
        <v>0</v>
      </c>
      <c r="J1203" s="15" t="str">
        <f>IFERROR(IF(T_PROD[[#This Row],[META]]&gt;0,(T_PROD[[#This Row],[META]]/T_PROD[[#This Row],[PREVISTO]]),""),"")</f>
        <v/>
      </c>
      <c r="K1203" s="15" t="str">
        <f>IFERROR(IF(T_PROD[[#This Row],[PRODUÇÃO]]&gt;0,(T_PROD[[#This Row],[PRODUÇÃO]]/T_PROD[[#This Row],[EFETIVO]]),""),"")</f>
        <v/>
      </c>
    </row>
    <row r="1204" spans="1:11" x14ac:dyDescent="0.3">
      <c r="A1204" s="11">
        <v>46223</v>
      </c>
      <c r="B1204" s="12" t="str">
        <f t="shared" si="132"/>
        <v>JULHO</v>
      </c>
      <c r="C1204" s="12" t="s">
        <v>20</v>
      </c>
      <c r="D1204" s="12" t="s">
        <v>12</v>
      </c>
      <c r="E1204" s="13"/>
      <c r="F1204" s="13"/>
      <c r="G1204" s="12"/>
      <c r="H1204" s="14"/>
      <c r="I1204" s="12">
        <f>IFERROR(IF(T_PROD[[#This Row],[PREVISTO]]-T_PROD[[#This Row],[EFETIVO]]&lt; 0,0,T_PROD[[#This Row],[PREVISTO]]-T_PROD[[#This Row],[EFETIVO]] ),"")</f>
        <v>0</v>
      </c>
      <c r="J1204" s="15" t="str">
        <f>IFERROR(IF(T_PROD[[#This Row],[META]]&gt;0,(T_PROD[[#This Row],[META]]/T_PROD[[#This Row],[PREVISTO]]),""),"")</f>
        <v/>
      </c>
      <c r="K1204" s="15" t="str">
        <f>IFERROR(IF(T_PROD[[#This Row],[PRODUÇÃO]]&gt;0,(T_PROD[[#This Row],[PRODUÇÃO]]/T_PROD[[#This Row],[EFETIVO]]),""),"")</f>
        <v/>
      </c>
    </row>
    <row r="1205" spans="1:11" x14ac:dyDescent="0.3">
      <c r="A1205" s="11">
        <v>46223</v>
      </c>
      <c r="B1205" s="12" t="str">
        <f t="shared" si="132"/>
        <v>JULHO</v>
      </c>
      <c r="C1205" s="12" t="s">
        <v>11</v>
      </c>
      <c r="D1205" s="12" t="s">
        <v>12</v>
      </c>
      <c r="E1205" s="13">
        <v>620</v>
      </c>
      <c r="F1205" s="13">
        <v>659</v>
      </c>
      <c r="G1205" s="12">
        <v>31</v>
      </c>
      <c r="H1205" s="14">
        <v>31</v>
      </c>
      <c r="I1205" s="12">
        <f>IFERROR(IF(T_PROD[[#This Row],[PREVISTO]]-T_PROD[[#This Row],[EFETIVO]]&lt; 0,0,T_PROD[[#This Row],[PREVISTO]]-T_PROD[[#This Row],[EFETIVO]] ),"")</f>
        <v>0</v>
      </c>
      <c r="J1205" s="15">
        <f>IFERROR(IF(T_PROD[[#This Row],[META]]&gt;0,(T_PROD[[#This Row],[META]]/T_PROD[[#This Row],[PREVISTO]]),""),"")</f>
        <v>20</v>
      </c>
      <c r="K1205" s="15">
        <f>IFERROR(IF(T_PROD[[#This Row],[PRODUÇÃO]]&gt;0,(T_PROD[[#This Row],[PRODUÇÃO]]/T_PROD[[#This Row],[EFETIVO]]),""),"")</f>
        <v>21.258064516129032</v>
      </c>
    </row>
    <row r="1206" spans="1:11" x14ac:dyDescent="0.3">
      <c r="A1206" s="11">
        <v>46223</v>
      </c>
      <c r="B1206" s="12" t="str">
        <f t="shared" si="132"/>
        <v>JULHO</v>
      </c>
      <c r="C1206" s="12" t="s">
        <v>32</v>
      </c>
      <c r="D1206" s="12" t="s">
        <v>12</v>
      </c>
      <c r="E1206" s="13">
        <v>66</v>
      </c>
      <c r="F1206" s="13">
        <v>71</v>
      </c>
      <c r="G1206" s="12">
        <v>6</v>
      </c>
      <c r="H1206" s="14">
        <v>6</v>
      </c>
      <c r="I1206" s="12">
        <f>IFERROR(IF(T_PROD[[#This Row],[PREVISTO]]-T_PROD[[#This Row],[EFETIVO]]&lt; 0,0,T_PROD[[#This Row],[PREVISTO]]-T_PROD[[#This Row],[EFETIVO]] ),"")</f>
        <v>0</v>
      </c>
      <c r="J1206" s="15">
        <f>IFERROR(IF(T_PROD[[#This Row],[META]]&gt;0,(T_PROD[[#This Row],[META]]/T_PROD[[#This Row],[PREVISTO]]),""),"")</f>
        <v>11</v>
      </c>
      <c r="K1206" s="15">
        <f>IFERROR(IF(T_PROD[[#This Row],[PRODUÇÃO]]&gt;0,(T_PROD[[#This Row],[PRODUÇÃO]]/T_PROD[[#This Row],[EFETIVO]]),""),"")</f>
        <v>11.833333333333334</v>
      </c>
    </row>
    <row r="1207" spans="1:11" x14ac:dyDescent="0.3">
      <c r="A1207" s="11">
        <v>46223</v>
      </c>
      <c r="B1207" s="12" t="str">
        <f t="shared" si="132"/>
        <v>JULHO</v>
      </c>
      <c r="C1207" s="12" t="s">
        <v>14</v>
      </c>
      <c r="D1207" s="12" t="s">
        <v>12</v>
      </c>
      <c r="E1207" s="13">
        <v>686</v>
      </c>
      <c r="F1207" s="13">
        <v>730</v>
      </c>
      <c r="G1207" s="12">
        <v>90</v>
      </c>
      <c r="H1207" s="14">
        <v>90</v>
      </c>
      <c r="I1207" s="12">
        <f>IFERROR(IF(T_PROD[[#This Row],[PREVISTO]]-T_PROD[[#This Row],[EFETIVO]]&lt; 0,0,T_PROD[[#This Row],[PREVISTO]]-T_PROD[[#This Row],[EFETIVO]] ),"")</f>
        <v>0</v>
      </c>
      <c r="J1207" s="15">
        <f>IFERROR(IF(T_PROD[[#This Row],[META]]&gt;0,(T_PROD[[#This Row],[META]]/T_PROD[[#This Row],[PREVISTO]]),""),"")</f>
        <v>7.6222222222222218</v>
      </c>
      <c r="K1207" s="15">
        <f>IFERROR(IF(T_PROD[[#This Row],[PRODUÇÃO]]&gt;0,(T_PROD[[#This Row],[PRODUÇÃO]]/T_PROD[[#This Row],[EFETIVO]]),""),"")</f>
        <v>8.1111111111111107</v>
      </c>
    </row>
    <row r="1208" spans="1:11" x14ac:dyDescent="0.3">
      <c r="A1208" s="11">
        <v>46224</v>
      </c>
      <c r="B1208" s="12" t="str">
        <f>UPPER(TEXT(A1208,"MMMM"))</f>
        <v>JULHO</v>
      </c>
      <c r="C1208" s="12" t="s">
        <v>15</v>
      </c>
      <c r="D1208" s="12" t="s">
        <v>12</v>
      </c>
      <c r="E1208" s="13">
        <v>90</v>
      </c>
      <c r="F1208" s="13">
        <v>55</v>
      </c>
      <c r="G1208" s="12">
        <v>6</v>
      </c>
      <c r="H1208" s="14">
        <v>6</v>
      </c>
      <c r="I1208" s="12">
        <f>IFERROR(IF(T_PROD[[#This Row],[PREVISTO]]-T_PROD[[#This Row],[EFETIVO]]&lt; 0,0,T_PROD[[#This Row],[PREVISTO]]-T_PROD[[#This Row],[EFETIVO]] ),"")</f>
        <v>0</v>
      </c>
      <c r="J1208" s="15">
        <f>IFERROR(IF(T_PROD[[#This Row],[META]]&gt;0,(T_PROD[[#This Row],[META]]/T_PROD[[#This Row],[PREVISTO]]),""),"")</f>
        <v>15</v>
      </c>
      <c r="K1208" s="15">
        <f>IFERROR(IF(T_PROD[[#This Row],[PRODUÇÃO]]&gt;0,(T_PROD[[#This Row],[PRODUÇÃO]]/T_PROD[[#This Row],[EFETIVO]]),""),"")</f>
        <v>9.1666666666666661</v>
      </c>
    </row>
    <row r="1209" spans="1:11" x14ac:dyDescent="0.3">
      <c r="A1209" s="11">
        <v>46224</v>
      </c>
      <c r="B1209" s="12" t="str">
        <f t="shared" ref="B1209:B1216" si="133">UPPER(TEXT(A1209,"MMMM"))</f>
        <v>JULHO</v>
      </c>
      <c r="C1209" s="12" t="s">
        <v>16</v>
      </c>
      <c r="D1209" s="12" t="s">
        <v>12</v>
      </c>
      <c r="E1209" s="13">
        <v>170</v>
      </c>
      <c r="F1209" s="13">
        <v>146</v>
      </c>
      <c r="G1209" s="12">
        <v>5</v>
      </c>
      <c r="H1209" s="14">
        <v>5</v>
      </c>
      <c r="I1209" s="12">
        <f>IFERROR(IF(T_PROD[[#This Row],[PREVISTO]]-T_PROD[[#This Row],[EFETIVO]]&lt; 0,0,T_PROD[[#This Row],[PREVISTO]]-T_PROD[[#This Row],[EFETIVO]] ),"")</f>
        <v>0</v>
      </c>
      <c r="J1209" s="15">
        <f>IFERROR(IF(T_PROD[[#This Row],[META]]&gt;0,(T_PROD[[#This Row],[META]]/T_PROD[[#This Row],[PREVISTO]]),""),"")</f>
        <v>34</v>
      </c>
      <c r="K1209" s="15">
        <f>IFERROR(IF(T_PROD[[#This Row],[PRODUÇÃO]]&gt;0,(T_PROD[[#This Row],[PRODUÇÃO]]/T_PROD[[#This Row],[EFETIVO]]),""),"")</f>
        <v>29.2</v>
      </c>
    </row>
    <row r="1210" spans="1:11" x14ac:dyDescent="0.3">
      <c r="A1210" s="11">
        <v>46224</v>
      </c>
      <c r="B1210" s="12" t="str">
        <f t="shared" si="133"/>
        <v>JULHO</v>
      </c>
      <c r="C1210" s="12" t="s">
        <v>17</v>
      </c>
      <c r="D1210" s="12" t="s">
        <v>12</v>
      </c>
      <c r="E1210" s="13">
        <v>192</v>
      </c>
      <c r="F1210" s="13">
        <v>159</v>
      </c>
      <c r="G1210" s="12">
        <v>12</v>
      </c>
      <c r="H1210" s="14">
        <v>12</v>
      </c>
      <c r="I1210" s="12">
        <f>IFERROR(IF(T_PROD[[#This Row],[PREVISTO]]-T_PROD[[#This Row],[EFETIVO]]&lt; 0,0,T_PROD[[#This Row],[PREVISTO]]-T_PROD[[#This Row],[EFETIVO]] ),"")</f>
        <v>0</v>
      </c>
      <c r="J1210" s="15">
        <f>IFERROR(IF(T_PROD[[#This Row],[META]]&gt;0,(T_PROD[[#This Row],[META]]/T_PROD[[#This Row],[PREVISTO]]),""),"")</f>
        <v>16</v>
      </c>
      <c r="K1210" s="15">
        <f>IFERROR(IF(T_PROD[[#This Row],[PRODUÇÃO]]&gt;0,(T_PROD[[#This Row],[PRODUÇÃO]]/T_PROD[[#This Row],[EFETIVO]]),""),"")</f>
        <v>13.25</v>
      </c>
    </row>
    <row r="1211" spans="1:11" x14ac:dyDescent="0.3">
      <c r="A1211" s="11">
        <v>46224</v>
      </c>
      <c r="B1211" s="12" t="str">
        <f t="shared" si="133"/>
        <v>JULHO</v>
      </c>
      <c r="C1211" s="12" t="s">
        <v>18</v>
      </c>
      <c r="D1211" s="12" t="s">
        <v>12</v>
      </c>
      <c r="E1211" s="13"/>
      <c r="F1211" s="13"/>
      <c r="G1211" s="12"/>
      <c r="H1211" s="14"/>
      <c r="I1211" s="12">
        <f>IFERROR(IF(T_PROD[[#This Row],[PREVISTO]]-T_PROD[[#This Row],[EFETIVO]]&lt; 0,0,T_PROD[[#This Row],[PREVISTO]]-T_PROD[[#This Row],[EFETIVO]] ),"")</f>
        <v>0</v>
      </c>
      <c r="J1211" s="15" t="str">
        <f>IFERROR(IF(T_PROD[[#This Row],[META]]&gt;0,(T_PROD[[#This Row],[META]]/T_PROD[[#This Row],[PREVISTO]]),""),"")</f>
        <v/>
      </c>
      <c r="K1211" s="15" t="str">
        <f>IFERROR(IF(T_PROD[[#This Row],[PRODUÇÃO]]&gt;0,(T_PROD[[#This Row],[PRODUÇÃO]]/T_PROD[[#This Row],[EFETIVO]]),""),"")</f>
        <v/>
      </c>
    </row>
    <row r="1212" spans="1:11" x14ac:dyDescent="0.3">
      <c r="A1212" s="11">
        <v>46224</v>
      </c>
      <c r="B1212" s="12" t="str">
        <f t="shared" si="133"/>
        <v>JULHO</v>
      </c>
      <c r="C1212" s="12" t="s">
        <v>19</v>
      </c>
      <c r="D1212" s="12" t="s">
        <v>12</v>
      </c>
      <c r="E1212" s="13"/>
      <c r="F1212" s="13"/>
      <c r="G1212" s="12"/>
      <c r="H1212" s="14"/>
      <c r="I1212" s="12">
        <f>IFERROR(IF(T_PROD[[#This Row],[PREVISTO]]-T_PROD[[#This Row],[EFETIVO]]&lt; 0,0,T_PROD[[#This Row],[PREVISTO]]-T_PROD[[#This Row],[EFETIVO]] ),"")</f>
        <v>0</v>
      </c>
      <c r="J1212" s="15" t="str">
        <f>IFERROR(IF(T_PROD[[#This Row],[META]]&gt;0,(T_PROD[[#This Row],[META]]/T_PROD[[#This Row],[PREVISTO]]),""),"")</f>
        <v/>
      </c>
      <c r="K1212" s="15" t="str">
        <f>IFERROR(IF(T_PROD[[#This Row],[PRODUÇÃO]]&gt;0,(T_PROD[[#This Row],[PRODUÇÃO]]/T_PROD[[#This Row],[EFETIVO]]),""),"")</f>
        <v/>
      </c>
    </row>
    <row r="1213" spans="1:11" x14ac:dyDescent="0.3">
      <c r="A1213" s="11">
        <v>46224</v>
      </c>
      <c r="B1213" s="12" t="str">
        <f t="shared" si="133"/>
        <v>JULHO</v>
      </c>
      <c r="C1213" s="12" t="s">
        <v>20</v>
      </c>
      <c r="D1213" s="12" t="s">
        <v>12</v>
      </c>
      <c r="E1213" s="13">
        <v>452</v>
      </c>
      <c r="F1213" s="13">
        <v>360</v>
      </c>
      <c r="G1213" s="12">
        <v>90</v>
      </c>
      <c r="H1213" s="14">
        <v>90</v>
      </c>
      <c r="I1213" s="12">
        <f>IFERROR(IF(T_PROD[[#This Row],[PREVISTO]]-T_PROD[[#This Row],[EFETIVO]]&lt; 0,0,T_PROD[[#This Row],[PREVISTO]]-T_PROD[[#This Row],[EFETIVO]] ),"")</f>
        <v>0</v>
      </c>
      <c r="J1213" s="15">
        <f>IFERROR(IF(T_PROD[[#This Row],[META]]&gt;0,(T_PROD[[#This Row],[META]]/T_PROD[[#This Row],[PREVISTO]]),""),"")</f>
        <v>5.0222222222222221</v>
      </c>
      <c r="K1213" s="15">
        <f>IFERROR(IF(T_PROD[[#This Row],[PRODUÇÃO]]&gt;0,(T_PROD[[#This Row],[PRODUÇÃO]]/T_PROD[[#This Row],[EFETIVO]]),""),"")</f>
        <v>4</v>
      </c>
    </row>
    <row r="1214" spans="1:11" x14ac:dyDescent="0.3">
      <c r="A1214" s="11">
        <v>46224</v>
      </c>
      <c r="B1214" s="12" t="str">
        <f t="shared" si="133"/>
        <v>JULHO</v>
      </c>
      <c r="C1214" s="12" t="s">
        <v>11</v>
      </c>
      <c r="D1214" s="12" t="s">
        <v>12</v>
      </c>
      <c r="E1214" s="13">
        <v>600</v>
      </c>
      <c r="F1214" s="13">
        <v>600</v>
      </c>
      <c r="G1214" s="12">
        <v>30</v>
      </c>
      <c r="H1214" s="14">
        <v>30</v>
      </c>
      <c r="I1214" s="12">
        <f>IFERROR(IF(T_PROD[[#This Row],[PREVISTO]]-T_PROD[[#This Row],[EFETIVO]]&lt; 0,0,T_PROD[[#This Row],[PREVISTO]]-T_PROD[[#This Row],[EFETIVO]] ),"")</f>
        <v>0</v>
      </c>
      <c r="J1214" s="15">
        <f>IFERROR(IF(T_PROD[[#This Row],[META]]&gt;0,(T_PROD[[#This Row],[META]]/T_PROD[[#This Row],[PREVISTO]]),""),"")</f>
        <v>20</v>
      </c>
      <c r="K1214" s="15">
        <f>IFERROR(IF(T_PROD[[#This Row],[PRODUÇÃO]]&gt;0,(T_PROD[[#This Row],[PRODUÇÃO]]/T_PROD[[#This Row],[EFETIVO]]),""),"")</f>
        <v>20</v>
      </c>
    </row>
    <row r="1215" spans="1:11" x14ac:dyDescent="0.3">
      <c r="A1215" s="11">
        <v>46224</v>
      </c>
      <c r="B1215" s="12" t="str">
        <f t="shared" si="133"/>
        <v>JULHO</v>
      </c>
      <c r="C1215" s="12" t="s">
        <v>32</v>
      </c>
      <c r="D1215" s="12" t="s">
        <v>12</v>
      </c>
      <c r="E1215" s="13">
        <v>66</v>
      </c>
      <c r="F1215" s="13">
        <v>66</v>
      </c>
      <c r="G1215" s="12">
        <v>6</v>
      </c>
      <c r="H1215" s="14">
        <v>6</v>
      </c>
      <c r="I1215" s="12">
        <f>IFERROR(IF(T_PROD[[#This Row],[PREVISTO]]-T_PROD[[#This Row],[EFETIVO]]&lt; 0,0,T_PROD[[#This Row],[PREVISTO]]-T_PROD[[#This Row],[EFETIVO]] ),"")</f>
        <v>0</v>
      </c>
      <c r="J1215" s="15">
        <f>IFERROR(IF(T_PROD[[#This Row],[META]]&gt;0,(T_PROD[[#This Row],[META]]/T_PROD[[#This Row],[PREVISTO]]),""),"")</f>
        <v>11</v>
      </c>
      <c r="K1215" s="15">
        <f>IFERROR(IF(T_PROD[[#This Row],[PRODUÇÃO]]&gt;0,(T_PROD[[#This Row],[PRODUÇÃO]]/T_PROD[[#This Row],[EFETIVO]]),""),"")</f>
        <v>11</v>
      </c>
    </row>
    <row r="1216" spans="1:11" x14ac:dyDescent="0.3">
      <c r="A1216" s="11">
        <v>46224</v>
      </c>
      <c r="B1216" s="12" t="str">
        <f t="shared" si="133"/>
        <v>JULHO</v>
      </c>
      <c r="C1216" s="12" t="s">
        <v>14</v>
      </c>
      <c r="D1216" s="12" t="s">
        <v>12</v>
      </c>
      <c r="E1216" s="13">
        <v>666</v>
      </c>
      <c r="F1216" s="13">
        <v>666</v>
      </c>
      <c r="G1216" s="12">
        <v>90</v>
      </c>
      <c r="H1216" s="14">
        <v>87</v>
      </c>
      <c r="I1216" s="12">
        <f>IFERROR(IF(T_PROD[[#This Row],[PREVISTO]]-T_PROD[[#This Row],[EFETIVO]]&lt; 0,0,T_PROD[[#This Row],[PREVISTO]]-T_PROD[[#This Row],[EFETIVO]] ),"")</f>
        <v>3</v>
      </c>
      <c r="J1216" s="15">
        <f>IFERROR(IF(T_PROD[[#This Row],[META]]&gt;0,(T_PROD[[#This Row],[META]]/T_PROD[[#This Row],[PREVISTO]]),""),"")</f>
        <v>7.4</v>
      </c>
      <c r="K1216" s="15">
        <f>IFERROR(IF(T_PROD[[#This Row],[PRODUÇÃO]]&gt;0,(T_PROD[[#This Row],[PRODUÇÃO]]/T_PROD[[#This Row],[EFETIVO]]),""),"")</f>
        <v>7.6551724137931032</v>
      </c>
    </row>
    <row r="1217" spans="1:11" x14ac:dyDescent="0.3">
      <c r="A1217" s="11">
        <v>46225</v>
      </c>
      <c r="B1217" s="12" t="str">
        <f>UPPER(TEXT(A1217,"MMMM"))</f>
        <v>JULHO</v>
      </c>
      <c r="C1217" s="12" t="s">
        <v>15</v>
      </c>
      <c r="D1217" s="12" t="s">
        <v>12</v>
      </c>
      <c r="E1217" s="13">
        <v>75</v>
      </c>
      <c r="F1217" s="13">
        <v>50</v>
      </c>
      <c r="G1217" s="12">
        <v>5</v>
      </c>
      <c r="H1217" s="14">
        <v>5</v>
      </c>
      <c r="I1217" s="12">
        <f>IFERROR(IF(T_PROD[[#This Row],[PREVISTO]]-T_PROD[[#This Row],[EFETIVO]]&lt; 0,0,T_PROD[[#This Row],[PREVISTO]]-T_PROD[[#This Row],[EFETIVO]] ),"")</f>
        <v>0</v>
      </c>
      <c r="J1217" s="15">
        <f>IFERROR(IF(T_PROD[[#This Row],[META]]&gt;0,(T_PROD[[#This Row],[META]]/T_PROD[[#This Row],[PREVISTO]]),""),"")</f>
        <v>15</v>
      </c>
      <c r="K1217" s="15">
        <f>IFERROR(IF(T_PROD[[#This Row],[PRODUÇÃO]]&gt;0,(T_PROD[[#This Row],[PRODUÇÃO]]/T_PROD[[#This Row],[EFETIVO]]),""),"")</f>
        <v>10</v>
      </c>
    </row>
    <row r="1218" spans="1:11" x14ac:dyDescent="0.3">
      <c r="A1218" s="11">
        <v>46225</v>
      </c>
      <c r="B1218" s="12" t="str">
        <f t="shared" ref="B1218:B1225" si="134">UPPER(TEXT(A1218,"MMMM"))</f>
        <v>JULHO</v>
      </c>
      <c r="C1218" s="12" t="s">
        <v>16</v>
      </c>
      <c r="D1218" s="12" t="s">
        <v>12</v>
      </c>
      <c r="E1218" s="13">
        <v>170</v>
      </c>
      <c r="F1218" s="13">
        <v>165</v>
      </c>
      <c r="G1218" s="12">
        <v>5</v>
      </c>
      <c r="H1218" s="14">
        <v>5</v>
      </c>
      <c r="I1218" s="12">
        <f>IFERROR(IF(T_PROD[[#This Row],[PREVISTO]]-T_PROD[[#This Row],[EFETIVO]]&lt; 0,0,T_PROD[[#This Row],[PREVISTO]]-T_PROD[[#This Row],[EFETIVO]] ),"")</f>
        <v>0</v>
      </c>
      <c r="J1218" s="15">
        <f>IFERROR(IF(T_PROD[[#This Row],[META]]&gt;0,(T_PROD[[#This Row],[META]]/T_PROD[[#This Row],[PREVISTO]]),""),"")</f>
        <v>34</v>
      </c>
      <c r="K1218" s="15">
        <f>IFERROR(IF(T_PROD[[#This Row],[PRODUÇÃO]]&gt;0,(T_PROD[[#This Row],[PRODUÇÃO]]/T_PROD[[#This Row],[EFETIVO]]),""),"")</f>
        <v>33</v>
      </c>
    </row>
    <row r="1219" spans="1:11" x14ac:dyDescent="0.3">
      <c r="A1219" s="11">
        <v>46225</v>
      </c>
      <c r="B1219" s="12" t="str">
        <f t="shared" si="134"/>
        <v>JULHO</v>
      </c>
      <c r="C1219" s="12" t="s">
        <v>17</v>
      </c>
      <c r="D1219" s="12" t="s">
        <v>12</v>
      </c>
      <c r="E1219" s="13">
        <v>160</v>
      </c>
      <c r="F1219" s="13">
        <v>218</v>
      </c>
      <c r="G1219" s="12">
        <v>10</v>
      </c>
      <c r="H1219" s="14">
        <v>10</v>
      </c>
      <c r="I1219" s="12">
        <f>IFERROR(IF(T_PROD[[#This Row],[PREVISTO]]-T_PROD[[#This Row],[EFETIVO]]&lt; 0,0,T_PROD[[#This Row],[PREVISTO]]-T_PROD[[#This Row],[EFETIVO]] ),"")</f>
        <v>0</v>
      </c>
      <c r="J1219" s="15">
        <f>IFERROR(IF(T_PROD[[#This Row],[META]]&gt;0,(T_PROD[[#This Row],[META]]/T_PROD[[#This Row],[PREVISTO]]),""),"")</f>
        <v>16</v>
      </c>
      <c r="K1219" s="15">
        <f>IFERROR(IF(T_PROD[[#This Row],[PRODUÇÃO]]&gt;0,(T_PROD[[#This Row],[PRODUÇÃO]]/T_PROD[[#This Row],[EFETIVO]]),""),"")</f>
        <v>21.8</v>
      </c>
    </row>
    <row r="1220" spans="1:11" x14ac:dyDescent="0.3">
      <c r="A1220" s="11">
        <v>46225</v>
      </c>
      <c r="B1220" s="12" t="str">
        <f t="shared" si="134"/>
        <v>JULHO</v>
      </c>
      <c r="C1220" s="12" t="s">
        <v>18</v>
      </c>
      <c r="D1220" s="12" t="s">
        <v>12</v>
      </c>
      <c r="E1220" s="13"/>
      <c r="F1220" s="13"/>
      <c r="G1220" s="12"/>
      <c r="H1220" s="14"/>
      <c r="I1220" s="12">
        <f>IFERROR(IF(T_PROD[[#This Row],[PREVISTO]]-T_PROD[[#This Row],[EFETIVO]]&lt; 0,0,T_PROD[[#This Row],[PREVISTO]]-T_PROD[[#This Row],[EFETIVO]] ),"")</f>
        <v>0</v>
      </c>
      <c r="J1220" s="15" t="str">
        <f>IFERROR(IF(T_PROD[[#This Row],[META]]&gt;0,(T_PROD[[#This Row],[META]]/T_PROD[[#This Row],[PREVISTO]]),""),"")</f>
        <v/>
      </c>
      <c r="K1220" s="15" t="str">
        <f>IFERROR(IF(T_PROD[[#This Row],[PRODUÇÃO]]&gt;0,(T_PROD[[#This Row],[PRODUÇÃO]]/T_PROD[[#This Row],[EFETIVO]]),""),"")</f>
        <v/>
      </c>
    </row>
    <row r="1221" spans="1:11" x14ac:dyDescent="0.3">
      <c r="A1221" s="11">
        <v>46225</v>
      </c>
      <c r="B1221" s="12" t="str">
        <f t="shared" si="134"/>
        <v>JULHO</v>
      </c>
      <c r="C1221" s="12" t="s">
        <v>19</v>
      </c>
      <c r="D1221" s="12" t="s">
        <v>12</v>
      </c>
      <c r="E1221" s="13"/>
      <c r="F1221" s="13"/>
      <c r="G1221" s="12"/>
      <c r="H1221" s="14"/>
      <c r="I1221" s="12">
        <f>IFERROR(IF(T_PROD[[#This Row],[PREVISTO]]-T_PROD[[#This Row],[EFETIVO]]&lt; 0,0,T_PROD[[#This Row],[PREVISTO]]-T_PROD[[#This Row],[EFETIVO]] ),"")</f>
        <v>0</v>
      </c>
      <c r="J1221" s="15" t="str">
        <f>IFERROR(IF(T_PROD[[#This Row],[META]]&gt;0,(T_PROD[[#This Row],[META]]/T_PROD[[#This Row],[PREVISTO]]),""),"")</f>
        <v/>
      </c>
      <c r="K1221" s="15" t="str">
        <f>IFERROR(IF(T_PROD[[#This Row],[PRODUÇÃO]]&gt;0,(T_PROD[[#This Row],[PRODUÇÃO]]/T_PROD[[#This Row],[EFETIVO]]),""),"")</f>
        <v/>
      </c>
    </row>
    <row r="1222" spans="1:11" x14ac:dyDescent="0.3">
      <c r="A1222" s="11">
        <v>46225</v>
      </c>
      <c r="B1222" s="12" t="str">
        <f t="shared" si="134"/>
        <v>JULHO</v>
      </c>
      <c r="C1222" s="12" t="s">
        <v>20</v>
      </c>
      <c r="D1222" s="12" t="s">
        <v>12</v>
      </c>
      <c r="E1222" s="13">
        <v>405</v>
      </c>
      <c r="F1222" s="13">
        <v>433</v>
      </c>
      <c r="G1222" s="12">
        <v>90</v>
      </c>
      <c r="H1222" s="14">
        <v>90</v>
      </c>
      <c r="I1222" s="12">
        <f>IFERROR(IF(T_PROD[[#This Row],[PREVISTO]]-T_PROD[[#This Row],[EFETIVO]]&lt; 0,0,T_PROD[[#This Row],[PREVISTO]]-T_PROD[[#This Row],[EFETIVO]] ),"")</f>
        <v>0</v>
      </c>
      <c r="J1222" s="15">
        <f>IFERROR(IF(T_PROD[[#This Row],[META]]&gt;0,(T_PROD[[#This Row],[META]]/T_PROD[[#This Row],[PREVISTO]]),""),"")</f>
        <v>4.5</v>
      </c>
      <c r="K1222" s="15">
        <f>IFERROR(IF(T_PROD[[#This Row],[PRODUÇÃO]]&gt;0,(T_PROD[[#This Row],[PRODUÇÃO]]/T_PROD[[#This Row],[EFETIVO]]),""),"")</f>
        <v>4.8111111111111109</v>
      </c>
    </row>
    <row r="1223" spans="1:11" x14ac:dyDescent="0.3">
      <c r="A1223" s="11">
        <v>46225</v>
      </c>
      <c r="B1223" s="12" t="str">
        <f t="shared" si="134"/>
        <v>JULHO</v>
      </c>
      <c r="C1223" s="12" t="s">
        <v>11</v>
      </c>
      <c r="D1223" s="12" t="s">
        <v>12</v>
      </c>
      <c r="E1223" s="13">
        <v>640</v>
      </c>
      <c r="F1223" s="13">
        <v>700</v>
      </c>
      <c r="G1223" s="12">
        <v>32</v>
      </c>
      <c r="H1223" s="14">
        <v>32</v>
      </c>
      <c r="I1223" s="12">
        <f>IFERROR(IF(T_PROD[[#This Row],[PREVISTO]]-T_PROD[[#This Row],[EFETIVO]]&lt; 0,0,T_PROD[[#This Row],[PREVISTO]]-T_PROD[[#This Row],[EFETIVO]] ),"")</f>
        <v>0</v>
      </c>
      <c r="J1223" s="15">
        <f>IFERROR(IF(T_PROD[[#This Row],[META]]&gt;0,(T_PROD[[#This Row],[META]]/T_PROD[[#This Row],[PREVISTO]]),""),"")</f>
        <v>20</v>
      </c>
      <c r="K1223" s="15">
        <f>IFERROR(IF(T_PROD[[#This Row],[PRODUÇÃO]]&gt;0,(T_PROD[[#This Row],[PRODUÇÃO]]/T_PROD[[#This Row],[EFETIVO]]),""),"")</f>
        <v>21.875</v>
      </c>
    </row>
    <row r="1224" spans="1:11" x14ac:dyDescent="0.3">
      <c r="A1224" s="11">
        <v>46225</v>
      </c>
      <c r="B1224" s="12" t="str">
        <f t="shared" si="134"/>
        <v>JULHO</v>
      </c>
      <c r="C1224" s="12" t="s">
        <v>32</v>
      </c>
      <c r="D1224" s="12" t="s">
        <v>12</v>
      </c>
      <c r="E1224" s="13">
        <v>77</v>
      </c>
      <c r="F1224" s="13">
        <v>91</v>
      </c>
      <c r="G1224" s="12">
        <v>7</v>
      </c>
      <c r="H1224" s="14">
        <v>7</v>
      </c>
      <c r="I1224" s="12">
        <f>IFERROR(IF(T_PROD[[#This Row],[PREVISTO]]-T_PROD[[#This Row],[EFETIVO]]&lt; 0,0,T_PROD[[#This Row],[PREVISTO]]-T_PROD[[#This Row],[EFETIVO]] ),"")</f>
        <v>0</v>
      </c>
      <c r="J1224" s="15">
        <f>IFERROR(IF(T_PROD[[#This Row],[META]]&gt;0,(T_PROD[[#This Row],[META]]/T_PROD[[#This Row],[PREVISTO]]),""),"")</f>
        <v>11</v>
      </c>
      <c r="K1224" s="15">
        <f>IFERROR(IF(T_PROD[[#This Row],[PRODUÇÃO]]&gt;0,(T_PROD[[#This Row],[PRODUÇÃO]]/T_PROD[[#This Row],[EFETIVO]]),""),"")</f>
        <v>13</v>
      </c>
    </row>
    <row r="1225" spans="1:11" x14ac:dyDescent="0.3">
      <c r="A1225" s="11">
        <v>46225</v>
      </c>
      <c r="B1225" s="12" t="str">
        <f t="shared" si="134"/>
        <v>JULHO</v>
      </c>
      <c r="C1225" s="12" t="s">
        <v>14</v>
      </c>
      <c r="D1225" s="12" t="s">
        <v>12</v>
      </c>
      <c r="E1225" s="13">
        <v>717</v>
      </c>
      <c r="F1225" s="13">
        <v>791</v>
      </c>
      <c r="G1225" s="12">
        <v>95</v>
      </c>
      <c r="H1225" s="14">
        <v>92</v>
      </c>
      <c r="I1225" s="12">
        <f>IFERROR(IF(T_PROD[[#This Row],[PREVISTO]]-T_PROD[[#This Row],[EFETIVO]]&lt; 0,0,T_PROD[[#This Row],[PREVISTO]]-T_PROD[[#This Row],[EFETIVO]] ),"")</f>
        <v>3</v>
      </c>
      <c r="J1225" s="15">
        <f>IFERROR(IF(T_PROD[[#This Row],[META]]&gt;0,(T_PROD[[#This Row],[META]]/T_PROD[[#This Row],[PREVISTO]]),""),"")</f>
        <v>7.5473684210526315</v>
      </c>
      <c r="K1225" s="15">
        <f>IFERROR(IF(T_PROD[[#This Row],[PRODUÇÃO]]&gt;0,(T_PROD[[#This Row],[PRODUÇÃO]]/T_PROD[[#This Row],[EFETIVO]]),""),"")</f>
        <v>8.5978260869565215</v>
      </c>
    </row>
    <row r="1226" spans="1:11" x14ac:dyDescent="0.3">
      <c r="A1226" s="11">
        <v>46226</v>
      </c>
      <c r="B1226" s="12" t="str">
        <f>UPPER(TEXT(A1226,"MMMM"))</f>
        <v>JULHO</v>
      </c>
      <c r="C1226" s="12" t="s">
        <v>15</v>
      </c>
      <c r="D1226" s="12" t="s">
        <v>12</v>
      </c>
      <c r="E1226" s="13">
        <v>75</v>
      </c>
      <c r="F1226" s="13">
        <v>63</v>
      </c>
      <c r="G1226" s="12">
        <v>5</v>
      </c>
      <c r="H1226" s="14">
        <v>5</v>
      </c>
      <c r="I1226" s="12">
        <f>IFERROR(IF(T_PROD[[#This Row],[PREVISTO]]-T_PROD[[#This Row],[EFETIVO]]&lt; 0,0,T_PROD[[#This Row],[PREVISTO]]-T_PROD[[#This Row],[EFETIVO]] ),"")</f>
        <v>0</v>
      </c>
      <c r="J1226" s="15">
        <f>IFERROR(IF(T_PROD[[#This Row],[META]]&gt;0,(T_PROD[[#This Row],[META]]/T_PROD[[#This Row],[PREVISTO]]),""),"")</f>
        <v>15</v>
      </c>
      <c r="K1226" s="15">
        <f>IFERROR(IF(T_PROD[[#This Row],[PRODUÇÃO]]&gt;0,(T_PROD[[#This Row],[PRODUÇÃO]]/T_PROD[[#This Row],[EFETIVO]]),""),"")</f>
        <v>12.6</v>
      </c>
    </row>
    <row r="1227" spans="1:11" x14ac:dyDescent="0.3">
      <c r="A1227" s="11">
        <v>46226</v>
      </c>
      <c r="B1227" s="12" t="str">
        <f t="shared" ref="B1227:B1234" si="135">UPPER(TEXT(A1227,"MMMM"))</f>
        <v>JULHO</v>
      </c>
      <c r="C1227" s="12" t="s">
        <v>16</v>
      </c>
      <c r="D1227" s="12" t="s">
        <v>12</v>
      </c>
      <c r="E1227" s="13">
        <v>204</v>
      </c>
      <c r="F1227" s="13">
        <v>231</v>
      </c>
      <c r="G1227" s="12">
        <v>6</v>
      </c>
      <c r="H1227" s="14">
        <v>6</v>
      </c>
      <c r="I1227" s="12">
        <f>IFERROR(IF(T_PROD[[#This Row],[PREVISTO]]-T_PROD[[#This Row],[EFETIVO]]&lt; 0,0,T_PROD[[#This Row],[PREVISTO]]-T_PROD[[#This Row],[EFETIVO]] ),"")</f>
        <v>0</v>
      </c>
      <c r="J1227" s="15">
        <f>IFERROR(IF(T_PROD[[#This Row],[META]]&gt;0,(T_PROD[[#This Row],[META]]/T_PROD[[#This Row],[PREVISTO]]),""),"")</f>
        <v>34</v>
      </c>
      <c r="K1227" s="15">
        <f>IFERROR(IF(T_PROD[[#This Row],[PRODUÇÃO]]&gt;0,(T_PROD[[#This Row],[PRODUÇÃO]]/T_PROD[[#This Row],[EFETIVO]]),""),"")</f>
        <v>38.5</v>
      </c>
    </row>
    <row r="1228" spans="1:11" x14ac:dyDescent="0.3">
      <c r="A1228" s="11">
        <v>46226</v>
      </c>
      <c r="B1228" s="12" t="str">
        <f t="shared" si="135"/>
        <v>JULHO</v>
      </c>
      <c r="C1228" s="12" t="s">
        <v>17</v>
      </c>
      <c r="D1228" s="12" t="s">
        <v>12</v>
      </c>
      <c r="E1228" s="13">
        <v>224</v>
      </c>
      <c r="F1228" s="13">
        <v>284</v>
      </c>
      <c r="G1228" s="12">
        <v>14</v>
      </c>
      <c r="H1228" s="14">
        <v>14</v>
      </c>
      <c r="I1228" s="12">
        <f>IFERROR(IF(T_PROD[[#This Row],[PREVISTO]]-T_PROD[[#This Row],[EFETIVO]]&lt; 0,0,T_PROD[[#This Row],[PREVISTO]]-T_PROD[[#This Row],[EFETIVO]] ),"")</f>
        <v>0</v>
      </c>
      <c r="J1228" s="15">
        <f>IFERROR(IF(T_PROD[[#This Row],[META]]&gt;0,(T_PROD[[#This Row],[META]]/T_PROD[[#This Row],[PREVISTO]]),""),"")</f>
        <v>16</v>
      </c>
      <c r="K1228" s="15">
        <f>IFERROR(IF(T_PROD[[#This Row],[PRODUÇÃO]]&gt;0,(T_PROD[[#This Row],[PRODUÇÃO]]/T_PROD[[#This Row],[EFETIVO]]),""),"")</f>
        <v>20.285714285714285</v>
      </c>
    </row>
    <row r="1229" spans="1:11" x14ac:dyDescent="0.3">
      <c r="A1229" s="11">
        <v>46226</v>
      </c>
      <c r="B1229" s="12" t="str">
        <f t="shared" si="135"/>
        <v>JULHO</v>
      </c>
      <c r="C1229" s="12" t="s">
        <v>18</v>
      </c>
      <c r="D1229" s="12" t="s">
        <v>12</v>
      </c>
      <c r="E1229" s="13"/>
      <c r="F1229" s="13"/>
      <c r="G1229" s="12"/>
      <c r="H1229" s="14"/>
      <c r="I1229" s="12">
        <f>IFERROR(IF(T_PROD[[#This Row],[PREVISTO]]-T_PROD[[#This Row],[EFETIVO]]&lt; 0,0,T_PROD[[#This Row],[PREVISTO]]-T_PROD[[#This Row],[EFETIVO]] ),"")</f>
        <v>0</v>
      </c>
      <c r="J1229" s="15" t="str">
        <f>IFERROR(IF(T_PROD[[#This Row],[META]]&gt;0,(T_PROD[[#This Row],[META]]/T_PROD[[#This Row],[PREVISTO]]),""),"")</f>
        <v/>
      </c>
      <c r="K1229" s="15" t="str">
        <f>IFERROR(IF(T_PROD[[#This Row],[PRODUÇÃO]]&gt;0,(T_PROD[[#This Row],[PRODUÇÃO]]/T_PROD[[#This Row],[EFETIVO]]),""),"")</f>
        <v/>
      </c>
    </row>
    <row r="1230" spans="1:11" x14ac:dyDescent="0.3">
      <c r="A1230" s="11">
        <v>46226</v>
      </c>
      <c r="B1230" s="12" t="str">
        <f t="shared" si="135"/>
        <v>JULHO</v>
      </c>
      <c r="C1230" s="12" t="s">
        <v>19</v>
      </c>
      <c r="D1230" s="12" t="s">
        <v>12</v>
      </c>
      <c r="E1230" s="13"/>
      <c r="F1230" s="13"/>
      <c r="G1230" s="12"/>
      <c r="H1230" s="14"/>
      <c r="I1230" s="12">
        <f>IFERROR(IF(T_PROD[[#This Row],[PREVISTO]]-T_PROD[[#This Row],[EFETIVO]]&lt; 0,0,T_PROD[[#This Row],[PREVISTO]]-T_PROD[[#This Row],[EFETIVO]] ),"")</f>
        <v>0</v>
      </c>
      <c r="J1230" s="15" t="str">
        <f>IFERROR(IF(T_PROD[[#This Row],[META]]&gt;0,(T_PROD[[#This Row],[META]]/T_PROD[[#This Row],[PREVISTO]]),""),"")</f>
        <v/>
      </c>
      <c r="K1230" s="15" t="str">
        <f>IFERROR(IF(T_PROD[[#This Row],[PRODUÇÃO]]&gt;0,(T_PROD[[#This Row],[PRODUÇÃO]]/T_PROD[[#This Row],[EFETIVO]]),""),"")</f>
        <v/>
      </c>
    </row>
    <row r="1231" spans="1:11" x14ac:dyDescent="0.3">
      <c r="A1231" s="11">
        <v>46226</v>
      </c>
      <c r="B1231" s="12" t="str">
        <f t="shared" si="135"/>
        <v>JULHO</v>
      </c>
      <c r="C1231" s="12" t="s">
        <v>20</v>
      </c>
      <c r="D1231" s="12" t="s">
        <v>12</v>
      </c>
      <c r="E1231" s="13">
        <v>503</v>
      </c>
      <c r="F1231" s="13">
        <v>578</v>
      </c>
      <c r="G1231" s="12">
        <v>90</v>
      </c>
      <c r="H1231" s="14">
        <v>90</v>
      </c>
      <c r="I1231" s="12">
        <f>IFERROR(IF(T_PROD[[#This Row],[PREVISTO]]-T_PROD[[#This Row],[EFETIVO]]&lt; 0,0,T_PROD[[#This Row],[PREVISTO]]-T_PROD[[#This Row],[EFETIVO]] ),"")</f>
        <v>0</v>
      </c>
      <c r="J1231" s="15">
        <f>IFERROR(IF(T_PROD[[#This Row],[META]]&gt;0,(T_PROD[[#This Row],[META]]/T_PROD[[#This Row],[PREVISTO]]),""),"")</f>
        <v>5.5888888888888886</v>
      </c>
      <c r="K1231" s="15">
        <f>IFERROR(IF(T_PROD[[#This Row],[PRODUÇÃO]]&gt;0,(T_PROD[[#This Row],[PRODUÇÃO]]/T_PROD[[#This Row],[EFETIVO]]),""),"")</f>
        <v>6.4222222222222225</v>
      </c>
    </row>
    <row r="1232" spans="1:11" x14ac:dyDescent="0.3">
      <c r="A1232" s="11">
        <v>46226</v>
      </c>
      <c r="B1232" s="12" t="str">
        <f t="shared" si="135"/>
        <v>JULHO</v>
      </c>
      <c r="C1232" s="12" t="s">
        <v>11</v>
      </c>
      <c r="D1232" s="12" t="s">
        <v>12</v>
      </c>
      <c r="E1232" s="13">
        <v>700</v>
      </c>
      <c r="F1232" s="13">
        <v>720</v>
      </c>
      <c r="G1232" s="12">
        <v>35</v>
      </c>
      <c r="H1232" s="14">
        <v>35</v>
      </c>
      <c r="I1232" s="12">
        <f>IFERROR(IF(T_PROD[[#This Row],[PREVISTO]]-T_PROD[[#This Row],[EFETIVO]]&lt; 0,0,T_PROD[[#This Row],[PREVISTO]]-T_PROD[[#This Row],[EFETIVO]] ),"")</f>
        <v>0</v>
      </c>
      <c r="J1232" s="15">
        <f>IFERROR(IF(T_PROD[[#This Row],[META]]&gt;0,(T_PROD[[#This Row],[META]]/T_PROD[[#This Row],[PREVISTO]]),""),"")</f>
        <v>20</v>
      </c>
      <c r="K1232" s="15">
        <f>IFERROR(IF(T_PROD[[#This Row],[PRODUÇÃO]]&gt;0,(T_PROD[[#This Row],[PRODUÇÃO]]/T_PROD[[#This Row],[EFETIVO]]),""),"")</f>
        <v>20.571428571428573</v>
      </c>
    </row>
    <row r="1233" spans="1:11" x14ac:dyDescent="0.3">
      <c r="A1233" s="11">
        <v>46226</v>
      </c>
      <c r="B1233" s="12" t="str">
        <f t="shared" si="135"/>
        <v>JULHO</v>
      </c>
      <c r="C1233" s="12" t="s">
        <v>32</v>
      </c>
      <c r="D1233" s="12" t="s">
        <v>12</v>
      </c>
      <c r="E1233" s="13">
        <v>77</v>
      </c>
      <c r="F1233" s="13">
        <v>82</v>
      </c>
      <c r="G1233" s="12">
        <v>7</v>
      </c>
      <c r="H1233" s="14">
        <v>7</v>
      </c>
      <c r="I1233" s="12">
        <f>IFERROR(IF(T_PROD[[#This Row],[PREVISTO]]-T_PROD[[#This Row],[EFETIVO]]&lt; 0,0,T_PROD[[#This Row],[PREVISTO]]-T_PROD[[#This Row],[EFETIVO]] ),"")</f>
        <v>0</v>
      </c>
      <c r="J1233" s="15">
        <f>IFERROR(IF(T_PROD[[#This Row],[META]]&gt;0,(T_PROD[[#This Row],[META]]/T_PROD[[#This Row],[PREVISTO]]),""),"")</f>
        <v>11</v>
      </c>
      <c r="K1233" s="15">
        <f>IFERROR(IF(T_PROD[[#This Row],[PRODUÇÃO]]&gt;0,(T_PROD[[#This Row],[PRODUÇÃO]]/T_PROD[[#This Row],[EFETIVO]]),""),"")</f>
        <v>11.714285714285714</v>
      </c>
    </row>
    <row r="1234" spans="1:11" x14ac:dyDescent="0.3">
      <c r="A1234" s="11">
        <v>46226</v>
      </c>
      <c r="B1234" s="12" t="str">
        <f t="shared" si="135"/>
        <v>JULHO</v>
      </c>
      <c r="C1234" s="12" t="s">
        <v>14</v>
      </c>
      <c r="D1234" s="12" t="s">
        <v>12</v>
      </c>
      <c r="E1234" s="13">
        <v>777</v>
      </c>
      <c r="F1234" s="13">
        <v>802</v>
      </c>
      <c r="G1234" s="12">
        <v>95</v>
      </c>
      <c r="H1234" s="14">
        <v>92</v>
      </c>
      <c r="I1234" s="12">
        <f>IFERROR(IF(T_PROD[[#This Row],[PREVISTO]]-T_PROD[[#This Row],[EFETIVO]]&lt; 0,0,T_PROD[[#This Row],[PREVISTO]]-T_PROD[[#This Row],[EFETIVO]] ),"")</f>
        <v>3</v>
      </c>
      <c r="J1234" s="15">
        <f>IFERROR(IF(T_PROD[[#This Row],[META]]&gt;0,(T_PROD[[#This Row],[META]]/T_PROD[[#This Row],[PREVISTO]]),""),"")</f>
        <v>8.1789473684210527</v>
      </c>
      <c r="K1234" s="15">
        <f>IFERROR(IF(T_PROD[[#This Row],[PRODUÇÃO]]&gt;0,(T_PROD[[#This Row],[PRODUÇÃO]]/T_PROD[[#This Row],[EFETIVO]]),""),"")</f>
        <v>8.7173913043478262</v>
      </c>
    </row>
    <row r="1235" spans="1:11" x14ac:dyDescent="0.3">
      <c r="A1235" s="11">
        <v>46227</v>
      </c>
      <c r="B1235" s="12" t="str">
        <f>UPPER(TEXT(A1235,"MMMM"))</f>
        <v>JULHO</v>
      </c>
      <c r="C1235" s="12" t="s">
        <v>15</v>
      </c>
      <c r="D1235" s="12" t="s">
        <v>12</v>
      </c>
      <c r="E1235" s="13">
        <v>75</v>
      </c>
      <c r="F1235" s="13">
        <v>20</v>
      </c>
      <c r="G1235" s="12">
        <v>5</v>
      </c>
      <c r="H1235" s="14">
        <v>5</v>
      </c>
      <c r="I1235" s="12">
        <f>IFERROR(IF(T_PROD[[#This Row],[PREVISTO]]-T_PROD[[#This Row],[EFETIVO]]&lt; 0,0,T_PROD[[#This Row],[PREVISTO]]-T_PROD[[#This Row],[EFETIVO]] ),"")</f>
        <v>0</v>
      </c>
      <c r="J1235" s="15">
        <f>IFERROR(IF(T_PROD[[#This Row],[META]]&gt;0,(T_PROD[[#This Row],[META]]/T_PROD[[#This Row],[PREVISTO]]),""),"")</f>
        <v>15</v>
      </c>
      <c r="K1235" s="15">
        <f>IFERROR(IF(T_PROD[[#This Row],[PRODUÇÃO]]&gt;0,(T_PROD[[#This Row],[PRODUÇÃO]]/T_PROD[[#This Row],[EFETIVO]]),""),"")</f>
        <v>4</v>
      </c>
    </row>
    <row r="1236" spans="1:11" x14ac:dyDescent="0.3">
      <c r="A1236" s="11">
        <v>46227</v>
      </c>
      <c r="B1236" s="12" t="str">
        <f t="shared" ref="B1236:B1243" si="136">UPPER(TEXT(A1236,"MMMM"))</f>
        <v>JULHO</v>
      </c>
      <c r="C1236" s="12" t="s">
        <v>16</v>
      </c>
      <c r="D1236" s="12" t="s">
        <v>12</v>
      </c>
      <c r="E1236" s="13">
        <v>238</v>
      </c>
      <c r="F1236" s="13">
        <v>223</v>
      </c>
      <c r="G1236" s="12">
        <v>7</v>
      </c>
      <c r="H1236" s="14">
        <v>7</v>
      </c>
      <c r="I1236" s="12">
        <f>IFERROR(IF(T_PROD[[#This Row],[PREVISTO]]-T_PROD[[#This Row],[EFETIVO]]&lt; 0,0,T_PROD[[#This Row],[PREVISTO]]-T_PROD[[#This Row],[EFETIVO]] ),"")</f>
        <v>0</v>
      </c>
      <c r="J1236" s="15">
        <f>IFERROR(IF(T_PROD[[#This Row],[META]]&gt;0,(T_PROD[[#This Row],[META]]/T_PROD[[#This Row],[PREVISTO]]),""),"")</f>
        <v>34</v>
      </c>
      <c r="K1236" s="15">
        <f>IFERROR(IF(T_PROD[[#This Row],[PRODUÇÃO]]&gt;0,(T_PROD[[#This Row],[PRODUÇÃO]]/T_PROD[[#This Row],[EFETIVO]]),""),"")</f>
        <v>31.857142857142858</v>
      </c>
    </row>
    <row r="1237" spans="1:11" x14ac:dyDescent="0.3">
      <c r="A1237" s="11">
        <v>46227</v>
      </c>
      <c r="B1237" s="12" t="str">
        <f t="shared" si="136"/>
        <v>JULHO</v>
      </c>
      <c r="C1237" s="12" t="s">
        <v>17</v>
      </c>
      <c r="D1237" s="12" t="s">
        <v>12</v>
      </c>
      <c r="E1237" s="13">
        <v>208</v>
      </c>
      <c r="F1237" s="13">
        <v>242</v>
      </c>
      <c r="G1237" s="12">
        <v>13</v>
      </c>
      <c r="H1237" s="14">
        <v>13</v>
      </c>
      <c r="I1237" s="12">
        <f>IFERROR(IF(T_PROD[[#This Row],[PREVISTO]]-T_PROD[[#This Row],[EFETIVO]]&lt; 0,0,T_PROD[[#This Row],[PREVISTO]]-T_PROD[[#This Row],[EFETIVO]] ),"")</f>
        <v>0</v>
      </c>
      <c r="J1237" s="15">
        <f>IFERROR(IF(T_PROD[[#This Row],[META]]&gt;0,(T_PROD[[#This Row],[META]]/T_PROD[[#This Row],[PREVISTO]]),""),"")</f>
        <v>16</v>
      </c>
      <c r="K1237" s="15">
        <f>IFERROR(IF(T_PROD[[#This Row],[PRODUÇÃO]]&gt;0,(T_PROD[[#This Row],[PRODUÇÃO]]/T_PROD[[#This Row],[EFETIVO]]),""),"")</f>
        <v>18.615384615384617</v>
      </c>
    </row>
    <row r="1238" spans="1:11" x14ac:dyDescent="0.3">
      <c r="A1238" s="11">
        <v>46227</v>
      </c>
      <c r="B1238" s="12" t="str">
        <f t="shared" si="136"/>
        <v>JULHO</v>
      </c>
      <c r="C1238" s="12" t="s">
        <v>18</v>
      </c>
      <c r="D1238" s="12" t="s">
        <v>12</v>
      </c>
      <c r="E1238" s="13"/>
      <c r="F1238" s="13"/>
      <c r="G1238" s="12"/>
      <c r="H1238" s="14"/>
      <c r="I1238" s="12">
        <f>IFERROR(IF(T_PROD[[#This Row],[PREVISTO]]-T_PROD[[#This Row],[EFETIVO]]&lt; 0,0,T_PROD[[#This Row],[PREVISTO]]-T_PROD[[#This Row],[EFETIVO]] ),"")</f>
        <v>0</v>
      </c>
      <c r="J1238" s="15" t="str">
        <f>IFERROR(IF(T_PROD[[#This Row],[META]]&gt;0,(T_PROD[[#This Row],[META]]/T_PROD[[#This Row],[PREVISTO]]),""),"")</f>
        <v/>
      </c>
      <c r="K1238" s="15" t="str">
        <f>IFERROR(IF(T_PROD[[#This Row],[PRODUÇÃO]]&gt;0,(T_PROD[[#This Row],[PRODUÇÃO]]/T_PROD[[#This Row],[EFETIVO]]),""),"")</f>
        <v/>
      </c>
    </row>
    <row r="1239" spans="1:11" x14ac:dyDescent="0.3">
      <c r="A1239" s="11">
        <v>46227</v>
      </c>
      <c r="B1239" s="12" t="str">
        <f t="shared" si="136"/>
        <v>JULHO</v>
      </c>
      <c r="C1239" s="12" t="s">
        <v>19</v>
      </c>
      <c r="D1239" s="12" t="s">
        <v>12</v>
      </c>
      <c r="E1239" s="13"/>
      <c r="F1239" s="13"/>
      <c r="G1239" s="12"/>
      <c r="H1239" s="14"/>
      <c r="I1239" s="12">
        <f>IFERROR(IF(T_PROD[[#This Row],[PREVISTO]]-T_PROD[[#This Row],[EFETIVO]]&lt; 0,0,T_PROD[[#This Row],[PREVISTO]]-T_PROD[[#This Row],[EFETIVO]] ),"")</f>
        <v>0</v>
      </c>
      <c r="J1239" s="15" t="str">
        <f>IFERROR(IF(T_PROD[[#This Row],[META]]&gt;0,(T_PROD[[#This Row],[META]]/T_PROD[[#This Row],[PREVISTO]]),""),"")</f>
        <v/>
      </c>
      <c r="K1239" s="15" t="str">
        <f>IFERROR(IF(T_PROD[[#This Row],[PRODUÇÃO]]&gt;0,(T_PROD[[#This Row],[PRODUÇÃO]]/T_PROD[[#This Row],[EFETIVO]]),""),"")</f>
        <v/>
      </c>
    </row>
    <row r="1240" spans="1:11" x14ac:dyDescent="0.3">
      <c r="A1240" s="11">
        <v>46227</v>
      </c>
      <c r="B1240" s="12" t="str">
        <f t="shared" si="136"/>
        <v>JULHO</v>
      </c>
      <c r="C1240" s="12" t="s">
        <v>20</v>
      </c>
      <c r="D1240" s="12" t="s">
        <v>12</v>
      </c>
      <c r="E1240" s="13">
        <v>521</v>
      </c>
      <c r="F1240" s="13">
        <v>485</v>
      </c>
      <c r="G1240" s="12">
        <v>90</v>
      </c>
      <c r="H1240" s="14">
        <v>90</v>
      </c>
      <c r="I1240" s="12">
        <f>IFERROR(IF(T_PROD[[#This Row],[PREVISTO]]-T_PROD[[#This Row],[EFETIVO]]&lt; 0,0,T_PROD[[#This Row],[PREVISTO]]-T_PROD[[#This Row],[EFETIVO]] ),"")</f>
        <v>0</v>
      </c>
      <c r="J1240" s="15">
        <f>IFERROR(IF(T_PROD[[#This Row],[META]]&gt;0,(T_PROD[[#This Row],[META]]/T_PROD[[#This Row],[PREVISTO]]),""),"")</f>
        <v>5.7888888888888888</v>
      </c>
      <c r="K1240" s="15">
        <f>IFERROR(IF(T_PROD[[#This Row],[PRODUÇÃO]]&gt;0,(T_PROD[[#This Row],[PRODUÇÃO]]/T_PROD[[#This Row],[EFETIVO]]),""),"")</f>
        <v>5.3888888888888893</v>
      </c>
    </row>
    <row r="1241" spans="1:11" x14ac:dyDescent="0.3">
      <c r="A1241" s="11">
        <v>46227</v>
      </c>
      <c r="B1241" s="12" t="str">
        <f t="shared" si="136"/>
        <v>JULHO</v>
      </c>
      <c r="C1241" s="12" t="s">
        <v>11</v>
      </c>
      <c r="D1241" s="12" t="s">
        <v>12</v>
      </c>
      <c r="E1241" s="13">
        <v>620</v>
      </c>
      <c r="F1241" s="13">
        <v>621</v>
      </c>
      <c r="G1241" s="12">
        <v>31</v>
      </c>
      <c r="H1241" s="14">
        <v>31</v>
      </c>
      <c r="I1241" s="12">
        <f>IFERROR(IF(T_PROD[[#This Row],[PREVISTO]]-T_PROD[[#This Row],[EFETIVO]]&lt; 0,0,T_PROD[[#This Row],[PREVISTO]]-T_PROD[[#This Row],[EFETIVO]] ),"")</f>
        <v>0</v>
      </c>
      <c r="J1241" s="15">
        <f>IFERROR(IF(T_PROD[[#This Row],[META]]&gt;0,(T_PROD[[#This Row],[META]]/T_PROD[[#This Row],[PREVISTO]]),""),"")</f>
        <v>20</v>
      </c>
      <c r="K1241" s="15">
        <f>IFERROR(IF(T_PROD[[#This Row],[PRODUÇÃO]]&gt;0,(T_PROD[[#This Row],[PRODUÇÃO]]/T_PROD[[#This Row],[EFETIVO]]),""),"")</f>
        <v>20.032258064516128</v>
      </c>
    </row>
    <row r="1242" spans="1:11" x14ac:dyDescent="0.3">
      <c r="A1242" s="11">
        <v>46227</v>
      </c>
      <c r="B1242" s="12" t="str">
        <f t="shared" si="136"/>
        <v>JULHO</v>
      </c>
      <c r="C1242" s="12" t="s">
        <v>32</v>
      </c>
      <c r="D1242" s="12" t="s">
        <v>12</v>
      </c>
      <c r="E1242" s="13">
        <v>55</v>
      </c>
      <c r="F1242" s="13">
        <v>60</v>
      </c>
      <c r="G1242" s="12">
        <v>5</v>
      </c>
      <c r="H1242" s="14">
        <v>5</v>
      </c>
      <c r="I1242" s="12">
        <f>IFERROR(IF(T_PROD[[#This Row],[PREVISTO]]-T_PROD[[#This Row],[EFETIVO]]&lt; 0,0,T_PROD[[#This Row],[PREVISTO]]-T_PROD[[#This Row],[EFETIVO]] ),"")</f>
        <v>0</v>
      </c>
      <c r="J1242" s="15">
        <f>IFERROR(IF(T_PROD[[#This Row],[META]]&gt;0,(T_PROD[[#This Row],[META]]/T_PROD[[#This Row],[PREVISTO]]),""),"")</f>
        <v>11</v>
      </c>
      <c r="K1242" s="15">
        <f>IFERROR(IF(T_PROD[[#This Row],[PRODUÇÃO]]&gt;0,(T_PROD[[#This Row],[PRODUÇÃO]]/T_PROD[[#This Row],[EFETIVO]]),""),"")</f>
        <v>12</v>
      </c>
    </row>
    <row r="1243" spans="1:11" x14ac:dyDescent="0.3">
      <c r="A1243" s="11">
        <v>46227</v>
      </c>
      <c r="B1243" s="12" t="str">
        <f t="shared" si="136"/>
        <v>JULHO</v>
      </c>
      <c r="C1243" s="12" t="s">
        <v>14</v>
      </c>
      <c r="D1243" s="12" t="s">
        <v>12</v>
      </c>
      <c r="E1243" s="13">
        <v>675</v>
      </c>
      <c r="F1243" s="13">
        <v>681</v>
      </c>
      <c r="G1243" s="12">
        <v>80</v>
      </c>
      <c r="H1243" s="14">
        <v>80</v>
      </c>
      <c r="I1243" s="12">
        <f>IFERROR(IF(T_PROD[[#This Row],[PREVISTO]]-T_PROD[[#This Row],[EFETIVO]]&lt; 0,0,T_PROD[[#This Row],[PREVISTO]]-T_PROD[[#This Row],[EFETIVO]] ),"")</f>
        <v>0</v>
      </c>
      <c r="J1243" s="15">
        <f>IFERROR(IF(T_PROD[[#This Row],[META]]&gt;0,(T_PROD[[#This Row],[META]]/T_PROD[[#This Row],[PREVISTO]]),""),"")</f>
        <v>8.4375</v>
      </c>
      <c r="K1243" s="15">
        <f>IFERROR(IF(T_PROD[[#This Row],[PRODUÇÃO]]&gt;0,(T_PROD[[#This Row],[PRODUÇÃO]]/T_PROD[[#This Row],[EFETIVO]]),""),"")</f>
        <v>8.5124999999999993</v>
      </c>
    </row>
    <row r="1244" spans="1:11" x14ac:dyDescent="0.3">
      <c r="A1244" s="11">
        <v>46230</v>
      </c>
      <c r="B1244" s="12" t="str">
        <f>UPPER(TEXT(A1244,"MMMM"))</f>
        <v>JULHO</v>
      </c>
      <c r="C1244" s="12" t="s">
        <v>15</v>
      </c>
      <c r="D1244" s="12" t="s">
        <v>12</v>
      </c>
      <c r="E1244" s="13">
        <v>82.5</v>
      </c>
      <c r="F1244" s="13">
        <v>26</v>
      </c>
      <c r="G1244" s="12">
        <v>5.5</v>
      </c>
      <c r="H1244" s="14">
        <v>5.5</v>
      </c>
      <c r="I1244" s="12">
        <f>IFERROR(IF(T_PROD[[#This Row],[PREVISTO]]-T_PROD[[#This Row],[EFETIVO]]&lt; 0,0,T_PROD[[#This Row],[PREVISTO]]-T_PROD[[#This Row],[EFETIVO]] ),"")</f>
        <v>0</v>
      </c>
      <c r="J1244" s="15">
        <f>IFERROR(IF(T_PROD[[#This Row],[META]]&gt;0,(T_PROD[[#This Row],[META]]/T_PROD[[#This Row],[PREVISTO]]),""),"")</f>
        <v>15</v>
      </c>
      <c r="K1244" s="15">
        <f>IFERROR(IF(T_PROD[[#This Row],[PRODUÇÃO]]&gt;0,(T_PROD[[#This Row],[PRODUÇÃO]]/T_PROD[[#This Row],[EFETIVO]]),""),"")</f>
        <v>4.7272727272727275</v>
      </c>
    </row>
    <row r="1245" spans="1:11" x14ac:dyDescent="0.3">
      <c r="A1245" s="11">
        <v>46230</v>
      </c>
      <c r="B1245" s="12" t="str">
        <f t="shared" ref="B1245:B1252" si="137">UPPER(TEXT(A1245,"MMMM"))</f>
        <v>JULHO</v>
      </c>
      <c r="C1245" s="12" t="s">
        <v>16</v>
      </c>
      <c r="D1245" s="12" t="s">
        <v>12</v>
      </c>
      <c r="E1245" s="13">
        <v>187</v>
      </c>
      <c r="F1245" s="13">
        <v>248</v>
      </c>
      <c r="G1245" s="12">
        <v>5.5</v>
      </c>
      <c r="H1245" s="14">
        <v>5.5</v>
      </c>
      <c r="I1245" s="12">
        <f>IFERROR(IF(T_PROD[[#This Row],[PREVISTO]]-T_PROD[[#This Row],[EFETIVO]]&lt; 0,0,T_PROD[[#This Row],[PREVISTO]]-T_PROD[[#This Row],[EFETIVO]] ),"")</f>
        <v>0</v>
      </c>
      <c r="J1245" s="15">
        <f>IFERROR(IF(T_PROD[[#This Row],[META]]&gt;0,(T_PROD[[#This Row],[META]]/T_PROD[[#This Row],[PREVISTO]]),""),"")</f>
        <v>34</v>
      </c>
      <c r="K1245" s="15">
        <f>IFERROR(IF(T_PROD[[#This Row],[PRODUÇÃO]]&gt;0,(T_PROD[[#This Row],[PRODUÇÃO]]/T_PROD[[#This Row],[EFETIVO]]),""),"")</f>
        <v>45.090909090909093</v>
      </c>
    </row>
    <row r="1246" spans="1:11" x14ac:dyDescent="0.3">
      <c r="A1246" s="11">
        <v>46230</v>
      </c>
      <c r="B1246" s="12" t="str">
        <f t="shared" si="137"/>
        <v>JULHO</v>
      </c>
      <c r="C1246" s="12" t="s">
        <v>17</v>
      </c>
      <c r="D1246" s="12" t="s">
        <v>12</v>
      </c>
      <c r="E1246" s="13">
        <v>208</v>
      </c>
      <c r="F1246" s="13">
        <v>286</v>
      </c>
      <c r="G1246" s="12">
        <v>13</v>
      </c>
      <c r="H1246" s="14">
        <v>13</v>
      </c>
      <c r="I1246" s="12">
        <f>IFERROR(IF(T_PROD[[#This Row],[PREVISTO]]-T_PROD[[#This Row],[EFETIVO]]&lt; 0,0,T_PROD[[#This Row],[PREVISTO]]-T_PROD[[#This Row],[EFETIVO]] ),"")</f>
        <v>0</v>
      </c>
      <c r="J1246" s="15">
        <f>IFERROR(IF(T_PROD[[#This Row],[META]]&gt;0,(T_PROD[[#This Row],[META]]/T_PROD[[#This Row],[PREVISTO]]),""),"")</f>
        <v>16</v>
      </c>
      <c r="K1246" s="15">
        <f>IFERROR(IF(T_PROD[[#This Row],[PRODUÇÃO]]&gt;0,(T_PROD[[#This Row],[PRODUÇÃO]]/T_PROD[[#This Row],[EFETIVO]]),""),"")</f>
        <v>22</v>
      </c>
    </row>
    <row r="1247" spans="1:11" x14ac:dyDescent="0.3">
      <c r="A1247" s="11">
        <v>46230</v>
      </c>
      <c r="B1247" s="12" t="str">
        <f t="shared" si="137"/>
        <v>JULHO</v>
      </c>
      <c r="C1247" s="12" t="s">
        <v>18</v>
      </c>
      <c r="D1247" s="12" t="s">
        <v>12</v>
      </c>
      <c r="E1247" s="13"/>
      <c r="F1247" s="13"/>
      <c r="G1247" s="12"/>
      <c r="H1247" s="14"/>
      <c r="I1247" s="12">
        <f>IFERROR(IF(T_PROD[[#This Row],[PREVISTO]]-T_PROD[[#This Row],[EFETIVO]]&lt; 0,0,T_PROD[[#This Row],[PREVISTO]]-T_PROD[[#This Row],[EFETIVO]] ),"")</f>
        <v>0</v>
      </c>
      <c r="J1247" s="15" t="str">
        <f>IFERROR(IF(T_PROD[[#This Row],[META]]&gt;0,(T_PROD[[#This Row],[META]]/T_PROD[[#This Row],[PREVISTO]]),""),"")</f>
        <v/>
      </c>
      <c r="K1247" s="15" t="str">
        <f>IFERROR(IF(T_PROD[[#This Row],[PRODUÇÃO]]&gt;0,(T_PROD[[#This Row],[PRODUÇÃO]]/T_PROD[[#This Row],[EFETIVO]]),""),"")</f>
        <v/>
      </c>
    </row>
    <row r="1248" spans="1:11" x14ac:dyDescent="0.3">
      <c r="A1248" s="11">
        <v>46230</v>
      </c>
      <c r="B1248" s="12" t="str">
        <f t="shared" si="137"/>
        <v>JULHO</v>
      </c>
      <c r="C1248" s="12" t="s">
        <v>19</v>
      </c>
      <c r="D1248" s="12" t="s">
        <v>12</v>
      </c>
      <c r="E1248" s="13"/>
      <c r="F1248" s="13"/>
      <c r="G1248" s="12"/>
      <c r="H1248" s="14"/>
      <c r="I1248" s="12">
        <f>IFERROR(IF(T_PROD[[#This Row],[PREVISTO]]-T_PROD[[#This Row],[EFETIVO]]&lt; 0,0,T_PROD[[#This Row],[PREVISTO]]-T_PROD[[#This Row],[EFETIVO]] ),"")</f>
        <v>0</v>
      </c>
      <c r="J1248" s="15" t="str">
        <f>IFERROR(IF(T_PROD[[#This Row],[META]]&gt;0,(T_PROD[[#This Row],[META]]/T_PROD[[#This Row],[PREVISTO]]),""),"")</f>
        <v/>
      </c>
      <c r="K1248" s="15" t="str">
        <f>IFERROR(IF(T_PROD[[#This Row],[PRODUÇÃO]]&gt;0,(T_PROD[[#This Row],[PRODUÇÃO]]/T_PROD[[#This Row],[EFETIVO]]),""),"")</f>
        <v/>
      </c>
    </row>
    <row r="1249" spans="1:11" x14ac:dyDescent="0.3">
      <c r="A1249" s="11">
        <v>46230</v>
      </c>
      <c r="B1249" s="12" t="str">
        <f t="shared" si="137"/>
        <v>JULHO</v>
      </c>
      <c r="C1249" s="12" t="s">
        <v>20</v>
      </c>
      <c r="D1249" s="12" t="s">
        <v>12</v>
      </c>
      <c r="E1249" s="13">
        <v>478</v>
      </c>
      <c r="F1249" s="13">
        <v>560</v>
      </c>
      <c r="G1249" s="12">
        <v>90</v>
      </c>
      <c r="H1249" s="14">
        <v>90</v>
      </c>
      <c r="I1249" s="12">
        <f>IFERROR(IF(T_PROD[[#This Row],[PREVISTO]]-T_PROD[[#This Row],[EFETIVO]]&lt; 0,0,T_PROD[[#This Row],[PREVISTO]]-T_PROD[[#This Row],[EFETIVO]] ),"")</f>
        <v>0</v>
      </c>
      <c r="J1249" s="15">
        <f>IFERROR(IF(T_PROD[[#This Row],[META]]&gt;0,(T_PROD[[#This Row],[META]]/T_PROD[[#This Row],[PREVISTO]]),""),"")</f>
        <v>5.3111111111111109</v>
      </c>
      <c r="K1249" s="15">
        <f>IFERROR(IF(T_PROD[[#This Row],[PRODUÇÃO]]&gt;0,(T_PROD[[#This Row],[PRODUÇÃO]]/T_PROD[[#This Row],[EFETIVO]]),""),"")</f>
        <v>6.2222222222222223</v>
      </c>
    </row>
    <row r="1250" spans="1:11" x14ac:dyDescent="0.3">
      <c r="A1250" s="11">
        <v>46230</v>
      </c>
      <c r="B1250" s="12" t="str">
        <f t="shared" si="137"/>
        <v>JULHO</v>
      </c>
      <c r="C1250" s="12" t="s">
        <v>11</v>
      </c>
      <c r="D1250" s="12" t="s">
        <v>12</v>
      </c>
      <c r="E1250" s="13">
        <v>760</v>
      </c>
      <c r="F1250" s="13">
        <v>800</v>
      </c>
      <c r="G1250" s="12">
        <v>38</v>
      </c>
      <c r="H1250" s="14">
        <v>38</v>
      </c>
      <c r="I1250" s="12">
        <f>IFERROR(IF(T_PROD[[#This Row],[PREVISTO]]-T_PROD[[#This Row],[EFETIVO]]&lt; 0,0,T_PROD[[#This Row],[PREVISTO]]-T_PROD[[#This Row],[EFETIVO]] ),"")</f>
        <v>0</v>
      </c>
      <c r="J1250" s="15">
        <f>IFERROR(IF(T_PROD[[#This Row],[META]]&gt;0,(T_PROD[[#This Row],[META]]/T_PROD[[#This Row],[PREVISTO]]),""),"")</f>
        <v>20</v>
      </c>
      <c r="K1250" s="15">
        <f>IFERROR(IF(T_PROD[[#This Row],[PRODUÇÃO]]&gt;0,(T_PROD[[#This Row],[PRODUÇÃO]]/T_PROD[[#This Row],[EFETIVO]]),""),"")</f>
        <v>21.05263157894737</v>
      </c>
    </row>
    <row r="1251" spans="1:11" x14ac:dyDescent="0.3">
      <c r="A1251" s="11">
        <v>46230</v>
      </c>
      <c r="B1251" s="12" t="str">
        <f t="shared" si="137"/>
        <v>JULHO</v>
      </c>
      <c r="C1251" s="12" t="s">
        <v>32</v>
      </c>
      <c r="D1251" s="12" t="s">
        <v>12</v>
      </c>
      <c r="E1251" s="13">
        <v>66</v>
      </c>
      <c r="F1251" s="13">
        <v>73</v>
      </c>
      <c r="G1251" s="12">
        <v>6</v>
      </c>
      <c r="H1251" s="14">
        <v>6</v>
      </c>
      <c r="I1251" s="12">
        <f>IFERROR(IF(T_PROD[[#This Row],[PREVISTO]]-T_PROD[[#This Row],[EFETIVO]]&lt; 0,0,T_PROD[[#This Row],[PREVISTO]]-T_PROD[[#This Row],[EFETIVO]] ),"")</f>
        <v>0</v>
      </c>
      <c r="J1251" s="15">
        <f>IFERROR(IF(T_PROD[[#This Row],[META]]&gt;0,(T_PROD[[#This Row],[META]]/T_PROD[[#This Row],[PREVISTO]]),""),"")</f>
        <v>11</v>
      </c>
      <c r="K1251" s="15">
        <f>IFERROR(IF(T_PROD[[#This Row],[PRODUÇÃO]]&gt;0,(T_PROD[[#This Row],[PRODUÇÃO]]/T_PROD[[#This Row],[EFETIVO]]),""),"")</f>
        <v>12.166666666666666</v>
      </c>
    </row>
    <row r="1252" spans="1:11" x14ac:dyDescent="0.3">
      <c r="A1252" s="11">
        <v>46230</v>
      </c>
      <c r="B1252" s="12" t="str">
        <f t="shared" si="137"/>
        <v>JULHO</v>
      </c>
      <c r="C1252" s="12" t="s">
        <v>14</v>
      </c>
      <c r="D1252" s="12" t="s">
        <v>12</v>
      </c>
      <c r="E1252" s="13">
        <v>826</v>
      </c>
      <c r="F1252" s="13">
        <v>873</v>
      </c>
      <c r="G1252" s="12">
        <v>97</v>
      </c>
      <c r="H1252" s="14">
        <v>96</v>
      </c>
      <c r="I1252" s="12">
        <f>IFERROR(IF(T_PROD[[#This Row],[PREVISTO]]-T_PROD[[#This Row],[EFETIVO]]&lt; 0,0,T_PROD[[#This Row],[PREVISTO]]-T_PROD[[#This Row],[EFETIVO]] ),"")</f>
        <v>1</v>
      </c>
      <c r="J1252" s="15">
        <f>IFERROR(IF(T_PROD[[#This Row],[META]]&gt;0,(T_PROD[[#This Row],[META]]/T_PROD[[#This Row],[PREVISTO]]),""),"")</f>
        <v>8.5154639175257731</v>
      </c>
      <c r="K1252" s="15">
        <f>IFERROR(IF(T_PROD[[#This Row],[PRODUÇÃO]]&gt;0,(T_PROD[[#This Row],[PRODUÇÃO]]/T_PROD[[#This Row],[EFETIVO]]),""),"")</f>
        <v>9.09375</v>
      </c>
    </row>
    <row r="1253" spans="1:11" x14ac:dyDescent="0.3">
      <c r="A1253" s="11">
        <v>46231</v>
      </c>
      <c r="B1253" s="12" t="str">
        <f>UPPER(TEXT(A1253,"MMMM"))</f>
        <v>JULHO</v>
      </c>
      <c r="C1253" s="12" t="s">
        <v>15</v>
      </c>
      <c r="D1253" s="12" t="s">
        <v>12</v>
      </c>
      <c r="E1253" s="13">
        <v>90</v>
      </c>
      <c r="F1253" s="13">
        <v>65</v>
      </c>
      <c r="G1253" s="12">
        <v>6</v>
      </c>
      <c r="H1253" s="14">
        <v>6</v>
      </c>
      <c r="I1253" s="12">
        <f>IFERROR(IF(T_PROD[[#This Row],[PREVISTO]]-T_PROD[[#This Row],[EFETIVO]]&lt; 0,0,T_PROD[[#This Row],[PREVISTO]]-T_PROD[[#This Row],[EFETIVO]] ),"")</f>
        <v>0</v>
      </c>
      <c r="J1253" s="15">
        <f>IFERROR(IF(T_PROD[[#This Row],[META]]&gt;0,(T_PROD[[#This Row],[META]]/T_PROD[[#This Row],[PREVISTO]]),""),"")</f>
        <v>15</v>
      </c>
      <c r="K1253" s="15">
        <f>IFERROR(IF(T_PROD[[#This Row],[PRODUÇÃO]]&gt;0,(T_PROD[[#This Row],[PRODUÇÃO]]/T_PROD[[#This Row],[EFETIVO]]),""),"")</f>
        <v>10.833333333333334</v>
      </c>
    </row>
    <row r="1254" spans="1:11" x14ac:dyDescent="0.3">
      <c r="A1254" s="11">
        <v>46231</v>
      </c>
      <c r="B1254" s="12" t="str">
        <f t="shared" ref="B1254:B1261" si="138">UPPER(TEXT(A1254,"MMMM"))</f>
        <v>JULHO</v>
      </c>
      <c r="C1254" s="12" t="s">
        <v>16</v>
      </c>
      <c r="D1254" s="12" t="s">
        <v>12</v>
      </c>
      <c r="E1254" s="13">
        <v>204</v>
      </c>
      <c r="F1254" s="13">
        <v>249</v>
      </c>
      <c r="G1254" s="12">
        <v>6</v>
      </c>
      <c r="H1254" s="14">
        <v>6</v>
      </c>
      <c r="I1254" s="12">
        <f>IFERROR(IF(T_PROD[[#This Row],[PREVISTO]]-T_PROD[[#This Row],[EFETIVO]]&lt; 0,0,T_PROD[[#This Row],[PREVISTO]]-T_PROD[[#This Row],[EFETIVO]] ),"")</f>
        <v>0</v>
      </c>
      <c r="J1254" s="15">
        <f>IFERROR(IF(T_PROD[[#This Row],[META]]&gt;0,(T_PROD[[#This Row],[META]]/T_PROD[[#This Row],[PREVISTO]]),""),"")</f>
        <v>34</v>
      </c>
      <c r="K1254" s="15">
        <f>IFERROR(IF(T_PROD[[#This Row],[PRODUÇÃO]]&gt;0,(T_PROD[[#This Row],[PRODUÇÃO]]/T_PROD[[#This Row],[EFETIVO]]),""),"")</f>
        <v>41.5</v>
      </c>
    </row>
    <row r="1255" spans="1:11" x14ac:dyDescent="0.3">
      <c r="A1255" s="11">
        <v>46231</v>
      </c>
      <c r="B1255" s="12" t="str">
        <f t="shared" si="138"/>
        <v>JULHO</v>
      </c>
      <c r="C1255" s="12" t="s">
        <v>17</v>
      </c>
      <c r="D1255" s="12" t="s">
        <v>12</v>
      </c>
      <c r="E1255" s="13">
        <v>208</v>
      </c>
      <c r="F1255" s="13">
        <v>178</v>
      </c>
      <c r="G1255" s="12">
        <v>13</v>
      </c>
      <c r="H1255" s="14">
        <v>13</v>
      </c>
      <c r="I1255" s="12">
        <f>IFERROR(IF(T_PROD[[#This Row],[PREVISTO]]-T_PROD[[#This Row],[EFETIVO]]&lt; 0,0,T_PROD[[#This Row],[PREVISTO]]-T_PROD[[#This Row],[EFETIVO]] ),"")</f>
        <v>0</v>
      </c>
      <c r="J1255" s="15">
        <f>IFERROR(IF(T_PROD[[#This Row],[META]]&gt;0,(T_PROD[[#This Row],[META]]/T_PROD[[#This Row],[PREVISTO]]),""),"")</f>
        <v>16</v>
      </c>
      <c r="K1255" s="15">
        <f>IFERROR(IF(T_PROD[[#This Row],[PRODUÇÃO]]&gt;0,(T_PROD[[#This Row],[PRODUÇÃO]]/T_PROD[[#This Row],[EFETIVO]]),""),"")</f>
        <v>13.692307692307692</v>
      </c>
    </row>
    <row r="1256" spans="1:11" x14ac:dyDescent="0.3">
      <c r="A1256" s="11">
        <v>46231</v>
      </c>
      <c r="B1256" s="12" t="str">
        <f t="shared" si="138"/>
        <v>JULHO</v>
      </c>
      <c r="C1256" s="12" t="s">
        <v>18</v>
      </c>
      <c r="D1256" s="12" t="s">
        <v>12</v>
      </c>
      <c r="E1256" s="13"/>
      <c r="F1256" s="13"/>
      <c r="G1256" s="12"/>
      <c r="H1256" s="14"/>
      <c r="I1256" s="12">
        <f>IFERROR(IF(T_PROD[[#This Row],[PREVISTO]]-T_PROD[[#This Row],[EFETIVO]]&lt; 0,0,T_PROD[[#This Row],[PREVISTO]]-T_PROD[[#This Row],[EFETIVO]] ),"")</f>
        <v>0</v>
      </c>
      <c r="J1256" s="15" t="str">
        <f>IFERROR(IF(T_PROD[[#This Row],[META]]&gt;0,(T_PROD[[#This Row],[META]]/T_PROD[[#This Row],[PREVISTO]]),""),"")</f>
        <v/>
      </c>
      <c r="K1256" s="15" t="str">
        <f>IFERROR(IF(T_PROD[[#This Row],[PRODUÇÃO]]&gt;0,(T_PROD[[#This Row],[PRODUÇÃO]]/T_PROD[[#This Row],[EFETIVO]]),""),"")</f>
        <v/>
      </c>
    </row>
    <row r="1257" spans="1:11" x14ac:dyDescent="0.3">
      <c r="A1257" s="11">
        <v>46231</v>
      </c>
      <c r="B1257" s="12" t="str">
        <f t="shared" si="138"/>
        <v>JULHO</v>
      </c>
      <c r="C1257" s="12" t="s">
        <v>19</v>
      </c>
      <c r="D1257" s="12" t="s">
        <v>12</v>
      </c>
      <c r="E1257" s="13"/>
      <c r="F1257" s="13"/>
      <c r="G1257" s="12"/>
      <c r="H1257" s="14"/>
      <c r="I1257" s="12">
        <f>IFERROR(IF(T_PROD[[#This Row],[PREVISTO]]-T_PROD[[#This Row],[EFETIVO]]&lt; 0,0,T_PROD[[#This Row],[PREVISTO]]-T_PROD[[#This Row],[EFETIVO]] ),"")</f>
        <v>0</v>
      </c>
      <c r="J1257" s="15" t="str">
        <f>IFERROR(IF(T_PROD[[#This Row],[META]]&gt;0,(T_PROD[[#This Row],[META]]/T_PROD[[#This Row],[PREVISTO]]),""),"")</f>
        <v/>
      </c>
      <c r="K1257" s="15" t="str">
        <f>IFERROR(IF(T_PROD[[#This Row],[PRODUÇÃO]]&gt;0,(T_PROD[[#This Row],[PRODUÇÃO]]/T_PROD[[#This Row],[EFETIVO]]),""),"")</f>
        <v/>
      </c>
    </row>
    <row r="1258" spans="1:11" x14ac:dyDescent="0.3">
      <c r="A1258" s="11">
        <v>46231</v>
      </c>
      <c r="B1258" s="12" t="str">
        <f t="shared" si="138"/>
        <v>JULHO</v>
      </c>
      <c r="C1258" s="12" t="s">
        <v>20</v>
      </c>
      <c r="D1258" s="12" t="s">
        <v>12</v>
      </c>
      <c r="E1258" s="13">
        <v>502</v>
      </c>
      <c r="F1258" s="13">
        <v>492</v>
      </c>
      <c r="G1258" s="12">
        <v>90</v>
      </c>
      <c r="H1258" s="14">
        <v>90</v>
      </c>
      <c r="I1258" s="12">
        <f>IFERROR(IF(T_PROD[[#This Row],[PREVISTO]]-T_PROD[[#This Row],[EFETIVO]]&lt; 0,0,T_PROD[[#This Row],[PREVISTO]]-T_PROD[[#This Row],[EFETIVO]] ),"")</f>
        <v>0</v>
      </c>
      <c r="J1258" s="15">
        <f>IFERROR(IF(T_PROD[[#This Row],[META]]&gt;0,(T_PROD[[#This Row],[META]]/T_PROD[[#This Row],[PREVISTO]]),""),"")</f>
        <v>5.5777777777777775</v>
      </c>
      <c r="K1258" s="15">
        <f>IFERROR(IF(T_PROD[[#This Row],[PRODUÇÃO]]&gt;0,(T_PROD[[#This Row],[PRODUÇÃO]]/T_PROD[[#This Row],[EFETIVO]]),""),"")</f>
        <v>5.4666666666666668</v>
      </c>
    </row>
    <row r="1259" spans="1:11" x14ac:dyDescent="0.3">
      <c r="A1259" s="11">
        <v>46231</v>
      </c>
      <c r="B1259" s="12" t="str">
        <f t="shared" si="138"/>
        <v>JULHO</v>
      </c>
      <c r="C1259" s="12" t="s">
        <v>11</v>
      </c>
      <c r="D1259" s="12" t="s">
        <v>12</v>
      </c>
      <c r="E1259" s="13">
        <v>740</v>
      </c>
      <c r="F1259" s="13">
        <v>780</v>
      </c>
      <c r="G1259" s="12">
        <v>37</v>
      </c>
      <c r="H1259" s="14">
        <v>37</v>
      </c>
      <c r="I1259" s="12">
        <f>IFERROR(IF(T_PROD[[#This Row],[PREVISTO]]-T_PROD[[#This Row],[EFETIVO]]&lt; 0,0,T_PROD[[#This Row],[PREVISTO]]-T_PROD[[#This Row],[EFETIVO]] ),"")</f>
        <v>0</v>
      </c>
      <c r="J1259" s="15">
        <f>IFERROR(IF(T_PROD[[#This Row],[META]]&gt;0,(T_PROD[[#This Row],[META]]/T_PROD[[#This Row],[PREVISTO]]),""),"")</f>
        <v>20</v>
      </c>
      <c r="K1259" s="15">
        <f>IFERROR(IF(T_PROD[[#This Row],[PRODUÇÃO]]&gt;0,(T_PROD[[#This Row],[PRODUÇÃO]]/T_PROD[[#This Row],[EFETIVO]]),""),"")</f>
        <v>21.081081081081081</v>
      </c>
    </row>
    <row r="1260" spans="1:11" x14ac:dyDescent="0.3">
      <c r="A1260" s="11">
        <v>46231</v>
      </c>
      <c r="B1260" s="12" t="str">
        <f t="shared" si="138"/>
        <v>JULHO</v>
      </c>
      <c r="C1260" s="12" t="s">
        <v>32</v>
      </c>
      <c r="D1260" s="12" t="s">
        <v>12</v>
      </c>
      <c r="E1260" s="13">
        <v>55</v>
      </c>
      <c r="F1260" s="13">
        <v>66</v>
      </c>
      <c r="G1260" s="12">
        <v>5</v>
      </c>
      <c r="H1260" s="14">
        <v>5</v>
      </c>
      <c r="I1260" s="12">
        <f>IFERROR(IF(T_PROD[[#This Row],[PREVISTO]]-T_PROD[[#This Row],[EFETIVO]]&lt; 0,0,T_PROD[[#This Row],[PREVISTO]]-T_PROD[[#This Row],[EFETIVO]] ),"")</f>
        <v>0</v>
      </c>
      <c r="J1260" s="15">
        <f>IFERROR(IF(T_PROD[[#This Row],[META]]&gt;0,(T_PROD[[#This Row],[META]]/T_PROD[[#This Row],[PREVISTO]]),""),"")</f>
        <v>11</v>
      </c>
      <c r="K1260" s="15">
        <f>IFERROR(IF(T_PROD[[#This Row],[PRODUÇÃO]]&gt;0,(T_PROD[[#This Row],[PRODUÇÃO]]/T_PROD[[#This Row],[EFETIVO]]),""),"")</f>
        <v>13.2</v>
      </c>
    </row>
    <row r="1261" spans="1:11" x14ac:dyDescent="0.3">
      <c r="A1261" s="11">
        <v>46231</v>
      </c>
      <c r="B1261" s="12" t="str">
        <f t="shared" si="138"/>
        <v>JULHO</v>
      </c>
      <c r="C1261" s="12" t="s">
        <v>14</v>
      </c>
      <c r="D1261" s="12" t="s">
        <v>12</v>
      </c>
      <c r="E1261" s="13">
        <v>795</v>
      </c>
      <c r="F1261" s="13">
        <v>846</v>
      </c>
      <c r="G1261" s="12">
        <v>90</v>
      </c>
      <c r="H1261" s="14">
        <v>90</v>
      </c>
      <c r="I1261" s="12">
        <f>IFERROR(IF(T_PROD[[#This Row],[PREVISTO]]-T_PROD[[#This Row],[EFETIVO]]&lt; 0,0,T_PROD[[#This Row],[PREVISTO]]-T_PROD[[#This Row],[EFETIVO]] ),"")</f>
        <v>0</v>
      </c>
      <c r="J1261" s="15">
        <f>IFERROR(IF(T_PROD[[#This Row],[META]]&gt;0,(T_PROD[[#This Row],[META]]/T_PROD[[#This Row],[PREVISTO]]),""),"")</f>
        <v>8.8333333333333339</v>
      </c>
      <c r="K1261" s="15">
        <f>IFERROR(IF(T_PROD[[#This Row],[PRODUÇÃO]]&gt;0,(T_PROD[[#This Row],[PRODUÇÃO]]/T_PROD[[#This Row],[EFETIVO]]),""),"")</f>
        <v>9.4</v>
      </c>
    </row>
    <row r="1262" spans="1:11" x14ac:dyDescent="0.3">
      <c r="A1262" s="11">
        <v>46232</v>
      </c>
      <c r="B1262" s="12" t="str">
        <f>UPPER(TEXT(A1262,"MMMM"))</f>
        <v>JULHO</v>
      </c>
      <c r="C1262" s="12" t="s">
        <v>15</v>
      </c>
      <c r="D1262" s="12" t="s">
        <v>12</v>
      </c>
      <c r="E1262" s="13">
        <v>90</v>
      </c>
      <c r="F1262" s="13">
        <v>68</v>
      </c>
      <c r="G1262" s="12">
        <v>6</v>
      </c>
      <c r="H1262" s="14">
        <v>6</v>
      </c>
      <c r="I1262" s="12">
        <f>IFERROR(IF(T_PROD[[#This Row],[PREVISTO]]-T_PROD[[#This Row],[EFETIVO]]&lt; 0,0,T_PROD[[#This Row],[PREVISTO]]-T_PROD[[#This Row],[EFETIVO]] ),"")</f>
        <v>0</v>
      </c>
      <c r="J1262" s="15">
        <f>IFERROR(IF(T_PROD[[#This Row],[META]]&gt;0,(T_PROD[[#This Row],[META]]/T_PROD[[#This Row],[PREVISTO]]),""),"")</f>
        <v>15</v>
      </c>
      <c r="K1262" s="15">
        <f>IFERROR(IF(T_PROD[[#This Row],[PRODUÇÃO]]&gt;0,(T_PROD[[#This Row],[PRODUÇÃO]]/T_PROD[[#This Row],[EFETIVO]]),""),"")</f>
        <v>11.333333333333334</v>
      </c>
    </row>
    <row r="1263" spans="1:11" x14ac:dyDescent="0.3">
      <c r="A1263" s="11">
        <v>46232</v>
      </c>
      <c r="B1263" s="12" t="str">
        <f t="shared" ref="B1263:B1270" si="139">UPPER(TEXT(A1263,"MMMM"))</f>
        <v>JULHO</v>
      </c>
      <c r="C1263" s="12" t="s">
        <v>16</v>
      </c>
      <c r="D1263" s="12" t="s">
        <v>12</v>
      </c>
      <c r="E1263" s="13">
        <v>204</v>
      </c>
      <c r="F1263" s="13">
        <v>219</v>
      </c>
      <c r="G1263" s="12">
        <v>6</v>
      </c>
      <c r="H1263" s="14">
        <v>6</v>
      </c>
      <c r="I1263" s="12">
        <f>IFERROR(IF(T_PROD[[#This Row],[PREVISTO]]-T_PROD[[#This Row],[EFETIVO]]&lt; 0,0,T_PROD[[#This Row],[PREVISTO]]-T_PROD[[#This Row],[EFETIVO]] ),"")</f>
        <v>0</v>
      </c>
      <c r="J1263" s="15">
        <f>IFERROR(IF(T_PROD[[#This Row],[META]]&gt;0,(T_PROD[[#This Row],[META]]/T_PROD[[#This Row],[PREVISTO]]),""),"")</f>
        <v>34</v>
      </c>
      <c r="K1263" s="15">
        <f>IFERROR(IF(T_PROD[[#This Row],[PRODUÇÃO]]&gt;0,(T_PROD[[#This Row],[PRODUÇÃO]]/T_PROD[[#This Row],[EFETIVO]]),""),"")</f>
        <v>36.5</v>
      </c>
    </row>
    <row r="1264" spans="1:11" x14ac:dyDescent="0.3">
      <c r="A1264" s="11">
        <v>46232</v>
      </c>
      <c r="B1264" s="12" t="str">
        <f t="shared" si="139"/>
        <v>JULHO</v>
      </c>
      <c r="C1264" s="12" t="s">
        <v>17</v>
      </c>
      <c r="D1264" s="12" t="s">
        <v>12</v>
      </c>
      <c r="E1264" s="13">
        <v>208</v>
      </c>
      <c r="F1264" s="13">
        <v>100</v>
      </c>
      <c r="G1264" s="12">
        <v>13</v>
      </c>
      <c r="H1264" s="14">
        <v>13</v>
      </c>
      <c r="I1264" s="12">
        <f>IFERROR(IF(T_PROD[[#This Row],[PREVISTO]]-T_PROD[[#This Row],[EFETIVO]]&lt; 0,0,T_PROD[[#This Row],[PREVISTO]]-T_PROD[[#This Row],[EFETIVO]] ),"")</f>
        <v>0</v>
      </c>
      <c r="J1264" s="15">
        <f>IFERROR(IF(T_PROD[[#This Row],[META]]&gt;0,(T_PROD[[#This Row],[META]]/T_PROD[[#This Row],[PREVISTO]]),""),"")</f>
        <v>16</v>
      </c>
      <c r="K1264" s="15">
        <f>IFERROR(IF(T_PROD[[#This Row],[PRODUÇÃO]]&gt;0,(T_PROD[[#This Row],[PRODUÇÃO]]/T_PROD[[#This Row],[EFETIVO]]),""),"")</f>
        <v>7.6923076923076925</v>
      </c>
    </row>
    <row r="1265" spans="1:11" x14ac:dyDescent="0.3">
      <c r="A1265" s="11">
        <v>46232</v>
      </c>
      <c r="B1265" s="12" t="str">
        <f t="shared" si="139"/>
        <v>JULHO</v>
      </c>
      <c r="C1265" s="12" t="s">
        <v>18</v>
      </c>
      <c r="D1265" s="12" t="s">
        <v>12</v>
      </c>
      <c r="E1265" s="13"/>
      <c r="F1265" s="13"/>
      <c r="G1265" s="12"/>
      <c r="H1265" s="14"/>
      <c r="I1265" s="12">
        <f>IFERROR(IF(T_PROD[[#This Row],[PREVISTO]]-T_PROD[[#This Row],[EFETIVO]]&lt; 0,0,T_PROD[[#This Row],[PREVISTO]]-T_PROD[[#This Row],[EFETIVO]] ),"")</f>
        <v>0</v>
      </c>
      <c r="J1265" s="15" t="str">
        <f>IFERROR(IF(T_PROD[[#This Row],[META]]&gt;0,(T_PROD[[#This Row],[META]]/T_PROD[[#This Row],[PREVISTO]]),""),"")</f>
        <v/>
      </c>
      <c r="K1265" s="15" t="str">
        <f>IFERROR(IF(T_PROD[[#This Row],[PRODUÇÃO]]&gt;0,(T_PROD[[#This Row],[PRODUÇÃO]]/T_PROD[[#This Row],[EFETIVO]]),""),"")</f>
        <v/>
      </c>
    </row>
    <row r="1266" spans="1:11" x14ac:dyDescent="0.3">
      <c r="A1266" s="11">
        <v>46232</v>
      </c>
      <c r="B1266" s="12" t="str">
        <f t="shared" si="139"/>
        <v>JULHO</v>
      </c>
      <c r="C1266" s="12" t="s">
        <v>19</v>
      </c>
      <c r="D1266" s="12" t="s">
        <v>12</v>
      </c>
      <c r="E1266" s="13"/>
      <c r="F1266" s="13"/>
      <c r="G1266" s="12"/>
      <c r="H1266" s="14"/>
      <c r="I1266" s="12">
        <f>IFERROR(IF(T_PROD[[#This Row],[PREVISTO]]-T_PROD[[#This Row],[EFETIVO]]&lt; 0,0,T_PROD[[#This Row],[PREVISTO]]-T_PROD[[#This Row],[EFETIVO]] ),"")</f>
        <v>0</v>
      </c>
      <c r="J1266" s="15" t="str">
        <f>IFERROR(IF(T_PROD[[#This Row],[META]]&gt;0,(T_PROD[[#This Row],[META]]/T_PROD[[#This Row],[PREVISTO]]),""),"")</f>
        <v/>
      </c>
      <c r="K1266" s="15" t="str">
        <f>IFERROR(IF(T_PROD[[#This Row],[PRODUÇÃO]]&gt;0,(T_PROD[[#This Row],[PRODUÇÃO]]/T_PROD[[#This Row],[EFETIVO]]),""),"")</f>
        <v/>
      </c>
    </row>
    <row r="1267" spans="1:11" x14ac:dyDescent="0.3">
      <c r="A1267" s="11">
        <v>46232</v>
      </c>
      <c r="B1267" s="12" t="str">
        <f t="shared" si="139"/>
        <v>JULHO</v>
      </c>
      <c r="C1267" s="12" t="s">
        <v>20</v>
      </c>
      <c r="D1267" s="12" t="s">
        <v>12</v>
      </c>
      <c r="E1267" s="13">
        <v>502</v>
      </c>
      <c r="F1267" s="13">
        <v>387</v>
      </c>
      <c r="G1267" s="12">
        <v>90</v>
      </c>
      <c r="H1267" s="14">
        <v>90</v>
      </c>
      <c r="I1267" s="12">
        <f>IFERROR(IF(T_PROD[[#This Row],[PREVISTO]]-T_PROD[[#This Row],[EFETIVO]]&lt; 0,0,T_PROD[[#This Row],[PREVISTO]]-T_PROD[[#This Row],[EFETIVO]] ),"")</f>
        <v>0</v>
      </c>
      <c r="J1267" s="15">
        <f>IFERROR(IF(T_PROD[[#This Row],[META]]&gt;0,(T_PROD[[#This Row],[META]]/T_PROD[[#This Row],[PREVISTO]]),""),"")</f>
        <v>5.5777777777777775</v>
      </c>
      <c r="K1267" s="15">
        <f>IFERROR(IF(T_PROD[[#This Row],[PRODUÇÃO]]&gt;0,(T_PROD[[#This Row],[PRODUÇÃO]]/T_PROD[[#This Row],[EFETIVO]]),""),"")</f>
        <v>4.3</v>
      </c>
    </row>
    <row r="1268" spans="1:11" x14ac:dyDescent="0.3">
      <c r="A1268" s="11">
        <v>46232</v>
      </c>
      <c r="B1268" s="12" t="str">
        <f t="shared" si="139"/>
        <v>JULHO</v>
      </c>
      <c r="C1268" s="12" t="s">
        <v>11</v>
      </c>
      <c r="D1268" s="12" t="s">
        <v>12</v>
      </c>
      <c r="E1268" s="13">
        <v>700</v>
      </c>
      <c r="F1268" s="13">
        <v>738</v>
      </c>
      <c r="G1268" s="12">
        <v>35</v>
      </c>
      <c r="H1268" s="14">
        <v>35</v>
      </c>
      <c r="I1268" s="12">
        <f>IFERROR(IF(T_PROD[[#This Row],[PREVISTO]]-T_PROD[[#This Row],[EFETIVO]]&lt; 0,0,T_PROD[[#This Row],[PREVISTO]]-T_PROD[[#This Row],[EFETIVO]] ),"")</f>
        <v>0</v>
      </c>
      <c r="J1268" s="15">
        <f>IFERROR(IF(T_PROD[[#This Row],[META]]&gt;0,(T_PROD[[#This Row],[META]]/T_PROD[[#This Row],[PREVISTO]]),""),"")</f>
        <v>20</v>
      </c>
      <c r="K1268" s="15">
        <f>IFERROR(IF(T_PROD[[#This Row],[PRODUÇÃO]]&gt;0,(T_PROD[[#This Row],[PRODUÇÃO]]/T_PROD[[#This Row],[EFETIVO]]),""),"")</f>
        <v>21.085714285714285</v>
      </c>
    </row>
    <row r="1269" spans="1:11" x14ac:dyDescent="0.3">
      <c r="A1269" s="11">
        <v>46232</v>
      </c>
      <c r="B1269" s="12" t="str">
        <f t="shared" si="139"/>
        <v>JULHO</v>
      </c>
      <c r="C1269" s="12" t="s">
        <v>32</v>
      </c>
      <c r="D1269" s="12" t="s">
        <v>12</v>
      </c>
      <c r="E1269" s="13">
        <v>11</v>
      </c>
      <c r="F1269" s="13">
        <v>11</v>
      </c>
      <c r="G1269" s="12">
        <v>1</v>
      </c>
      <c r="H1269" s="14">
        <v>1</v>
      </c>
      <c r="I1269" s="12">
        <f>IFERROR(IF(T_PROD[[#This Row],[PREVISTO]]-T_PROD[[#This Row],[EFETIVO]]&lt; 0,0,T_PROD[[#This Row],[PREVISTO]]-T_PROD[[#This Row],[EFETIVO]] ),"")</f>
        <v>0</v>
      </c>
      <c r="J1269" s="15">
        <f>IFERROR(IF(T_PROD[[#This Row],[META]]&gt;0,(T_PROD[[#This Row],[META]]/T_PROD[[#This Row],[PREVISTO]]),""),"")</f>
        <v>11</v>
      </c>
      <c r="K1269" s="15">
        <f>IFERROR(IF(T_PROD[[#This Row],[PRODUÇÃO]]&gt;0,(T_PROD[[#This Row],[PRODUÇÃO]]/T_PROD[[#This Row],[EFETIVO]]),""),"")</f>
        <v>11</v>
      </c>
    </row>
    <row r="1270" spans="1:11" x14ac:dyDescent="0.3">
      <c r="A1270" s="11">
        <v>46232</v>
      </c>
      <c r="B1270" s="12" t="str">
        <f t="shared" si="139"/>
        <v>JULHO</v>
      </c>
      <c r="C1270" s="12" t="s">
        <v>14</v>
      </c>
      <c r="D1270" s="12" t="s">
        <v>12</v>
      </c>
      <c r="E1270" s="13">
        <v>749</v>
      </c>
      <c r="F1270" s="13">
        <v>749</v>
      </c>
      <c r="G1270" s="12">
        <v>90</v>
      </c>
      <c r="H1270" s="14">
        <v>88</v>
      </c>
      <c r="I1270" s="12">
        <f>IFERROR(IF(T_PROD[[#This Row],[PREVISTO]]-T_PROD[[#This Row],[EFETIVO]]&lt; 0,0,T_PROD[[#This Row],[PREVISTO]]-T_PROD[[#This Row],[EFETIVO]] ),"")</f>
        <v>2</v>
      </c>
      <c r="J1270" s="15">
        <f>IFERROR(IF(T_PROD[[#This Row],[META]]&gt;0,(T_PROD[[#This Row],[META]]/T_PROD[[#This Row],[PREVISTO]]),""),"")</f>
        <v>8.3222222222222229</v>
      </c>
      <c r="K1270" s="15">
        <f>IFERROR(IF(T_PROD[[#This Row],[PRODUÇÃO]]&gt;0,(T_PROD[[#This Row],[PRODUÇÃO]]/T_PROD[[#This Row],[EFETIVO]]),""),"")</f>
        <v>8.5113636363636367</v>
      </c>
    </row>
    <row r="1271" spans="1:11" x14ac:dyDescent="0.3">
      <c r="A1271" s="11">
        <v>46233</v>
      </c>
      <c r="B1271" s="12" t="str">
        <f>UPPER(TEXT(A1271,"MMMM"))</f>
        <v>JULHO</v>
      </c>
      <c r="C1271" s="12" t="s">
        <v>15</v>
      </c>
      <c r="D1271" s="12" t="s">
        <v>12</v>
      </c>
      <c r="E1271" s="13">
        <v>90</v>
      </c>
      <c r="F1271" s="13">
        <v>70</v>
      </c>
      <c r="G1271" s="12">
        <v>6</v>
      </c>
      <c r="H1271" s="14">
        <v>6</v>
      </c>
      <c r="I1271" s="12">
        <f>IFERROR(IF(T_PROD[[#This Row],[PREVISTO]]-T_PROD[[#This Row],[EFETIVO]]&lt; 0,0,T_PROD[[#This Row],[PREVISTO]]-T_PROD[[#This Row],[EFETIVO]] ),"")</f>
        <v>0</v>
      </c>
      <c r="J1271" s="15">
        <f>IFERROR(IF(T_PROD[[#This Row],[META]]&gt;0,(T_PROD[[#This Row],[META]]/T_PROD[[#This Row],[PREVISTO]]),""),"")</f>
        <v>15</v>
      </c>
      <c r="K1271" s="15">
        <f>IFERROR(IF(T_PROD[[#This Row],[PRODUÇÃO]]&gt;0,(T_PROD[[#This Row],[PRODUÇÃO]]/T_PROD[[#This Row],[EFETIVO]]),""),"")</f>
        <v>11.666666666666666</v>
      </c>
    </row>
    <row r="1272" spans="1:11" x14ac:dyDescent="0.3">
      <c r="A1272" s="11">
        <v>46233</v>
      </c>
      <c r="B1272" s="12" t="str">
        <f t="shared" ref="B1272:B1279" si="140">UPPER(TEXT(A1272,"MMMM"))</f>
        <v>JULHO</v>
      </c>
      <c r="C1272" s="12" t="s">
        <v>16</v>
      </c>
      <c r="D1272" s="12" t="s">
        <v>12</v>
      </c>
      <c r="E1272" s="13">
        <v>238</v>
      </c>
      <c r="F1272" s="13">
        <v>250</v>
      </c>
      <c r="G1272" s="12">
        <v>7</v>
      </c>
      <c r="H1272" s="14">
        <v>7</v>
      </c>
      <c r="I1272" s="12">
        <f>IFERROR(IF(T_PROD[[#This Row],[PREVISTO]]-T_PROD[[#This Row],[EFETIVO]]&lt; 0,0,T_PROD[[#This Row],[PREVISTO]]-T_PROD[[#This Row],[EFETIVO]] ),"")</f>
        <v>0</v>
      </c>
      <c r="J1272" s="15">
        <f>IFERROR(IF(T_PROD[[#This Row],[META]]&gt;0,(T_PROD[[#This Row],[META]]/T_PROD[[#This Row],[PREVISTO]]),""),"")</f>
        <v>34</v>
      </c>
      <c r="K1272" s="15">
        <f>IFERROR(IF(T_PROD[[#This Row],[PRODUÇÃO]]&gt;0,(T_PROD[[#This Row],[PRODUÇÃO]]/T_PROD[[#This Row],[EFETIVO]]),""),"")</f>
        <v>35.714285714285715</v>
      </c>
    </row>
    <row r="1273" spans="1:11" x14ac:dyDescent="0.3">
      <c r="A1273" s="11">
        <v>46233</v>
      </c>
      <c r="B1273" s="12" t="str">
        <f t="shared" si="140"/>
        <v>JULHO</v>
      </c>
      <c r="C1273" s="12" t="s">
        <v>17</v>
      </c>
      <c r="D1273" s="12" t="s">
        <v>12</v>
      </c>
      <c r="E1273" s="13">
        <v>208</v>
      </c>
      <c r="F1273" s="13">
        <v>269</v>
      </c>
      <c r="G1273" s="12">
        <v>13</v>
      </c>
      <c r="H1273" s="14">
        <v>13</v>
      </c>
      <c r="I1273" s="12">
        <f>IFERROR(IF(T_PROD[[#This Row],[PREVISTO]]-T_PROD[[#This Row],[EFETIVO]]&lt; 0,0,T_PROD[[#This Row],[PREVISTO]]-T_PROD[[#This Row],[EFETIVO]] ),"")</f>
        <v>0</v>
      </c>
      <c r="J1273" s="15">
        <f>IFERROR(IF(T_PROD[[#This Row],[META]]&gt;0,(T_PROD[[#This Row],[META]]/T_PROD[[#This Row],[PREVISTO]]),""),"")</f>
        <v>16</v>
      </c>
      <c r="K1273" s="15">
        <f>IFERROR(IF(T_PROD[[#This Row],[PRODUÇÃO]]&gt;0,(T_PROD[[#This Row],[PRODUÇÃO]]/T_PROD[[#This Row],[EFETIVO]]),""),"")</f>
        <v>20.692307692307693</v>
      </c>
    </row>
    <row r="1274" spans="1:11" x14ac:dyDescent="0.3">
      <c r="A1274" s="11">
        <v>46233</v>
      </c>
      <c r="B1274" s="12" t="str">
        <f t="shared" si="140"/>
        <v>JULHO</v>
      </c>
      <c r="C1274" s="12" t="s">
        <v>18</v>
      </c>
      <c r="D1274" s="12" t="s">
        <v>12</v>
      </c>
      <c r="E1274" s="13"/>
      <c r="F1274" s="13"/>
      <c r="G1274" s="12"/>
      <c r="H1274" s="14"/>
      <c r="I1274" s="12">
        <f>IFERROR(IF(T_PROD[[#This Row],[PREVISTO]]-T_PROD[[#This Row],[EFETIVO]]&lt; 0,0,T_PROD[[#This Row],[PREVISTO]]-T_PROD[[#This Row],[EFETIVO]] ),"")</f>
        <v>0</v>
      </c>
      <c r="J1274" s="15" t="str">
        <f>IFERROR(IF(T_PROD[[#This Row],[META]]&gt;0,(T_PROD[[#This Row],[META]]/T_PROD[[#This Row],[PREVISTO]]),""),"")</f>
        <v/>
      </c>
      <c r="K1274" s="15" t="str">
        <f>IFERROR(IF(T_PROD[[#This Row],[PRODUÇÃO]]&gt;0,(T_PROD[[#This Row],[PRODUÇÃO]]/T_PROD[[#This Row],[EFETIVO]]),""),"")</f>
        <v/>
      </c>
    </row>
    <row r="1275" spans="1:11" x14ac:dyDescent="0.3">
      <c r="A1275" s="11">
        <v>46233</v>
      </c>
      <c r="B1275" s="12" t="str">
        <f t="shared" si="140"/>
        <v>JULHO</v>
      </c>
      <c r="C1275" s="12" t="s">
        <v>19</v>
      </c>
      <c r="D1275" s="12" t="s">
        <v>12</v>
      </c>
      <c r="E1275" s="13"/>
      <c r="F1275" s="13"/>
      <c r="G1275" s="12"/>
      <c r="H1275" s="14"/>
      <c r="I1275" s="12">
        <f>IFERROR(IF(T_PROD[[#This Row],[PREVISTO]]-T_PROD[[#This Row],[EFETIVO]]&lt; 0,0,T_PROD[[#This Row],[PREVISTO]]-T_PROD[[#This Row],[EFETIVO]] ),"")</f>
        <v>0</v>
      </c>
      <c r="J1275" s="15" t="str">
        <f>IFERROR(IF(T_PROD[[#This Row],[META]]&gt;0,(T_PROD[[#This Row],[META]]/T_PROD[[#This Row],[PREVISTO]]),""),"")</f>
        <v/>
      </c>
      <c r="K1275" s="15" t="str">
        <f>IFERROR(IF(T_PROD[[#This Row],[PRODUÇÃO]]&gt;0,(T_PROD[[#This Row],[PRODUÇÃO]]/T_PROD[[#This Row],[EFETIVO]]),""),"")</f>
        <v/>
      </c>
    </row>
    <row r="1276" spans="1:11" x14ac:dyDescent="0.3">
      <c r="A1276" s="11">
        <v>46233</v>
      </c>
      <c r="B1276" s="12" t="str">
        <f t="shared" si="140"/>
        <v>JULHO</v>
      </c>
      <c r="C1276" s="12" t="s">
        <v>20</v>
      </c>
      <c r="D1276" s="12" t="s">
        <v>12</v>
      </c>
      <c r="E1276" s="13">
        <v>536</v>
      </c>
      <c r="F1276" s="13">
        <v>589</v>
      </c>
      <c r="G1276" s="12">
        <v>90</v>
      </c>
      <c r="H1276" s="14">
        <v>90</v>
      </c>
      <c r="I1276" s="12">
        <f>IFERROR(IF(T_PROD[[#This Row],[PREVISTO]]-T_PROD[[#This Row],[EFETIVO]]&lt; 0,0,T_PROD[[#This Row],[PREVISTO]]-T_PROD[[#This Row],[EFETIVO]] ),"")</f>
        <v>0</v>
      </c>
      <c r="J1276" s="15">
        <f>IFERROR(IF(T_PROD[[#This Row],[META]]&gt;0,(T_PROD[[#This Row],[META]]/T_PROD[[#This Row],[PREVISTO]]),""),"")</f>
        <v>5.9555555555555557</v>
      </c>
      <c r="K1276" s="15">
        <f>IFERROR(IF(T_PROD[[#This Row],[PRODUÇÃO]]&gt;0,(T_PROD[[#This Row],[PRODUÇÃO]]/T_PROD[[#This Row],[EFETIVO]]),""),"")</f>
        <v>6.5444444444444443</v>
      </c>
    </row>
    <row r="1277" spans="1:11" x14ac:dyDescent="0.3">
      <c r="A1277" s="11">
        <v>46233</v>
      </c>
      <c r="B1277" s="12" t="str">
        <f t="shared" si="140"/>
        <v>JULHO</v>
      </c>
      <c r="C1277" s="12" t="s">
        <v>11</v>
      </c>
      <c r="D1277" s="12" t="s">
        <v>12</v>
      </c>
      <c r="E1277" s="13">
        <v>740</v>
      </c>
      <c r="F1277" s="13">
        <v>760</v>
      </c>
      <c r="G1277" s="12">
        <v>37</v>
      </c>
      <c r="H1277" s="14">
        <v>37</v>
      </c>
      <c r="I1277" s="12">
        <f>IFERROR(IF(T_PROD[[#This Row],[PREVISTO]]-T_PROD[[#This Row],[EFETIVO]]&lt; 0,0,T_PROD[[#This Row],[PREVISTO]]-T_PROD[[#This Row],[EFETIVO]] ),"")</f>
        <v>0</v>
      </c>
      <c r="J1277" s="15">
        <f>IFERROR(IF(T_PROD[[#This Row],[META]]&gt;0,(T_PROD[[#This Row],[META]]/T_PROD[[#This Row],[PREVISTO]]),""),"")</f>
        <v>20</v>
      </c>
      <c r="K1277" s="15">
        <f>IFERROR(IF(T_PROD[[#This Row],[PRODUÇÃO]]&gt;0,(T_PROD[[#This Row],[PRODUÇÃO]]/T_PROD[[#This Row],[EFETIVO]]),""),"")</f>
        <v>20.54054054054054</v>
      </c>
    </row>
    <row r="1278" spans="1:11" x14ac:dyDescent="0.3">
      <c r="A1278" s="11">
        <v>46233</v>
      </c>
      <c r="B1278" s="12" t="str">
        <f t="shared" si="140"/>
        <v>JULHO</v>
      </c>
      <c r="C1278" s="12" t="s">
        <v>32</v>
      </c>
      <c r="D1278" s="12" t="s">
        <v>12</v>
      </c>
      <c r="E1278" s="13">
        <v>55</v>
      </c>
      <c r="F1278" s="13">
        <v>60</v>
      </c>
      <c r="G1278" s="12">
        <v>5</v>
      </c>
      <c r="H1278" s="14">
        <v>5</v>
      </c>
      <c r="I1278" s="12">
        <f>IFERROR(IF(T_PROD[[#This Row],[PREVISTO]]-T_PROD[[#This Row],[EFETIVO]]&lt; 0,0,T_PROD[[#This Row],[PREVISTO]]-T_PROD[[#This Row],[EFETIVO]] ),"")</f>
        <v>0</v>
      </c>
      <c r="J1278" s="15">
        <f>IFERROR(IF(T_PROD[[#This Row],[META]]&gt;0,(T_PROD[[#This Row],[META]]/T_PROD[[#This Row],[PREVISTO]]),""),"")</f>
        <v>11</v>
      </c>
      <c r="K1278" s="15">
        <f>IFERROR(IF(T_PROD[[#This Row],[PRODUÇÃO]]&gt;0,(T_PROD[[#This Row],[PRODUÇÃO]]/T_PROD[[#This Row],[EFETIVO]]),""),"")</f>
        <v>12</v>
      </c>
    </row>
    <row r="1279" spans="1:11" x14ac:dyDescent="0.3">
      <c r="A1279" s="11">
        <v>46233</v>
      </c>
      <c r="B1279" s="12" t="str">
        <f t="shared" si="140"/>
        <v>JULHO</v>
      </c>
      <c r="C1279" s="12" t="s">
        <v>14</v>
      </c>
      <c r="D1279" s="12" t="s">
        <v>12</v>
      </c>
      <c r="E1279" s="13">
        <v>795</v>
      </c>
      <c r="F1279" s="13">
        <v>820</v>
      </c>
      <c r="G1279" s="12">
        <v>90</v>
      </c>
      <c r="H1279" s="14">
        <v>90</v>
      </c>
      <c r="I1279" s="12">
        <f>IFERROR(IF(T_PROD[[#This Row],[PREVISTO]]-T_PROD[[#This Row],[EFETIVO]]&lt; 0,0,T_PROD[[#This Row],[PREVISTO]]-T_PROD[[#This Row],[EFETIVO]] ),"")</f>
        <v>0</v>
      </c>
      <c r="J1279" s="15">
        <f>IFERROR(IF(T_PROD[[#This Row],[META]]&gt;0,(T_PROD[[#This Row],[META]]/T_PROD[[#This Row],[PREVISTO]]),""),"")</f>
        <v>8.8333333333333339</v>
      </c>
      <c r="K1279" s="15">
        <f>IFERROR(IF(T_PROD[[#This Row],[PRODUÇÃO]]&gt;0,(T_PROD[[#This Row],[PRODUÇÃO]]/T_PROD[[#This Row],[EFETIVO]]),""),"")</f>
        <v>9.1111111111111107</v>
      </c>
    </row>
    <row r="1280" spans="1:11" x14ac:dyDescent="0.3">
      <c r="A1280" s="11">
        <v>46234</v>
      </c>
      <c r="B1280" s="12" t="str">
        <f>UPPER(TEXT(A1280,"MMMM"))</f>
        <v>JULHO</v>
      </c>
      <c r="C1280" s="12" t="s">
        <v>15</v>
      </c>
      <c r="D1280" s="12" t="s">
        <v>12</v>
      </c>
      <c r="E1280" s="13">
        <v>75</v>
      </c>
      <c r="F1280" s="13">
        <v>48</v>
      </c>
      <c r="G1280" s="12">
        <v>5</v>
      </c>
      <c r="H1280" s="14">
        <v>5</v>
      </c>
      <c r="I1280" s="12">
        <f>IFERROR(IF(T_PROD[[#This Row],[PREVISTO]]-T_PROD[[#This Row],[EFETIVO]]&lt; 0,0,T_PROD[[#This Row],[PREVISTO]]-T_PROD[[#This Row],[EFETIVO]] ),"")</f>
        <v>0</v>
      </c>
      <c r="J1280" s="15">
        <f>IFERROR(IF(T_PROD[[#This Row],[META]]&gt;0,(T_PROD[[#This Row],[META]]/T_PROD[[#This Row],[PREVISTO]]),""),"")</f>
        <v>15</v>
      </c>
      <c r="K1280" s="15">
        <f>IFERROR(IF(T_PROD[[#This Row],[PRODUÇÃO]]&gt;0,(T_PROD[[#This Row],[PRODUÇÃO]]/T_PROD[[#This Row],[EFETIVO]]),""),"")</f>
        <v>9.6</v>
      </c>
    </row>
    <row r="1281" spans="1:11" x14ac:dyDescent="0.3">
      <c r="A1281" s="11">
        <v>46234</v>
      </c>
      <c r="B1281" s="12" t="str">
        <f t="shared" ref="B1281:B1288" si="141">UPPER(TEXT(A1281,"MMMM"))</f>
        <v>JULHO</v>
      </c>
      <c r="C1281" s="12" t="s">
        <v>16</v>
      </c>
      <c r="D1281" s="12" t="s">
        <v>12</v>
      </c>
      <c r="E1281" s="13">
        <v>221</v>
      </c>
      <c r="F1281" s="13">
        <v>216</v>
      </c>
      <c r="G1281" s="12">
        <v>6.5</v>
      </c>
      <c r="H1281" s="14">
        <v>6.5</v>
      </c>
      <c r="I1281" s="12">
        <f>IFERROR(IF(T_PROD[[#This Row],[PREVISTO]]-T_PROD[[#This Row],[EFETIVO]]&lt; 0,0,T_PROD[[#This Row],[PREVISTO]]-T_PROD[[#This Row],[EFETIVO]] ),"")</f>
        <v>0</v>
      </c>
      <c r="J1281" s="15">
        <f>IFERROR(IF(T_PROD[[#This Row],[META]]&gt;0,(T_PROD[[#This Row],[META]]/T_PROD[[#This Row],[PREVISTO]]),""),"")</f>
        <v>34</v>
      </c>
      <c r="K1281" s="15">
        <f>IFERROR(IF(T_PROD[[#This Row],[PRODUÇÃO]]&gt;0,(T_PROD[[#This Row],[PRODUÇÃO]]/T_PROD[[#This Row],[EFETIVO]]),""),"")</f>
        <v>33.230769230769234</v>
      </c>
    </row>
    <row r="1282" spans="1:11" x14ac:dyDescent="0.3">
      <c r="A1282" s="11">
        <v>46234</v>
      </c>
      <c r="B1282" s="12" t="str">
        <f t="shared" si="141"/>
        <v>JULHO</v>
      </c>
      <c r="C1282" s="12" t="s">
        <v>17</v>
      </c>
      <c r="D1282" s="12" t="s">
        <v>12</v>
      </c>
      <c r="E1282" s="13">
        <v>208</v>
      </c>
      <c r="F1282" s="13">
        <v>180</v>
      </c>
      <c r="G1282" s="12">
        <v>13</v>
      </c>
      <c r="H1282" s="14">
        <v>13</v>
      </c>
      <c r="I1282" s="12">
        <f>IFERROR(IF(T_PROD[[#This Row],[PREVISTO]]-T_PROD[[#This Row],[EFETIVO]]&lt; 0,0,T_PROD[[#This Row],[PREVISTO]]-T_PROD[[#This Row],[EFETIVO]] ),"")</f>
        <v>0</v>
      </c>
      <c r="J1282" s="15">
        <f>IFERROR(IF(T_PROD[[#This Row],[META]]&gt;0,(T_PROD[[#This Row],[META]]/T_PROD[[#This Row],[PREVISTO]]),""),"")</f>
        <v>16</v>
      </c>
      <c r="K1282" s="15">
        <f>IFERROR(IF(T_PROD[[#This Row],[PRODUÇÃO]]&gt;0,(T_PROD[[#This Row],[PRODUÇÃO]]/T_PROD[[#This Row],[EFETIVO]]),""),"")</f>
        <v>13.846153846153847</v>
      </c>
    </row>
    <row r="1283" spans="1:11" x14ac:dyDescent="0.3">
      <c r="A1283" s="11">
        <v>46234</v>
      </c>
      <c r="B1283" s="12" t="str">
        <f t="shared" si="141"/>
        <v>JULHO</v>
      </c>
      <c r="C1283" s="12" t="s">
        <v>18</v>
      </c>
      <c r="D1283" s="12" t="s">
        <v>12</v>
      </c>
      <c r="E1283" s="13"/>
      <c r="F1283" s="13"/>
      <c r="G1283" s="12"/>
      <c r="H1283" s="14"/>
      <c r="I1283" s="12">
        <f>IFERROR(IF(T_PROD[[#This Row],[PREVISTO]]-T_PROD[[#This Row],[EFETIVO]]&lt; 0,0,T_PROD[[#This Row],[PREVISTO]]-T_PROD[[#This Row],[EFETIVO]] ),"")</f>
        <v>0</v>
      </c>
      <c r="J1283" s="15" t="str">
        <f>IFERROR(IF(T_PROD[[#This Row],[META]]&gt;0,(T_PROD[[#This Row],[META]]/T_PROD[[#This Row],[PREVISTO]]),""),"")</f>
        <v/>
      </c>
      <c r="K1283" s="15" t="str">
        <f>IFERROR(IF(T_PROD[[#This Row],[PRODUÇÃO]]&gt;0,(T_PROD[[#This Row],[PRODUÇÃO]]/T_PROD[[#This Row],[EFETIVO]]),""),"")</f>
        <v/>
      </c>
    </row>
    <row r="1284" spans="1:11" x14ac:dyDescent="0.3">
      <c r="A1284" s="11">
        <v>46234</v>
      </c>
      <c r="B1284" s="12" t="str">
        <f t="shared" si="141"/>
        <v>JULHO</v>
      </c>
      <c r="C1284" s="12" t="s">
        <v>19</v>
      </c>
      <c r="D1284" s="12" t="s">
        <v>12</v>
      </c>
      <c r="E1284" s="13"/>
      <c r="F1284" s="13"/>
      <c r="G1284" s="12"/>
      <c r="H1284" s="14"/>
      <c r="I1284" s="12">
        <f>IFERROR(IF(T_PROD[[#This Row],[PREVISTO]]-T_PROD[[#This Row],[EFETIVO]]&lt; 0,0,T_PROD[[#This Row],[PREVISTO]]-T_PROD[[#This Row],[EFETIVO]] ),"")</f>
        <v>0</v>
      </c>
      <c r="J1284" s="15" t="str">
        <f>IFERROR(IF(T_PROD[[#This Row],[META]]&gt;0,(T_PROD[[#This Row],[META]]/T_PROD[[#This Row],[PREVISTO]]),""),"")</f>
        <v/>
      </c>
      <c r="K1284" s="15" t="str">
        <f>IFERROR(IF(T_PROD[[#This Row],[PRODUÇÃO]]&gt;0,(T_PROD[[#This Row],[PRODUÇÃO]]/T_PROD[[#This Row],[EFETIVO]]),""),"")</f>
        <v/>
      </c>
    </row>
    <row r="1285" spans="1:11" x14ac:dyDescent="0.3">
      <c r="A1285" s="11">
        <v>46234</v>
      </c>
      <c r="B1285" s="12" t="str">
        <f t="shared" si="141"/>
        <v>JULHO</v>
      </c>
      <c r="C1285" s="12" t="s">
        <v>20</v>
      </c>
      <c r="D1285" s="12" t="s">
        <v>12</v>
      </c>
      <c r="E1285" s="13">
        <v>504</v>
      </c>
      <c r="F1285" s="13">
        <v>444</v>
      </c>
      <c r="G1285" s="12">
        <v>90</v>
      </c>
      <c r="H1285" s="14">
        <v>90</v>
      </c>
      <c r="I1285" s="12">
        <f>IFERROR(IF(T_PROD[[#This Row],[PREVISTO]]-T_PROD[[#This Row],[EFETIVO]]&lt; 0,0,T_PROD[[#This Row],[PREVISTO]]-T_PROD[[#This Row],[EFETIVO]] ),"")</f>
        <v>0</v>
      </c>
      <c r="J1285" s="15">
        <f>IFERROR(IF(T_PROD[[#This Row],[META]]&gt;0,(T_PROD[[#This Row],[META]]/T_PROD[[#This Row],[PREVISTO]]),""),"")</f>
        <v>5.6</v>
      </c>
      <c r="K1285" s="15">
        <f>IFERROR(IF(T_PROD[[#This Row],[PRODUÇÃO]]&gt;0,(T_PROD[[#This Row],[PRODUÇÃO]]/T_PROD[[#This Row],[EFETIVO]]),""),"")</f>
        <v>4.9333333333333336</v>
      </c>
    </row>
    <row r="1286" spans="1:11" x14ac:dyDescent="0.3">
      <c r="A1286" s="11">
        <v>46234</v>
      </c>
      <c r="B1286" s="12" t="str">
        <f t="shared" si="141"/>
        <v>JULHO</v>
      </c>
      <c r="C1286" s="12" t="s">
        <v>11</v>
      </c>
      <c r="D1286" s="12" t="s">
        <v>12</v>
      </c>
      <c r="E1286" s="13">
        <v>600</v>
      </c>
      <c r="F1286" s="13">
        <v>600</v>
      </c>
      <c r="G1286" s="12">
        <v>30</v>
      </c>
      <c r="H1286" s="14">
        <v>30</v>
      </c>
      <c r="I1286" s="12">
        <f>IFERROR(IF(T_PROD[[#This Row],[PREVISTO]]-T_PROD[[#This Row],[EFETIVO]]&lt; 0,0,T_PROD[[#This Row],[PREVISTO]]-T_PROD[[#This Row],[EFETIVO]] ),"")</f>
        <v>0</v>
      </c>
      <c r="J1286" s="15">
        <f>IFERROR(IF(T_PROD[[#This Row],[META]]&gt;0,(T_PROD[[#This Row],[META]]/T_PROD[[#This Row],[PREVISTO]]),""),"")</f>
        <v>20</v>
      </c>
      <c r="K1286" s="15">
        <f>IFERROR(IF(T_PROD[[#This Row],[PRODUÇÃO]]&gt;0,(T_PROD[[#This Row],[PRODUÇÃO]]/T_PROD[[#This Row],[EFETIVO]]),""),"")</f>
        <v>20</v>
      </c>
    </row>
    <row r="1287" spans="1:11" x14ac:dyDescent="0.3">
      <c r="A1287" s="11">
        <v>46234</v>
      </c>
      <c r="B1287" s="12" t="str">
        <f t="shared" si="141"/>
        <v>JULHO</v>
      </c>
      <c r="C1287" s="12" t="s">
        <v>32</v>
      </c>
      <c r="D1287" s="12" t="s">
        <v>12</v>
      </c>
      <c r="E1287" s="13">
        <v>44</v>
      </c>
      <c r="F1287" s="13">
        <v>45</v>
      </c>
      <c r="G1287" s="12">
        <v>4</v>
      </c>
      <c r="H1287" s="14">
        <v>4</v>
      </c>
      <c r="I1287" s="12">
        <f>IFERROR(IF(T_PROD[[#This Row],[PREVISTO]]-T_PROD[[#This Row],[EFETIVO]]&lt; 0,0,T_PROD[[#This Row],[PREVISTO]]-T_PROD[[#This Row],[EFETIVO]] ),"")</f>
        <v>0</v>
      </c>
      <c r="J1287" s="15">
        <f>IFERROR(IF(T_PROD[[#This Row],[META]]&gt;0,(T_PROD[[#This Row],[META]]/T_PROD[[#This Row],[PREVISTO]]),""),"")</f>
        <v>11</v>
      </c>
      <c r="K1287" s="15">
        <f>IFERROR(IF(T_PROD[[#This Row],[PRODUÇÃO]]&gt;0,(T_PROD[[#This Row],[PRODUÇÃO]]/T_PROD[[#This Row],[EFETIVO]]),""),"")</f>
        <v>11.25</v>
      </c>
    </row>
    <row r="1288" spans="1:11" x14ac:dyDescent="0.3">
      <c r="A1288" s="11">
        <v>46234</v>
      </c>
      <c r="B1288" s="12" t="str">
        <f t="shared" si="141"/>
        <v>JULHO</v>
      </c>
      <c r="C1288" s="12" t="s">
        <v>14</v>
      </c>
      <c r="D1288" s="12" t="s">
        <v>12</v>
      </c>
      <c r="E1288" s="13">
        <v>644</v>
      </c>
      <c r="F1288" s="13">
        <v>645</v>
      </c>
      <c r="G1288" s="12">
        <v>78</v>
      </c>
      <c r="H1288" s="14">
        <v>74</v>
      </c>
      <c r="I1288" s="12">
        <f>IFERROR(IF(T_PROD[[#This Row],[PREVISTO]]-T_PROD[[#This Row],[EFETIVO]]&lt; 0,0,T_PROD[[#This Row],[PREVISTO]]-T_PROD[[#This Row],[EFETIVO]] ),"")</f>
        <v>4</v>
      </c>
      <c r="J1288" s="15">
        <f>IFERROR(IF(T_PROD[[#This Row],[META]]&gt;0,(T_PROD[[#This Row],[META]]/T_PROD[[#This Row],[PREVISTO]]),""),"")</f>
        <v>8.2564102564102573</v>
      </c>
      <c r="K1288" s="15">
        <f>IFERROR(IF(T_PROD[[#This Row],[PRODUÇÃO]]&gt;0,(T_PROD[[#This Row],[PRODUÇÃO]]/T_PROD[[#This Row],[EFETIVO]]),""),"")</f>
        <v>8.7162162162162158</v>
      </c>
    </row>
    <row r="1289" spans="1:11" x14ac:dyDescent="0.3">
      <c r="A1289" s="11">
        <v>46237</v>
      </c>
      <c r="B1289" s="12" t="str">
        <f>UPPER(TEXT(A1289,"MMMM"))</f>
        <v>AGOSTO</v>
      </c>
      <c r="C1289" s="12" t="s">
        <v>15</v>
      </c>
      <c r="D1289" s="12" t="s">
        <v>12</v>
      </c>
      <c r="E1289" s="13">
        <v>105</v>
      </c>
      <c r="F1289" s="13">
        <v>74</v>
      </c>
      <c r="G1289" s="12">
        <v>7</v>
      </c>
      <c r="H1289" s="14">
        <v>7</v>
      </c>
      <c r="I1289" s="12">
        <f>IFERROR(IF(T_PROD[[#This Row],[PREVISTO]]-T_PROD[[#This Row],[EFETIVO]]&lt; 0,0,T_PROD[[#This Row],[PREVISTO]]-T_PROD[[#This Row],[EFETIVO]] ),"")</f>
        <v>0</v>
      </c>
      <c r="J1289" s="15">
        <f>IFERROR(IF(T_PROD[[#This Row],[META]]&gt;0,(T_PROD[[#This Row],[META]]/T_PROD[[#This Row],[PREVISTO]]),""),"")</f>
        <v>15</v>
      </c>
      <c r="K1289" s="15">
        <f>IFERROR(IF(T_PROD[[#This Row],[PRODUÇÃO]]&gt;0,(T_PROD[[#This Row],[PRODUÇÃO]]/T_PROD[[#This Row],[EFETIVO]]),""),"")</f>
        <v>10.571428571428571</v>
      </c>
    </row>
    <row r="1290" spans="1:11" x14ac:dyDescent="0.3">
      <c r="A1290" s="11">
        <v>46237</v>
      </c>
      <c r="B1290" s="12" t="str">
        <f t="shared" ref="B1290:B1297" si="142">UPPER(TEXT(A1290,"MMMM"))</f>
        <v>AGOSTO</v>
      </c>
      <c r="C1290" s="12" t="s">
        <v>16</v>
      </c>
      <c r="D1290" s="12" t="s">
        <v>12</v>
      </c>
      <c r="E1290" s="13">
        <v>221</v>
      </c>
      <c r="F1290" s="13">
        <v>252</v>
      </c>
      <c r="G1290" s="12">
        <v>6.5</v>
      </c>
      <c r="H1290" s="14">
        <v>6.5</v>
      </c>
      <c r="I1290" s="12">
        <f>IFERROR(IF(T_PROD[[#This Row],[PREVISTO]]-T_PROD[[#This Row],[EFETIVO]]&lt; 0,0,T_PROD[[#This Row],[PREVISTO]]-T_PROD[[#This Row],[EFETIVO]] ),"")</f>
        <v>0</v>
      </c>
      <c r="J1290" s="15">
        <f>IFERROR(IF(T_PROD[[#This Row],[META]]&gt;0,(T_PROD[[#This Row],[META]]/T_PROD[[#This Row],[PREVISTO]]),""),"")</f>
        <v>34</v>
      </c>
      <c r="K1290" s="15">
        <f>IFERROR(IF(T_PROD[[#This Row],[PRODUÇÃO]]&gt;0,(T_PROD[[#This Row],[PRODUÇÃO]]/T_PROD[[#This Row],[EFETIVO]]),""),"")</f>
        <v>38.769230769230766</v>
      </c>
    </row>
    <row r="1291" spans="1:11" x14ac:dyDescent="0.3">
      <c r="A1291" s="11">
        <v>46237</v>
      </c>
      <c r="B1291" s="12" t="str">
        <f t="shared" si="142"/>
        <v>AGOSTO</v>
      </c>
      <c r="C1291" s="12" t="s">
        <v>17</v>
      </c>
      <c r="D1291" s="12" t="s">
        <v>12</v>
      </c>
      <c r="E1291" s="13">
        <v>308</v>
      </c>
      <c r="F1291" s="13">
        <v>300</v>
      </c>
      <c r="G1291" s="12">
        <v>14</v>
      </c>
      <c r="H1291" s="14">
        <v>14</v>
      </c>
      <c r="I1291" s="12">
        <f>IFERROR(IF(T_PROD[[#This Row],[PREVISTO]]-T_PROD[[#This Row],[EFETIVO]]&lt; 0,0,T_PROD[[#This Row],[PREVISTO]]-T_PROD[[#This Row],[EFETIVO]] ),"")</f>
        <v>0</v>
      </c>
      <c r="J1291" s="15">
        <f>IFERROR(IF(T_PROD[[#This Row],[META]]&gt;0,(T_PROD[[#This Row],[META]]/T_PROD[[#This Row],[PREVISTO]]),""),"")</f>
        <v>22</v>
      </c>
      <c r="K1291" s="15">
        <f>IFERROR(IF(T_PROD[[#This Row],[PRODUÇÃO]]&gt;0,(T_PROD[[#This Row],[PRODUÇÃO]]/T_PROD[[#This Row],[EFETIVO]]),""),"")</f>
        <v>21.428571428571427</v>
      </c>
    </row>
    <row r="1292" spans="1:11" x14ac:dyDescent="0.3">
      <c r="A1292" s="11">
        <v>46237</v>
      </c>
      <c r="B1292" s="12" t="str">
        <f t="shared" si="142"/>
        <v>AGOSTO</v>
      </c>
      <c r="C1292" s="12" t="s">
        <v>18</v>
      </c>
      <c r="D1292" s="12" t="s">
        <v>12</v>
      </c>
      <c r="E1292" s="13"/>
      <c r="F1292" s="13"/>
      <c r="G1292" s="12"/>
      <c r="H1292" s="14"/>
      <c r="I1292" s="12">
        <f>IFERROR(IF(T_PROD[[#This Row],[PREVISTO]]-T_PROD[[#This Row],[EFETIVO]]&lt; 0,0,T_PROD[[#This Row],[PREVISTO]]-T_PROD[[#This Row],[EFETIVO]] ),"")</f>
        <v>0</v>
      </c>
      <c r="J1292" s="15" t="str">
        <f>IFERROR(IF(T_PROD[[#This Row],[META]]&gt;0,(T_PROD[[#This Row],[META]]/T_PROD[[#This Row],[PREVISTO]]),""),"")</f>
        <v/>
      </c>
      <c r="K1292" s="15" t="str">
        <f>IFERROR(IF(T_PROD[[#This Row],[PRODUÇÃO]]&gt;0,(T_PROD[[#This Row],[PRODUÇÃO]]/T_PROD[[#This Row],[EFETIVO]]),""),"")</f>
        <v/>
      </c>
    </row>
    <row r="1293" spans="1:11" x14ac:dyDescent="0.3">
      <c r="A1293" s="11">
        <v>46237</v>
      </c>
      <c r="B1293" s="12" t="str">
        <f t="shared" si="142"/>
        <v>AGOSTO</v>
      </c>
      <c r="C1293" s="12" t="s">
        <v>19</v>
      </c>
      <c r="D1293" s="12" t="s">
        <v>12</v>
      </c>
      <c r="E1293" s="13"/>
      <c r="F1293" s="13"/>
      <c r="G1293" s="12"/>
      <c r="H1293" s="14"/>
      <c r="I1293" s="12">
        <f>IFERROR(IF(T_PROD[[#This Row],[PREVISTO]]-T_PROD[[#This Row],[EFETIVO]]&lt; 0,0,T_PROD[[#This Row],[PREVISTO]]-T_PROD[[#This Row],[EFETIVO]] ),"")</f>
        <v>0</v>
      </c>
      <c r="J1293" s="15" t="str">
        <f>IFERROR(IF(T_PROD[[#This Row],[META]]&gt;0,(T_PROD[[#This Row],[META]]/T_PROD[[#This Row],[PREVISTO]]),""),"")</f>
        <v/>
      </c>
      <c r="K1293" s="15" t="str">
        <f>IFERROR(IF(T_PROD[[#This Row],[PRODUÇÃO]]&gt;0,(T_PROD[[#This Row],[PRODUÇÃO]]/T_PROD[[#This Row],[EFETIVO]]),""),"")</f>
        <v/>
      </c>
    </row>
    <row r="1294" spans="1:11" x14ac:dyDescent="0.3">
      <c r="A1294" s="11">
        <v>46237</v>
      </c>
      <c r="B1294" s="12" t="str">
        <f t="shared" si="142"/>
        <v>AGOSTO</v>
      </c>
      <c r="C1294" s="12" t="s">
        <v>20</v>
      </c>
      <c r="D1294" s="12" t="s">
        <v>12</v>
      </c>
      <c r="E1294" s="13">
        <v>634</v>
      </c>
      <c r="F1294" s="13">
        <v>626</v>
      </c>
      <c r="G1294" s="12">
        <v>90</v>
      </c>
      <c r="H1294" s="14">
        <v>90</v>
      </c>
      <c r="I1294" s="12">
        <f>IFERROR(IF(T_PROD[[#This Row],[PREVISTO]]-T_PROD[[#This Row],[EFETIVO]]&lt; 0,0,T_PROD[[#This Row],[PREVISTO]]-T_PROD[[#This Row],[EFETIVO]] ),"")</f>
        <v>0</v>
      </c>
      <c r="J1294" s="15">
        <f>IFERROR(IF(T_PROD[[#This Row],[META]]&gt;0,(T_PROD[[#This Row],[META]]/T_PROD[[#This Row],[PREVISTO]]),""),"")</f>
        <v>7.0444444444444443</v>
      </c>
      <c r="K1294" s="15">
        <f>IFERROR(IF(T_PROD[[#This Row],[PRODUÇÃO]]&gt;0,(T_PROD[[#This Row],[PRODUÇÃO]]/T_PROD[[#This Row],[EFETIVO]]),""),"")</f>
        <v>6.9555555555555557</v>
      </c>
    </row>
    <row r="1295" spans="1:11" x14ac:dyDescent="0.3">
      <c r="A1295" s="11">
        <v>46237</v>
      </c>
      <c r="B1295" s="12" t="str">
        <f t="shared" si="142"/>
        <v>AGOSTO</v>
      </c>
      <c r="C1295" s="12" t="s">
        <v>11</v>
      </c>
      <c r="D1295" s="12" t="s">
        <v>12</v>
      </c>
      <c r="E1295" s="13">
        <v>680</v>
      </c>
      <c r="F1295" s="13">
        <v>690</v>
      </c>
      <c r="G1295" s="12">
        <v>34</v>
      </c>
      <c r="H1295" s="14">
        <v>34</v>
      </c>
      <c r="I1295" s="12">
        <f>IFERROR(IF(T_PROD[[#This Row],[PREVISTO]]-T_PROD[[#This Row],[EFETIVO]]&lt; 0,0,T_PROD[[#This Row],[PREVISTO]]-T_PROD[[#This Row],[EFETIVO]] ),"")</f>
        <v>0</v>
      </c>
      <c r="J1295" s="15">
        <f>IFERROR(IF(T_PROD[[#This Row],[META]]&gt;0,(T_PROD[[#This Row],[META]]/T_PROD[[#This Row],[PREVISTO]]),""),"")</f>
        <v>20</v>
      </c>
      <c r="K1295" s="15">
        <f>IFERROR(IF(T_PROD[[#This Row],[PRODUÇÃO]]&gt;0,(T_PROD[[#This Row],[PRODUÇÃO]]/T_PROD[[#This Row],[EFETIVO]]),""),"")</f>
        <v>20.294117647058822</v>
      </c>
    </row>
    <row r="1296" spans="1:11" x14ac:dyDescent="0.3">
      <c r="A1296" s="11">
        <v>46237</v>
      </c>
      <c r="B1296" s="12" t="str">
        <f t="shared" si="142"/>
        <v>AGOSTO</v>
      </c>
      <c r="C1296" s="12" t="s">
        <v>32</v>
      </c>
      <c r="D1296" s="12" t="s">
        <v>12</v>
      </c>
      <c r="E1296" s="13">
        <v>55</v>
      </c>
      <c r="F1296" s="13">
        <v>60</v>
      </c>
      <c r="G1296" s="12">
        <v>5</v>
      </c>
      <c r="H1296" s="14">
        <v>5</v>
      </c>
      <c r="I1296" s="12">
        <f>IFERROR(IF(T_PROD[[#This Row],[PREVISTO]]-T_PROD[[#This Row],[EFETIVO]]&lt; 0,0,T_PROD[[#This Row],[PREVISTO]]-T_PROD[[#This Row],[EFETIVO]] ),"")</f>
        <v>0</v>
      </c>
      <c r="J1296" s="15">
        <f>IFERROR(IF(T_PROD[[#This Row],[META]]&gt;0,(T_PROD[[#This Row],[META]]/T_PROD[[#This Row],[PREVISTO]]),""),"")</f>
        <v>11</v>
      </c>
      <c r="K1296" s="15">
        <f>IFERROR(IF(T_PROD[[#This Row],[PRODUÇÃO]]&gt;0,(T_PROD[[#This Row],[PRODUÇÃO]]/T_PROD[[#This Row],[EFETIVO]]),""),"")</f>
        <v>12</v>
      </c>
    </row>
    <row r="1297" spans="1:11" x14ac:dyDescent="0.3">
      <c r="A1297" s="11">
        <v>46237</v>
      </c>
      <c r="B1297" s="12" t="str">
        <f t="shared" si="142"/>
        <v>AGOSTO</v>
      </c>
      <c r="C1297" s="12" t="s">
        <v>14</v>
      </c>
      <c r="D1297" s="12" t="s">
        <v>12</v>
      </c>
      <c r="E1297" s="13">
        <v>735</v>
      </c>
      <c r="F1297" s="13">
        <v>750</v>
      </c>
      <c r="G1297" s="12">
        <v>90</v>
      </c>
      <c r="H1297" s="14">
        <v>88</v>
      </c>
      <c r="I1297" s="12">
        <f>IFERROR(IF(T_PROD[[#This Row],[PREVISTO]]-T_PROD[[#This Row],[EFETIVO]]&lt; 0,0,T_PROD[[#This Row],[PREVISTO]]-T_PROD[[#This Row],[EFETIVO]] ),"")</f>
        <v>2</v>
      </c>
      <c r="J1297" s="15">
        <f>IFERROR(IF(T_PROD[[#This Row],[META]]&gt;0,(T_PROD[[#This Row],[META]]/T_PROD[[#This Row],[PREVISTO]]),""),"")</f>
        <v>8.1666666666666661</v>
      </c>
      <c r="K1297" s="15">
        <f>IFERROR(IF(T_PROD[[#This Row],[PRODUÇÃO]]&gt;0,(T_PROD[[#This Row],[PRODUÇÃO]]/T_PROD[[#This Row],[EFETIVO]]),""),"")</f>
        <v>8.5227272727272734</v>
      </c>
    </row>
    <row r="1298" spans="1:11" x14ac:dyDescent="0.3">
      <c r="A1298" s="11">
        <v>46238</v>
      </c>
      <c r="B1298" s="12" t="str">
        <f>UPPER(TEXT(A1298,"MMMM"))</f>
        <v>AGOSTO</v>
      </c>
      <c r="C1298" s="12" t="s">
        <v>15</v>
      </c>
      <c r="D1298" s="12" t="s">
        <v>12</v>
      </c>
      <c r="E1298" s="13">
        <v>105</v>
      </c>
      <c r="F1298" s="13">
        <v>72</v>
      </c>
      <c r="G1298" s="12">
        <v>7</v>
      </c>
      <c r="H1298" s="14">
        <v>7</v>
      </c>
      <c r="I1298" s="12">
        <f>IFERROR(IF(T_PROD[[#This Row],[PREVISTO]]-T_PROD[[#This Row],[EFETIVO]]&lt; 0,0,T_PROD[[#This Row],[PREVISTO]]-T_PROD[[#This Row],[EFETIVO]] ),"")</f>
        <v>0</v>
      </c>
      <c r="J1298" s="15">
        <f>IFERROR(IF(T_PROD[[#This Row],[META]]&gt;0,(T_PROD[[#This Row],[META]]/T_PROD[[#This Row],[PREVISTO]]),""),"")</f>
        <v>15</v>
      </c>
      <c r="K1298" s="15">
        <f>IFERROR(IF(T_PROD[[#This Row],[PRODUÇÃO]]&gt;0,(T_PROD[[#This Row],[PRODUÇÃO]]/T_PROD[[#This Row],[EFETIVO]]),""),"")</f>
        <v>10.285714285714286</v>
      </c>
    </row>
    <row r="1299" spans="1:11" x14ac:dyDescent="0.3">
      <c r="A1299" s="11">
        <v>46238</v>
      </c>
      <c r="B1299" s="12" t="str">
        <f t="shared" ref="B1299:B1306" si="143">UPPER(TEXT(A1299,"MMMM"))</f>
        <v>AGOSTO</v>
      </c>
      <c r="C1299" s="12" t="s">
        <v>16</v>
      </c>
      <c r="D1299" s="12" t="s">
        <v>12</v>
      </c>
      <c r="E1299" s="13">
        <v>204</v>
      </c>
      <c r="F1299" s="13">
        <v>255</v>
      </c>
      <c r="G1299" s="12">
        <v>6</v>
      </c>
      <c r="H1299" s="14">
        <v>6</v>
      </c>
      <c r="I1299" s="12">
        <f>IFERROR(IF(T_PROD[[#This Row],[PREVISTO]]-T_PROD[[#This Row],[EFETIVO]]&lt; 0,0,T_PROD[[#This Row],[PREVISTO]]-T_PROD[[#This Row],[EFETIVO]] ),"")</f>
        <v>0</v>
      </c>
      <c r="J1299" s="15">
        <f>IFERROR(IF(T_PROD[[#This Row],[META]]&gt;0,(T_PROD[[#This Row],[META]]/T_PROD[[#This Row],[PREVISTO]]),""),"")</f>
        <v>34</v>
      </c>
      <c r="K1299" s="15">
        <f>IFERROR(IF(T_PROD[[#This Row],[PRODUÇÃO]]&gt;0,(T_PROD[[#This Row],[PRODUÇÃO]]/T_PROD[[#This Row],[EFETIVO]]),""),"")</f>
        <v>42.5</v>
      </c>
    </row>
    <row r="1300" spans="1:11" x14ac:dyDescent="0.3">
      <c r="A1300" s="11">
        <v>46238</v>
      </c>
      <c r="B1300" s="12" t="str">
        <f t="shared" si="143"/>
        <v>AGOSTO</v>
      </c>
      <c r="C1300" s="12" t="s">
        <v>17</v>
      </c>
      <c r="D1300" s="12" t="s">
        <v>12</v>
      </c>
      <c r="E1300" s="13">
        <v>264</v>
      </c>
      <c r="F1300" s="13">
        <v>272</v>
      </c>
      <c r="G1300" s="12">
        <v>12</v>
      </c>
      <c r="H1300" s="14">
        <v>12</v>
      </c>
      <c r="I1300" s="12">
        <f>IFERROR(IF(T_PROD[[#This Row],[PREVISTO]]-T_PROD[[#This Row],[EFETIVO]]&lt; 0,0,T_PROD[[#This Row],[PREVISTO]]-T_PROD[[#This Row],[EFETIVO]] ),"")</f>
        <v>0</v>
      </c>
      <c r="J1300" s="15">
        <f>IFERROR(IF(T_PROD[[#This Row],[META]]&gt;0,(T_PROD[[#This Row],[META]]/T_PROD[[#This Row],[PREVISTO]]),""),"")</f>
        <v>22</v>
      </c>
      <c r="K1300" s="15">
        <f>IFERROR(IF(T_PROD[[#This Row],[PRODUÇÃO]]&gt;0,(T_PROD[[#This Row],[PRODUÇÃO]]/T_PROD[[#This Row],[EFETIVO]]),""),"")</f>
        <v>22.666666666666668</v>
      </c>
    </row>
    <row r="1301" spans="1:11" x14ac:dyDescent="0.3">
      <c r="A1301" s="11">
        <v>46238</v>
      </c>
      <c r="B1301" s="12" t="str">
        <f t="shared" si="143"/>
        <v>AGOSTO</v>
      </c>
      <c r="C1301" s="12" t="s">
        <v>18</v>
      </c>
      <c r="D1301" s="12" t="s">
        <v>12</v>
      </c>
      <c r="E1301" s="13"/>
      <c r="F1301" s="13"/>
      <c r="G1301" s="12"/>
      <c r="H1301" s="14"/>
      <c r="I1301" s="12">
        <f>IFERROR(IF(T_PROD[[#This Row],[PREVISTO]]-T_PROD[[#This Row],[EFETIVO]]&lt; 0,0,T_PROD[[#This Row],[PREVISTO]]-T_PROD[[#This Row],[EFETIVO]] ),"")</f>
        <v>0</v>
      </c>
      <c r="J1301" s="15" t="str">
        <f>IFERROR(IF(T_PROD[[#This Row],[META]]&gt;0,(T_PROD[[#This Row],[META]]/T_PROD[[#This Row],[PREVISTO]]),""),"")</f>
        <v/>
      </c>
      <c r="K1301" s="15" t="str">
        <f>IFERROR(IF(T_PROD[[#This Row],[PRODUÇÃO]]&gt;0,(T_PROD[[#This Row],[PRODUÇÃO]]/T_PROD[[#This Row],[EFETIVO]]),""),"")</f>
        <v/>
      </c>
    </row>
    <row r="1302" spans="1:11" x14ac:dyDescent="0.3">
      <c r="A1302" s="11">
        <v>46238</v>
      </c>
      <c r="B1302" s="12" t="str">
        <f t="shared" si="143"/>
        <v>AGOSTO</v>
      </c>
      <c r="C1302" s="12" t="s">
        <v>19</v>
      </c>
      <c r="D1302" s="12" t="s">
        <v>12</v>
      </c>
      <c r="E1302" s="13"/>
      <c r="F1302" s="13"/>
      <c r="G1302" s="12"/>
      <c r="H1302" s="14"/>
      <c r="I1302" s="12">
        <f>IFERROR(IF(T_PROD[[#This Row],[PREVISTO]]-T_PROD[[#This Row],[EFETIVO]]&lt; 0,0,T_PROD[[#This Row],[PREVISTO]]-T_PROD[[#This Row],[EFETIVO]] ),"")</f>
        <v>0</v>
      </c>
      <c r="J1302" s="15" t="str">
        <f>IFERROR(IF(T_PROD[[#This Row],[META]]&gt;0,(T_PROD[[#This Row],[META]]/T_PROD[[#This Row],[PREVISTO]]),""),"")</f>
        <v/>
      </c>
      <c r="K1302" s="15" t="str">
        <f>IFERROR(IF(T_PROD[[#This Row],[PRODUÇÃO]]&gt;0,(T_PROD[[#This Row],[PRODUÇÃO]]/T_PROD[[#This Row],[EFETIVO]]),""),"")</f>
        <v/>
      </c>
    </row>
    <row r="1303" spans="1:11" x14ac:dyDescent="0.3">
      <c r="A1303" s="11">
        <v>46238</v>
      </c>
      <c r="B1303" s="12" t="str">
        <f t="shared" si="143"/>
        <v>AGOSTO</v>
      </c>
      <c r="C1303" s="12" t="s">
        <v>20</v>
      </c>
      <c r="D1303" s="12" t="s">
        <v>12</v>
      </c>
      <c r="E1303" s="13">
        <v>573</v>
      </c>
      <c r="F1303" s="13">
        <v>599</v>
      </c>
      <c r="G1303" s="12">
        <v>90</v>
      </c>
      <c r="H1303" s="14">
        <v>90</v>
      </c>
      <c r="I1303" s="12">
        <f>IFERROR(IF(T_PROD[[#This Row],[PREVISTO]]-T_PROD[[#This Row],[EFETIVO]]&lt; 0,0,T_PROD[[#This Row],[PREVISTO]]-T_PROD[[#This Row],[EFETIVO]] ),"")</f>
        <v>0</v>
      </c>
      <c r="J1303" s="15">
        <f>IFERROR(IF(T_PROD[[#This Row],[META]]&gt;0,(T_PROD[[#This Row],[META]]/T_PROD[[#This Row],[PREVISTO]]),""),"")</f>
        <v>6.3666666666666663</v>
      </c>
      <c r="K1303" s="15">
        <f>IFERROR(IF(T_PROD[[#This Row],[PRODUÇÃO]]&gt;0,(T_PROD[[#This Row],[PRODUÇÃO]]/T_PROD[[#This Row],[EFETIVO]]),""),"")</f>
        <v>6.6555555555555559</v>
      </c>
    </row>
    <row r="1304" spans="1:11" x14ac:dyDescent="0.3">
      <c r="A1304" s="11">
        <v>46238</v>
      </c>
      <c r="B1304" s="12" t="str">
        <f t="shared" si="143"/>
        <v>AGOSTO</v>
      </c>
      <c r="C1304" s="12" t="s">
        <v>11</v>
      </c>
      <c r="D1304" s="12" t="s">
        <v>12</v>
      </c>
      <c r="E1304" s="13">
        <v>640</v>
      </c>
      <c r="F1304" s="13">
        <v>580</v>
      </c>
      <c r="G1304" s="12">
        <v>32</v>
      </c>
      <c r="H1304" s="14">
        <v>32</v>
      </c>
      <c r="I1304" s="12">
        <f>IFERROR(IF(T_PROD[[#This Row],[PREVISTO]]-T_PROD[[#This Row],[EFETIVO]]&lt; 0,0,T_PROD[[#This Row],[PREVISTO]]-T_PROD[[#This Row],[EFETIVO]] ),"")</f>
        <v>0</v>
      </c>
      <c r="J1304" s="15">
        <f>IFERROR(IF(T_PROD[[#This Row],[META]]&gt;0,(T_PROD[[#This Row],[META]]/T_PROD[[#This Row],[PREVISTO]]),""),"")</f>
        <v>20</v>
      </c>
      <c r="K1304" s="15">
        <f>IFERROR(IF(T_PROD[[#This Row],[PRODUÇÃO]]&gt;0,(T_PROD[[#This Row],[PRODUÇÃO]]/T_PROD[[#This Row],[EFETIVO]]),""),"")</f>
        <v>18.125</v>
      </c>
    </row>
    <row r="1305" spans="1:11" x14ac:dyDescent="0.3">
      <c r="A1305" s="11">
        <v>46238</v>
      </c>
      <c r="B1305" s="12" t="str">
        <f t="shared" si="143"/>
        <v>AGOSTO</v>
      </c>
      <c r="C1305" s="12" t="s">
        <v>32</v>
      </c>
      <c r="D1305" s="12" t="s">
        <v>12</v>
      </c>
      <c r="E1305" s="13">
        <v>77</v>
      </c>
      <c r="F1305" s="13">
        <v>62</v>
      </c>
      <c r="G1305" s="12">
        <v>7</v>
      </c>
      <c r="H1305" s="14">
        <v>7</v>
      </c>
      <c r="I1305" s="12">
        <f>IFERROR(IF(T_PROD[[#This Row],[PREVISTO]]-T_PROD[[#This Row],[EFETIVO]]&lt; 0,0,T_PROD[[#This Row],[PREVISTO]]-T_PROD[[#This Row],[EFETIVO]] ),"")</f>
        <v>0</v>
      </c>
      <c r="J1305" s="15">
        <f>IFERROR(IF(T_PROD[[#This Row],[META]]&gt;0,(T_PROD[[#This Row],[META]]/T_PROD[[#This Row],[PREVISTO]]),""),"")</f>
        <v>11</v>
      </c>
      <c r="K1305" s="15">
        <f>IFERROR(IF(T_PROD[[#This Row],[PRODUÇÃO]]&gt;0,(T_PROD[[#This Row],[PRODUÇÃO]]/T_PROD[[#This Row],[EFETIVO]]),""),"")</f>
        <v>8.8571428571428577</v>
      </c>
    </row>
    <row r="1306" spans="1:11" x14ac:dyDescent="0.3">
      <c r="A1306" s="11">
        <v>46238</v>
      </c>
      <c r="B1306" s="12" t="str">
        <f t="shared" si="143"/>
        <v>AGOSTO</v>
      </c>
      <c r="C1306" s="12" t="s">
        <v>14</v>
      </c>
      <c r="D1306" s="12" t="s">
        <v>12</v>
      </c>
      <c r="E1306" s="13">
        <v>717</v>
      </c>
      <c r="F1306" s="13">
        <v>642</v>
      </c>
      <c r="G1306" s="12">
        <v>90</v>
      </c>
      <c r="H1306" s="14">
        <v>90</v>
      </c>
      <c r="I1306" s="12">
        <f>IFERROR(IF(T_PROD[[#This Row],[PREVISTO]]-T_PROD[[#This Row],[EFETIVO]]&lt; 0,0,T_PROD[[#This Row],[PREVISTO]]-T_PROD[[#This Row],[EFETIVO]] ),"")</f>
        <v>0</v>
      </c>
      <c r="J1306" s="15">
        <f>IFERROR(IF(T_PROD[[#This Row],[META]]&gt;0,(T_PROD[[#This Row],[META]]/T_PROD[[#This Row],[PREVISTO]]),""),"")</f>
        <v>7.9666666666666668</v>
      </c>
      <c r="K1306" s="15">
        <f>IFERROR(IF(T_PROD[[#This Row],[PRODUÇÃO]]&gt;0,(T_PROD[[#This Row],[PRODUÇÃO]]/T_PROD[[#This Row],[EFETIVO]]),""),"")</f>
        <v>7.1333333333333337</v>
      </c>
    </row>
    <row r="1307" spans="1:11" x14ac:dyDescent="0.3">
      <c r="A1307" s="11">
        <v>46239</v>
      </c>
      <c r="B1307" s="12" t="str">
        <f>UPPER(TEXT(A1307,"MMMM"))</f>
        <v>AGOSTO</v>
      </c>
      <c r="C1307" s="12" t="s">
        <v>15</v>
      </c>
      <c r="D1307" s="12" t="s">
        <v>12</v>
      </c>
      <c r="E1307" s="13">
        <v>105</v>
      </c>
      <c r="F1307" s="13">
        <v>70</v>
      </c>
      <c r="G1307" s="12">
        <v>7</v>
      </c>
      <c r="H1307" s="14">
        <v>7</v>
      </c>
      <c r="I1307" s="12">
        <f>IFERROR(IF(T_PROD[[#This Row],[PREVISTO]]-T_PROD[[#This Row],[EFETIVO]]&lt; 0,0,T_PROD[[#This Row],[PREVISTO]]-T_PROD[[#This Row],[EFETIVO]] ),"")</f>
        <v>0</v>
      </c>
      <c r="J1307" s="15">
        <f>IFERROR(IF(T_PROD[[#This Row],[META]]&gt;0,(T_PROD[[#This Row],[META]]/T_PROD[[#This Row],[PREVISTO]]),""),"")</f>
        <v>15</v>
      </c>
      <c r="K1307" s="15">
        <f>IFERROR(IF(T_PROD[[#This Row],[PRODUÇÃO]]&gt;0,(T_PROD[[#This Row],[PRODUÇÃO]]/T_PROD[[#This Row],[EFETIVO]]),""),"")</f>
        <v>10</v>
      </c>
    </row>
    <row r="1308" spans="1:11" x14ac:dyDescent="0.3">
      <c r="A1308" s="11">
        <v>46239</v>
      </c>
      <c r="B1308" s="12" t="str">
        <f t="shared" ref="B1308:B1315" si="144">UPPER(TEXT(A1308,"MMMM"))</f>
        <v>AGOSTO</v>
      </c>
      <c r="C1308" s="12" t="s">
        <v>16</v>
      </c>
      <c r="D1308" s="12" t="s">
        <v>12</v>
      </c>
      <c r="E1308" s="13">
        <v>204</v>
      </c>
      <c r="F1308" s="13">
        <v>270</v>
      </c>
      <c r="G1308" s="12">
        <v>6</v>
      </c>
      <c r="H1308" s="14">
        <v>6</v>
      </c>
      <c r="I1308" s="12">
        <f>IFERROR(IF(T_PROD[[#This Row],[PREVISTO]]-T_PROD[[#This Row],[EFETIVO]]&lt; 0,0,T_PROD[[#This Row],[PREVISTO]]-T_PROD[[#This Row],[EFETIVO]] ),"")</f>
        <v>0</v>
      </c>
      <c r="J1308" s="15">
        <f>IFERROR(IF(T_PROD[[#This Row],[META]]&gt;0,(T_PROD[[#This Row],[META]]/T_PROD[[#This Row],[PREVISTO]]),""),"")</f>
        <v>34</v>
      </c>
      <c r="K1308" s="15">
        <f>IFERROR(IF(T_PROD[[#This Row],[PRODUÇÃO]]&gt;0,(T_PROD[[#This Row],[PRODUÇÃO]]/T_PROD[[#This Row],[EFETIVO]]),""),"")</f>
        <v>45</v>
      </c>
    </row>
    <row r="1309" spans="1:11" x14ac:dyDescent="0.3">
      <c r="A1309" s="11">
        <v>46239</v>
      </c>
      <c r="B1309" s="12" t="str">
        <f t="shared" si="144"/>
        <v>AGOSTO</v>
      </c>
      <c r="C1309" s="12" t="s">
        <v>17</v>
      </c>
      <c r="D1309" s="12" t="s">
        <v>12</v>
      </c>
      <c r="E1309" s="13">
        <v>264</v>
      </c>
      <c r="F1309" s="13">
        <v>250</v>
      </c>
      <c r="G1309" s="12">
        <v>12</v>
      </c>
      <c r="H1309" s="14">
        <v>12</v>
      </c>
      <c r="I1309" s="12">
        <f>IFERROR(IF(T_PROD[[#This Row],[PREVISTO]]-T_PROD[[#This Row],[EFETIVO]]&lt; 0,0,T_PROD[[#This Row],[PREVISTO]]-T_PROD[[#This Row],[EFETIVO]] ),"")</f>
        <v>0</v>
      </c>
      <c r="J1309" s="15">
        <f>IFERROR(IF(T_PROD[[#This Row],[META]]&gt;0,(T_PROD[[#This Row],[META]]/T_PROD[[#This Row],[PREVISTO]]),""),"")</f>
        <v>22</v>
      </c>
      <c r="K1309" s="15">
        <f>IFERROR(IF(T_PROD[[#This Row],[PRODUÇÃO]]&gt;0,(T_PROD[[#This Row],[PRODUÇÃO]]/T_PROD[[#This Row],[EFETIVO]]),""),"")</f>
        <v>20.833333333333332</v>
      </c>
    </row>
    <row r="1310" spans="1:11" x14ac:dyDescent="0.3">
      <c r="A1310" s="11">
        <v>46239</v>
      </c>
      <c r="B1310" s="12" t="str">
        <f t="shared" si="144"/>
        <v>AGOSTO</v>
      </c>
      <c r="C1310" s="12" t="s">
        <v>18</v>
      </c>
      <c r="D1310" s="12" t="s">
        <v>12</v>
      </c>
      <c r="E1310" s="13"/>
      <c r="F1310" s="13"/>
      <c r="G1310" s="12"/>
      <c r="H1310" s="14"/>
      <c r="I1310" s="12">
        <f>IFERROR(IF(T_PROD[[#This Row],[PREVISTO]]-T_PROD[[#This Row],[EFETIVO]]&lt; 0,0,T_PROD[[#This Row],[PREVISTO]]-T_PROD[[#This Row],[EFETIVO]] ),"")</f>
        <v>0</v>
      </c>
      <c r="J1310" s="15" t="str">
        <f>IFERROR(IF(T_PROD[[#This Row],[META]]&gt;0,(T_PROD[[#This Row],[META]]/T_PROD[[#This Row],[PREVISTO]]),""),"")</f>
        <v/>
      </c>
      <c r="K1310" s="15" t="str">
        <f>IFERROR(IF(T_PROD[[#This Row],[PRODUÇÃO]]&gt;0,(T_PROD[[#This Row],[PRODUÇÃO]]/T_PROD[[#This Row],[EFETIVO]]),""),"")</f>
        <v/>
      </c>
    </row>
    <row r="1311" spans="1:11" x14ac:dyDescent="0.3">
      <c r="A1311" s="11">
        <v>46239</v>
      </c>
      <c r="B1311" s="12" t="str">
        <f t="shared" si="144"/>
        <v>AGOSTO</v>
      </c>
      <c r="C1311" s="12" t="s">
        <v>19</v>
      </c>
      <c r="D1311" s="12" t="s">
        <v>12</v>
      </c>
      <c r="E1311" s="13"/>
      <c r="F1311" s="13"/>
      <c r="G1311" s="12"/>
      <c r="H1311" s="14"/>
      <c r="I1311" s="12">
        <f>IFERROR(IF(T_PROD[[#This Row],[PREVISTO]]-T_PROD[[#This Row],[EFETIVO]]&lt; 0,0,T_PROD[[#This Row],[PREVISTO]]-T_PROD[[#This Row],[EFETIVO]] ),"")</f>
        <v>0</v>
      </c>
      <c r="J1311" s="15" t="str">
        <f>IFERROR(IF(T_PROD[[#This Row],[META]]&gt;0,(T_PROD[[#This Row],[META]]/T_PROD[[#This Row],[PREVISTO]]),""),"")</f>
        <v/>
      </c>
      <c r="K1311" s="15" t="str">
        <f>IFERROR(IF(T_PROD[[#This Row],[PRODUÇÃO]]&gt;0,(T_PROD[[#This Row],[PRODUÇÃO]]/T_PROD[[#This Row],[EFETIVO]]),""),"")</f>
        <v/>
      </c>
    </row>
    <row r="1312" spans="1:11" x14ac:dyDescent="0.3">
      <c r="A1312" s="11">
        <v>46239</v>
      </c>
      <c r="B1312" s="12" t="str">
        <f t="shared" si="144"/>
        <v>AGOSTO</v>
      </c>
      <c r="C1312" s="12" t="s">
        <v>20</v>
      </c>
      <c r="D1312" s="12" t="s">
        <v>12</v>
      </c>
      <c r="E1312" s="13">
        <v>573</v>
      </c>
      <c r="F1312" s="13">
        <v>590</v>
      </c>
      <c r="G1312" s="12">
        <v>90</v>
      </c>
      <c r="H1312" s="14">
        <v>90</v>
      </c>
      <c r="I1312" s="12">
        <f>IFERROR(IF(T_PROD[[#This Row],[PREVISTO]]-T_PROD[[#This Row],[EFETIVO]]&lt; 0,0,T_PROD[[#This Row],[PREVISTO]]-T_PROD[[#This Row],[EFETIVO]] ),"")</f>
        <v>0</v>
      </c>
      <c r="J1312" s="15">
        <f>IFERROR(IF(T_PROD[[#This Row],[META]]&gt;0,(T_PROD[[#This Row],[META]]/T_PROD[[#This Row],[PREVISTO]]),""),"")</f>
        <v>6.3666666666666663</v>
      </c>
      <c r="K1312" s="15">
        <f>IFERROR(IF(T_PROD[[#This Row],[PRODUÇÃO]]&gt;0,(T_PROD[[#This Row],[PRODUÇÃO]]/T_PROD[[#This Row],[EFETIVO]]),""),"")</f>
        <v>6.5555555555555554</v>
      </c>
    </row>
    <row r="1313" spans="1:11" x14ac:dyDescent="0.3">
      <c r="A1313" s="11">
        <v>46239</v>
      </c>
      <c r="B1313" s="12" t="str">
        <f t="shared" si="144"/>
        <v>AGOSTO</v>
      </c>
      <c r="C1313" s="12" t="s">
        <v>11</v>
      </c>
      <c r="D1313" s="12" t="s">
        <v>12</v>
      </c>
      <c r="E1313" s="13">
        <v>680</v>
      </c>
      <c r="F1313" s="13">
        <v>690</v>
      </c>
      <c r="G1313" s="12">
        <v>34</v>
      </c>
      <c r="H1313" s="14">
        <v>34</v>
      </c>
      <c r="I1313" s="12">
        <f>IFERROR(IF(T_PROD[[#This Row],[PREVISTO]]-T_PROD[[#This Row],[EFETIVO]]&lt; 0,0,T_PROD[[#This Row],[PREVISTO]]-T_PROD[[#This Row],[EFETIVO]] ),"")</f>
        <v>0</v>
      </c>
      <c r="J1313" s="15">
        <f>IFERROR(IF(T_PROD[[#This Row],[META]]&gt;0,(T_PROD[[#This Row],[META]]/T_PROD[[#This Row],[PREVISTO]]),""),"")</f>
        <v>20</v>
      </c>
      <c r="K1313" s="15">
        <f>IFERROR(IF(T_PROD[[#This Row],[PRODUÇÃO]]&gt;0,(T_PROD[[#This Row],[PRODUÇÃO]]/T_PROD[[#This Row],[EFETIVO]]),""),"")</f>
        <v>20.294117647058822</v>
      </c>
    </row>
    <row r="1314" spans="1:11" x14ac:dyDescent="0.3">
      <c r="A1314" s="11">
        <v>46239</v>
      </c>
      <c r="B1314" s="12" t="str">
        <f t="shared" si="144"/>
        <v>AGOSTO</v>
      </c>
      <c r="C1314" s="12" t="s">
        <v>32</v>
      </c>
      <c r="D1314" s="12" t="s">
        <v>12</v>
      </c>
      <c r="E1314" s="13">
        <v>77</v>
      </c>
      <c r="F1314" s="13">
        <v>73</v>
      </c>
      <c r="G1314" s="12">
        <v>7</v>
      </c>
      <c r="H1314" s="14">
        <v>7</v>
      </c>
      <c r="I1314" s="12">
        <f>IFERROR(IF(T_PROD[[#This Row],[PREVISTO]]-T_PROD[[#This Row],[EFETIVO]]&lt; 0,0,T_PROD[[#This Row],[PREVISTO]]-T_PROD[[#This Row],[EFETIVO]] ),"")</f>
        <v>0</v>
      </c>
      <c r="J1314" s="15">
        <f>IFERROR(IF(T_PROD[[#This Row],[META]]&gt;0,(T_PROD[[#This Row],[META]]/T_PROD[[#This Row],[PREVISTO]]),""),"")</f>
        <v>11</v>
      </c>
      <c r="K1314" s="15">
        <f>IFERROR(IF(T_PROD[[#This Row],[PRODUÇÃO]]&gt;0,(T_PROD[[#This Row],[PRODUÇÃO]]/T_PROD[[#This Row],[EFETIVO]]),""),"")</f>
        <v>10.428571428571429</v>
      </c>
    </row>
    <row r="1315" spans="1:11" x14ac:dyDescent="0.3">
      <c r="A1315" s="11">
        <v>46239</v>
      </c>
      <c r="B1315" s="12" t="str">
        <f t="shared" si="144"/>
        <v>AGOSTO</v>
      </c>
      <c r="C1315" s="12" t="s">
        <v>14</v>
      </c>
      <c r="D1315" s="12" t="s">
        <v>12</v>
      </c>
      <c r="E1315" s="13">
        <v>757</v>
      </c>
      <c r="F1315" s="13">
        <v>763</v>
      </c>
      <c r="G1315" s="12">
        <v>90</v>
      </c>
      <c r="H1315" s="14">
        <v>88</v>
      </c>
      <c r="I1315" s="12">
        <f>IFERROR(IF(T_PROD[[#This Row],[PREVISTO]]-T_PROD[[#This Row],[EFETIVO]]&lt; 0,0,T_PROD[[#This Row],[PREVISTO]]-T_PROD[[#This Row],[EFETIVO]] ),"")</f>
        <v>2</v>
      </c>
      <c r="J1315" s="15">
        <f>IFERROR(IF(T_PROD[[#This Row],[META]]&gt;0,(T_PROD[[#This Row],[META]]/T_PROD[[#This Row],[PREVISTO]]),""),"")</f>
        <v>8.4111111111111114</v>
      </c>
      <c r="K1315" s="15">
        <f>IFERROR(IF(T_PROD[[#This Row],[PRODUÇÃO]]&gt;0,(T_PROD[[#This Row],[PRODUÇÃO]]/T_PROD[[#This Row],[EFETIVO]]),""),"")</f>
        <v>8.670454545454545</v>
      </c>
    </row>
    <row r="1316" spans="1:11" x14ac:dyDescent="0.3">
      <c r="A1316" s="11">
        <v>46240</v>
      </c>
      <c r="B1316" s="12" t="str">
        <f>UPPER(TEXT(A1316,"MMMM"))</f>
        <v>AGOSTO</v>
      </c>
      <c r="C1316" s="12" t="s">
        <v>15</v>
      </c>
      <c r="D1316" s="12" t="s">
        <v>12</v>
      </c>
      <c r="E1316" s="13">
        <v>105</v>
      </c>
      <c r="F1316" s="13">
        <v>62</v>
      </c>
      <c r="G1316" s="12">
        <v>7</v>
      </c>
      <c r="H1316" s="14">
        <v>7</v>
      </c>
      <c r="I1316" s="12">
        <f>IFERROR(IF(T_PROD[[#This Row],[PREVISTO]]-T_PROD[[#This Row],[EFETIVO]]&lt; 0,0,T_PROD[[#This Row],[PREVISTO]]-T_PROD[[#This Row],[EFETIVO]] ),"")</f>
        <v>0</v>
      </c>
      <c r="J1316" s="15">
        <f>IFERROR(IF(T_PROD[[#This Row],[META]]&gt;0,(T_PROD[[#This Row],[META]]/T_PROD[[#This Row],[PREVISTO]]),""),"")</f>
        <v>15</v>
      </c>
      <c r="K1316" s="15">
        <f>IFERROR(IF(T_PROD[[#This Row],[PRODUÇÃO]]&gt;0,(T_PROD[[#This Row],[PRODUÇÃO]]/T_PROD[[#This Row],[EFETIVO]]),""),"")</f>
        <v>8.8571428571428577</v>
      </c>
    </row>
    <row r="1317" spans="1:11" x14ac:dyDescent="0.3">
      <c r="A1317" s="11">
        <v>46240</v>
      </c>
      <c r="B1317" s="12" t="str">
        <f t="shared" ref="B1317:B1324" si="145">UPPER(TEXT(A1317,"MMMM"))</f>
        <v>AGOSTO</v>
      </c>
      <c r="C1317" s="12" t="s">
        <v>16</v>
      </c>
      <c r="D1317" s="12" t="s">
        <v>12</v>
      </c>
      <c r="E1317" s="13">
        <v>204</v>
      </c>
      <c r="F1317" s="13">
        <v>173</v>
      </c>
      <c r="G1317" s="12">
        <v>6</v>
      </c>
      <c r="H1317" s="14">
        <v>6</v>
      </c>
      <c r="I1317" s="12">
        <f>IFERROR(IF(T_PROD[[#This Row],[PREVISTO]]-T_PROD[[#This Row],[EFETIVO]]&lt; 0,0,T_PROD[[#This Row],[PREVISTO]]-T_PROD[[#This Row],[EFETIVO]] ),"")</f>
        <v>0</v>
      </c>
      <c r="J1317" s="15">
        <f>IFERROR(IF(T_PROD[[#This Row],[META]]&gt;0,(T_PROD[[#This Row],[META]]/T_PROD[[#This Row],[PREVISTO]]),""),"")</f>
        <v>34</v>
      </c>
      <c r="K1317" s="15">
        <f>IFERROR(IF(T_PROD[[#This Row],[PRODUÇÃO]]&gt;0,(T_PROD[[#This Row],[PRODUÇÃO]]/T_PROD[[#This Row],[EFETIVO]]),""),"")</f>
        <v>28.833333333333332</v>
      </c>
    </row>
    <row r="1318" spans="1:11" x14ac:dyDescent="0.3">
      <c r="A1318" s="11">
        <v>46240</v>
      </c>
      <c r="B1318" s="12" t="str">
        <f t="shared" si="145"/>
        <v>AGOSTO</v>
      </c>
      <c r="C1318" s="12" t="s">
        <v>17</v>
      </c>
      <c r="D1318" s="12" t="s">
        <v>12</v>
      </c>
      <c r="E1318" s="13">
        <v>264</v>
      </c>
      <c r="F1318" s="13">
        <v>70</v>
      </c>
      <c r="G1318" s="12">
        <v>12</v>
      </c>
      <c r="H1318" s="14">
        <v>12</v>
      </c>
      <c r="I1318" s="12">
        <f>IFERROR(IF(T_PROD[[#This Row],[PREVISTO]]-T_PROD[[#This Row],[EFETIVO]]&lt; 0,0,T_PROD[[#This Row],[PREVISTO]]-T_PROD[[#This Row],[EFETIVO]] ),"")</f>
        <v>0</v>
      </c>
      <c r="J1318" s="15">
        <f>IFERROR(IF(T_PROD[[#This Row],[META]]&gt;0,(T_PROD[[#This Row],[META]]/T_PROD[[#This Row],[PREVISTO]]),""),"")</f>
        <v>22</v>
      </c>
      <c r="K1318" s="15">
        <f>IFERROR(IF(T_PROD[[#This Row],[PRODUÇÃO]]&gt;0,(T_PROD[[#This Row],[PRODUÇÃO]]/T_PROD[[#This Row],[EFETIVO]]),""),"")</f>
        <v>5.833333333333333</v>
      </c>
    </row>
    <row r="1319" spans="1:11" x14ac:dyDescent="0.3">
      <c r="A1319" s="11">
        <v>46240</v>
      </c>
      <c r="B1319" s="12" t="str">
        <f t="shared" si="145"/>
        <v>AGOSTO</v>
      </c>
      <c r="C1319" s="12" t="s">
        <v>18</v>
      </c>
      <c r="D1319" s="12" t="s">
        <v>12</v>
      </c>
      <c r="E1319" s="13"/>
      <c r="F1319" s="13"/>
      <c r="G1319" s="12"/>
      <c r="H1319" s="14"/>
      <c r="I1319" s="12">
        <f>IFERROR(IF(T_PROD[[#This Row],[PREVISTO]]-T_PROD[[#This Row],[EFETIVO]]&lt; 0,0,T_PROD[[#This Row],[PREVISTO]]-T_PROD[[#This Row],[EFETIVO]] ),"")</f>
        <v>0</v>
      </c>
      <c r="J1319" s="15" t="str">
        <f>IFERROR(IF(T_PROD[[#This Row],[META]]&gt;0,(T_PROD[[#This Row],[META]]/T_PROD[[#This Row],[PREVISTO]]),""),"")</f>
        <v/>
      </c>
      <c r="K1319" s="15" t="str">
        <f>IFERROR(IF(T_PROD[[#This Row],[PRODUÇÃO]]&gt;0,(T_PROD[[#This Row],[PRODUÇÃO]]/T_PROD[[#This Row],[EFETIVO]]),""),"")</f>
        <v/>
      </c>
    </row>
    <row r="1320" spans="1:11" x14ac:dyDescent="0.3">
      <c r="A1320" s="11">
        <v>46240</v>
      </c>
      <c r="B1320" s="12" t="str">
        <f t="shared" si="145"/>
        <v>AGOSTO</v>
      </c>
      <c r="C1320" s="12" t="s">
        <v>19</v>
      </c>
      <c r="D1320" s="12" t="s">
        <v>12</v>
      </c>
      <c r="E1320" s="13"/>
      <c r="F1320" s="13"/>
      <c r="G1320" s="12"/>
      <c r="H1320" s="14"/>
      <c r="I1320" s="12">
        <f>IFERROR(IF(T_PROD[[#This Row],[PREVISTO]]-T_PROD[[#This Row],[EFETIVO]]&lt; 0,0,T_PROD[[#This Row],[PREVISTO]]-T_PROD[[#This Row],[EFETIVO]] ),"")</f>
        <v>0</v>
      </c>
      <c r="J1320" s="15" t="str">
        <f>IFERROR(IF(T_PROD[[#This Row],[META]]&gt;0,(T_PROD[[#This Row],[META]]/T_PROD[[#This Row],[PREVISTO]]),""),"")</f>
        <v/>
      </c>
      <c r="K1320" s="15" t="str">
        <f>IFERROR(IF(T_PROD[[#This Row],[PRODUÇÃO]]&gt;0,(T_PROD[[#This Row],[PRODUÇÃO]]/T_PROD[[#This Row],[EFETIVO]]),""),"")</f>
        <v/>
      </c>
    </row>
    <row r="1321" spans="1:11" x14ac:dyDescent="0.3">
      <c r="A1321" s="11">
        <v>46240</v>
      </c>
      <c r="B1321" s="12" t="str">
        <f t="shared" si="145"/>
        <v>AGOSTO</v>
      </c>
      <c r="C1321" s="12" t="s">
        <v>20</v>
      </c>
      <c r="D1321" s="12" t="s">
        <v>12</v>
      </c>
      <c r="E1321" s="13">
        <v>573</v>
      </c>
      <c r="F1321" s="13">
        <v>305</v>
      </c>
      <c r="G1321" s="12">
        <v>90</v>
      </c>
      <c r="H1321" s="14">
        <v>90</v>
      </c>
      <c r="I1321" s="12">
        <f>IFERROR(IF(T_PROD[[#This Row],[PREVISTO]]-T_PROD[[#This Row],[EFETIVO]]&lt; 0,0,T_PROD[[#This Row],[PREVISTO]]-T_PROD[[#This Row],[EFETIVO]] ),"")</f>
        <v>0</v>
      </c>
      <c r="J1321" s="15">
        <f>IFERROR(IF(T_PROD[[#This Row],[META]]&gt;0,(T_PROD[[#This Row],[META]]/T_PROD[[#This Row],[PREVISTO]]),""),"")</f>
        <v>6.3666666666666663</v>
      </c>
      <c r="K1321" s="15">
        <f>IFERROR(IF(T_PROD[[#This Row],[PRODUÇÃO]]&gt;0,(T_PROD[[#This Row],[PRODUÇÃO]]/T_PROD[[#This Row],[EFETIVO]]),""),"")</f>
        <v>3.3888888888888888</v>
      </c>
    </row>
    <row r="1322" spans="1:11" x14ac:dyDescent="0.3">
      <c r="A1322" s="11">
        <v>46240</v>
      </c>
      <c r="B1322" s="12" t="str">
        <f t="shared" si="145"/>
        <v>AGOSTO</v>
      </c>
      <c r="C1322" s="12" t="s">
        <v>11</v>
      </c>
      <c r="D1322" s="12" t="s">
        <v>12</v>
      </c>
      <c r="E1322" s="13">
        <v>660</v>
      </c>
      <c r="F1322" s="13">
        <v>700</v>
      </c>
      <c r="G1322" s="12">
        <v>33</v>
      </c>
      <c r="H1322" s="14">
        <v>33</v>
      </c>
      <c r="I1322" s="12">
        <f>IFERROR(IF(T_PROD[[#This Row],[PREVISTO]]-T_PROD[[#This Row],[EFETIVO]]&lt; 0,0,T_PROD[[#This Row],[PREVISTO]]-T_PROD[[#This Row],[EFETIVO]] ),"")</f>
        <v>0</v>
      </c>
      <c r="J1322" s="15">
        <f>IFERROR(IF(T_PROD[[#This Row],[META]]&gt;0,(T_PROD[[#This Row],[META]]/T_PROD[[#This Row],[PREVISTO]]),""),"")</f>
        <v>20</v>
      </c>
      <c r="K1322" s="15">
        <f>IFERROR(IF(T_PROD[[#This Row],[PRODUÇÃO]]&gt;0,(T_PROD[[#This Row],[PRODUÇÃO]]/T_PROD[[#This Row],[EFETIVO]]),""),"")</f>
        <v>21.212121212121211</v>
      </c>
    </row>
    <row r="1323" spans="1:11" x14ac:dyDescent="0.3">
      <c r="A1323" s="11">
        <v>46240</v>
      </c>
      <c r="B1323" s="12" t="str">
        <f t="shared" si="145"/>
        <v>AGOSTO</v>
      </c>
      <c r="C1323" s="12" t="s">
        <v>32</v>
      </c>
      <c r="D1323" s="12" t="s">
        <v>12</v>
      </c>
      <c r="E1323" s="13">
        <v>77</v>
      </c>
      <c r="F1323" s="13">
        <v>60</v>
      </c>
      <c r="G1323" s="12">
        <v>7</v>
      </c>
      <c r="H1323" s="14">
        <v>7</v>
      </c>
      <c r="I1323" s="12">
        <f>IFERROR(IF(T_PROD[[#This Row],[PREVISTO]]-T_PROD[[#This Row],[EFETIVO]]&lt; 0,0,T_PROD[[#This Row],[PREVISTO]]-T_PROD[[#This Row],[EFETIVO]] ),"")</f>
        <v>0</v>
      </c>
      <c r="J1323" s="15">
        <f>IFERROR(IF(T_PROD[[#This Row],[META]]&gt;0,(T_PROD[[#This Row],[META]]/T_PROD[[#This Row],[PREVISTO]]),""),"")</f>
        <v>11</v>
      </c>
      <c r="K1323" s="15">
        <f>IFERROR(IF(T_PROD[[#This Row],[PRODUÇÃO]]&gt;0,(T_PROD[[#This Row],[PRODUÇÃO]]/T_PROD[[#This Row],[EFETIVO]]),""),"")</f>
        <v>8.5714285714285712</v>
      </c>
    </row>
    <row r="1324" spans="1:11" x14ac:dyDescent="0.3">
      <c r="A1324" s="11">
        <v>46240</v>
      </c>
      <c r="B1324" s="12" t="str">
        <f t="shared" si="145"/>
        <v>AGOSTO</v>
      </c>
      <c r="C1324" s="12" t="s">
        <v>14</v>
      </c>
      <c r="D1324" s="12" t="s">
        <v>12</v>
      </c>
      <c r="E1324" s="13">
        <v>737</v>
      </c>
      <c r="F1324" s="13">
        <v>760</v>
      </c>
      <c r="G1324" s="12">
        <v>90</v>
      </c>
      <c r="H1324" s="14">
        <v>88</v>
      </c>
      <c r="I1324" s="12">
        <f>IFERROR(IF(T_PROD[[#This Row],[PREVISTO]]-T_PROD[[#This Row],[EFETIVO]]&lt; 0,0,T_PROD[[#This Row],[PREVISTO]]-T_PROD[[#This Row],[EFETIVO]] ),"")</f>
        <v>2</v>
      </c>
      <c r="J1324" s="15">
        <f>IFERROR(IF(T_PROD[[#This Row],[META]]&gt;0,(T_PROD[[#This Row],[META]]/T_PROD[[#This Row],[PREVISTO]]),""),"")</f>
        <v>8.1888888888888882</v>
      </c>
      <c r="K1324" s="15">
        <f>IFERROR(IF(T_PROD[[#This Row],[PRODUÇÃO]]&gt;0,(T_PROD[[#This Row],[PRODUÇÃO]]/T_PROD[[#This Row],[EFETIVO]]),""),"")</f>
        <v>8.6363636363636367</v>
      </c>
    </row>
    <row r="1325" spans="1:11" x14ac:dyDescent="0.3">
      <c r="A1325" s="11">
        <v>46241</v>
      </c>
      <c r="B1325" s="12" t="str">
        <f>UPPER(TEXT(A1325,"MMMM"))</f>
        <v>AGOSTO</v>
      </c>
      <c r="C1325" s="12" t="s">
        <v>15</v>
      </c>
      <c r="D1325" s="12" t="s">
        <v>12</v>
      </c>
      <c r="E1325" s="13">
        <v>75</v>
      </c>
      <c r="F1325" s="13">
        <v>55</v>
      </c>
      <c r="G1325" s="12">
        <v>5</v>
      </c>
      <c r="H1325" s="14">
        <v>5</v>
      </c>
      <c r="I1325" s="12">
        <f>IFERROR(IF(T_PROD[[#This Row],[PREVISTO]]-T_PROD[[#This Row],[EFETIVO]]&lt; 0,0,T_PROD[[#This Row],[PREVISTO]]-T_PROD[[#This Row],[EFETIVO]] ),"")</f>
        <v>0</v>
      </c>
      <c r="J1325" s="15">
        <f>IFERROR(IF(T_PROD[[#This Row],[META]]&gt;0,(T_PROD[[#This Row],[META]]/T_PROD[[#This Row],[PREVISTO]]),""),"")</f>
        <v>15</v>
      </c>
      <c r="K1325" s="15">
        <f>IFERROR(IF(T_PROD[[#This Row],[PRODUÇÃO]]&gt;0,(T_PROD[[#This Row],[PRODUÇÃO]]/T_PROD[[#This Row],[EFETIVO]]),""),"")</f>
        <v>11</v>
      </c>
    </row>
    <row r="1326" spans="1:11" x14ac:dyDescent="0.3">
      <c r="A1326" s="11">
        <v>46241</v>
      </c>
      <c r="B1326" s="12" t="str">
        <f t="shared" ref="B1326:B1333" si="146">UPPER(TEXT(A1326,"MMMM"))</f>
        <v>AGOSTO</v>
      </c>
      <c r="C1326" s="12" t="s">
        <v>16</v>
      </c>
      <c r="D1326" s="12" t="s">
        <v>12</v>
      </c>
      <c r="E1326" s="13">
        <v>238</v>
      </c>
      <c r="F1326" s="13">
        <v>208</v>
      </c>
      <c r="G1326" s="12">
        <v>7</v>
      </c>
      <c r="H1326" s="14">
        <v>7</v>
      </c>
      <c r="I1326" s="12">
        <f>IFERROR(IF(T_PROD[[#This Row],[PREVISTO]]-T_PROD[[#This Row],[EFETIVO]]&lt; 0,0,T_PROD[[#This Row],[PREVISTO]]-T_PROD[[#This Row],[EFETIVO]] ),"")</f>
        <v>0</v>
      </c>
      <c r="J1326" s="15">
        <f>IFERROR(IF(T_PROD[[#This Row],[META]]&gt;0,(T_PROD[[#This Row],[META]]/T_PROD[[#This Row],[PREVISTO]]),""),"")</f>
        <v>34</v>
      </c>
      <c r="K1326" s="15">
        <f>IFERROR(IF(T_PROD[[#This Row],[PRODUÇÃO]]&gt;0,(T_PROD[[#This Row],[PRODUÇÃO]]/T_PROD[[#This Row],[EFETIVO]]),""),"")</f>
        <v>29.714285714285715</v>
      </c>
    </row>
    <row r="1327" spans="1:11" x14ac:dyDescent="0.3">
      <c r="A1327" s="11">
        <v>46241</v>
      </c>
      <c r="B1327" s="12" t="str">
        <f t="shared" si="146"/>
        <v>AGOSTO</v>
      </c>
      <c r="C1327" s="12" t="s">
        <v>17</v>
      </c>
      <c r="D1327" s="12" t="s">
        <v>12</v>
      </c>
      <c r="E1327" s="13">
        <v>286</v>
      </c>
      <c r="F1327" s="13">
        <v>76</v>
      </c>
      <c r="G1327" s="12">
        <v>13</v>
      </c>
      <c r="H1327" s="14">
        <v>13</v>
      </c>
      <c r="I1327" s="12">
        <f>IFERROR(IF(T_PROD[[#This Row],[PREVISTO]]-T_PROD[[#This Row],[EFETIVO]]&lt; 0,0,T_PROD[[#This Row],[PREVISTO]]-T_PROD[[#This Row],[EFETIVO]] ),"")</f>
        <v>0</v>
      </c>
      <c r="J1327" s="15">
        <f>IFERROR(IF(T_PROD[[#This Row],[META]]&gt;0,(T_PROD[[#This Row],[META]]/T_PROD[[#This Row],[PREVISTO]]),""),"")</f>
        <v>22</v>
      </c>
      <c r="K1327" s="15">
        <f>IFERROR(IF(T_PROD[[#This Row],[PRODUÇÃO]]&gt;0,(T_PROD[[#This Row],[PRODUÇÃO]]/T_PROD[[#This Row],[EFETIVO]]),""),"")</f>
        <v>5.8461538461538458</v>
      </c>
    </row>
    <row r="1328" spans="1:11" x14ac:dyDescent="0.3">
      <c r="A1328" s="11">
        <v>46241</v>
      </c>
      <c r="B1328" s="12" t="str">
        <f t="shared" si="146"/>
        <v>AGOSTO</v>
      </c>
      <c r="C1328" s="12" t="s">
        <v>18</v>
      </c>
      <c r="D1328" s="12" t="s">
        <v>12</v>
      </c>
      <c r="E1328" s="13"/>
      <c r="F1328" s="13"/>
      <c r="G1328" s="12"/>
      <c r="H1328" s="14"/>
      <c r="I1328" s="12">
        <f>IFERROR(IF(T_PROD[[#This Row],[PREVISTO]]-T_PROD[[#This Row],[EFETIVO]]&lt; 0,0,T_PROD[[#This Row],[PREVISTO]]-T_PROD[[#This Row],[EFETIVO]] ),"")</f>
        <v>0</v>
      </c>
      <c r="J1328" s="15" t="str">
        <f>IFERROR(IF(T_PROD[[#This Row],[META]]&gt;0,(T_PROD[[#This Row],[META]]/T_PROD[[#This Row],[PREVISTO]]),""),"")</f>
        <v/>
      </c>
      <c r="K1328" s="15" t="str">
        <f>IFERROR(IF(T_PROD[[#This Row],[PRODUÇÃO]]&gt;0,(T_PROD[[#This Row],[PRODUÇÃO]]/T_PROD[[#This Row],[EFETIVO]]),""),"")</f>
        <v/>
      </c>
    </row>
    <row r="1329" spans="1:11" x14ac:dyDescent="0.3">
      <c r="A1329" s="11">
        <v>46241</v>
      </c>
      <c r="B1329" s="12" t="str">
        <f t="shared" si="146"/>
        <v>AGOSTO</v>
      </c>
      <c r="C1329" s="12" t="s">
        <v>19</v>
      </c>
      <c r="D1329" s="12" t="s">
        <v>12</v>
      </c>
      <c r="E1329" s="13"/>
      <c r="F1329" s="13"/>
      <c r="G1329" s="12"/>
      <c r="H1329" s="14"/>
      <c r="I1329" s="12">
        <f>IFERROR(IF(T_PROD[[#This Row],[PREVISTO]]-T_PROD[[#This Row],[EFETIVO]]&lt; 0,0,T_PROD[[#This Row],[PREVISTO]]-T_PROD[[#This Row],[EFETIVO]] ),"")</f>
        <v>0</v>
      </c>
      <c r="J1329" s="15" t="str">
        <f>IFERROR(IF(T_PROD[[#This Row],[META]]&gt;0,(T_PROD[[#This Row],[META]]/T_PROD[[#This Row],[PREVISTO]]),""),"")</f>
        <v/>
      </c>
      <c r="K1329" s="15" t="str">
        <f>IFERROR(IF(T_PROD[[#This Row],[PRODUÇÃO]]&gt;0,(T_PROD[[#This Row],[PRODUÇÃO]]/T_PROD[[#This Row],[EFETIVO]]),""),"")</f>
        <v/>
      </c>
    </row>
    <row r="1330" spans="1:11" x14ac:dyDescent="0.3">
      <c r="A1330" s="11">
        <v>46241</v>
      </c>
      <c r="B1330" s="12" t="str">
        <f t="shared" si="146"/>
        <v>AGOSTO</v>
      </c>
      <c r="C1330" s="12" t="s">
        <v>20</v>
      </c>
      <c r="D1330" s="12" t="s">
        <v>12</v>
      </c>
      <c r="E1330" s="13">
        <v>599</v>
      </c>
      <c r="F1330" s="13">
        <v>339</v>
      </c>
      <c r="G1330" s="12">
        <v>90</v>
      </c>
      <c r="H1330" s="14">
        <v>90</v>
      </c>
      <c r="I1330" s="12">
        <f>IFERROR(IF(T_PROD[[#This Row],[PREVISTO]]-T_PROD[[#This Row],[EFETIVO]]&lt; 0,0,T_PROD[[#This Row],[PREVISTO]]-T_PROD[[#This Row],[EFETIVO]] ),"")</f>
        <v>0</v>
      </c>
      <c r="J1330" s="15">
        <f>IFERROR(IF(T_PROD[[#This Row],[META]]&gt;0,(T_PROD[[#This Row],[META]]/T_PROD[[#This Row],[PREVISTO]]),""),"")</f>
        <v>6.6555555555555559</v>
      </c>
      <c r="K1330" s="15">
        <f>IFERROR(IF(T_PROD[[#This Row],[PRODUÇÃO]]&gt;0,(T_PROD[[#This Row],[PRODUÇÃO]]/T_PROD[[#This Row],[EFETIVO]]),""),"")</f>
        <v>3.7666666666666666</v>
      </c>
    </row>
    <row r="1331" spans="1:11" x14ac:dyDescent="0.3">
      <c r="A1331" s="11">
        <v>46241</v>
      </c>
      <c r="B1331" s="12" t="str">
        <f t="shared" si="146"/>
        <v>AGOSTO</v>
      </c>
      <c r="C1331" s="12" t="s">
        <v>11</v>
      </c>
      <c r="D1331" s="12" t="s">
        <v>12</v>
      </c>
      <c r="E1331" s="13">
        <v>540</v>
      </c>
      <c r="F1331" s="13">
        <v>535</v>
      </c>
      <c r="G1331" s="12">
        <v>27</v>
      </c>
      <c r="H1331" s="14">
        <v>27</v>
      </c>
      <c r="I1331" s="12">
        <f>IFERROR(IF(T_PROD[[#This Row],[PREVISTO]]-T_PROD[[#This Row],[EFETIVO]]&lt; 0,0,T_PROD[[#This Row],[PREVISTO]]-T_PROD[[#This Row],[EFETIVO]] ),"")</f>
        <v>0</v>
      </c>
      <c r="J1331" s="15">
        <f>IFERROR(IF(T_PROD[[#This Row],[META]]&gt;0,(T_PROD[[#This Row],[META]]/T_PROD[[#This Row],[PREVISTO]]),""),"")</f>
        <v>20</v>
      </c>
      <c r="K1331" s="15">
        <f>IFERROR(IF(T_PROD[[#This Row],[PRODUÇÃO]]&gt;0,(T_PROD[[#This Row],[PRODUÇÃO]]/T_PROD[[#This Row],[EFETIVO]]),""),"")</f>
        <v>19.814814814814813</v>
      </c>
    </row>
    <row r="1332" spans="1:11" x14ac:dyDescent="0.3">
      <c r="A1332" s="11">
        <v>46241</v>
      </c>
      <c r="B1332" s="12" t="str">
        <f t="shared" si="146"/>
        <v>AGOSTO</v>
      </c>
      <c r="C1332" s="12" t="s">
        <v>32</v>
      </c>
      <c r="D1332" s="12" t="s">
        <v>12</v>
      </c>
      <c r="E1332" s="13">
        <v>55</v>
      </c>
      <c r="F1332" s="13">
        <v>60</v>
      </c>
      <c r="G1332" s="12">
        <v>5</v>
      </c>
      <c r="H1332" s="14">
        <v>5</v>
      </c>
      <c r="I1332" s="12">
        <f>IFERROR(IF(T_PROD[[#This Row],[PREVISTO]]-T_PROD[[#This Row],[EFETIVO]]&lt; 0,0,T_PROD[[#This Row],[PREVISTO]]-T_PROD[[#This Row],[EFETIVO]] ),"")</f>
        <v>0</v>
      </c>
      <c r="J1332" s="15">
        <f>IFERROR(IF(T_PROD[[#This Row],[META]]&gt;0,(T_PROD[[#This Row],[META]]/T_PROD[[#This Row],[PREVISTO]]),""),"")</f>
        <v>11</v>
      </c>
      <c r="K1332" s="15">
        <f>IFERROR(IF(T_PROD[[#This Row],[PRODUÇÃO]]&gt;0,(T_PROD[[#This Row],[PRODUÇÃO]]/T_PROD[[#This Row],[EFETIVO]]),""),"")</f>
        <v>12</v>
      </c>
    </row>
    <row r="1333" spans="1:11" x14ac:dyDescent="0.3">
      <c r="A1333" s="11">
        <v>46241</v>
      </c>
      <c r="B1333" s="12" t="str">
        <f t="shared" si="146"/>
        <v>AGOSTO</v>
      </c>
      <c r="C1333" s="12" t="s">
        <v>14</v>
      </c>
      <c r="D1333" s="12" t="s">
        <v>12</v>
      </c>
      <c r="E1333" s="13">
        <v>595</v>
      </c>
      <c r="F1333" s="13">
        <v>595</v>
      </c>
      <c r="G1333" s="12">
        <v>70</v>
      </c>
      <c r="H1333" s="14">
        <v>71</v>
      </c>
      <c r="I1333" s="12">
        <f>IFERROR(IF(T_PROD[[#This Row],[PREVISTO]]-T_PROD[[#This Row],[EFETIVO]]&lt; 0,0,T_PROD[[#This Row],[PREVISTO]]-T_PROD[[#This Row],[EFETIVO]] ),"")</f>
        <v>0</v>
      </c>
      <c r="J1333" s="15">
        <f>IFERROR(IF(T_PROD[[#This Row],[META]]&gt;0,(T_PROD[[#This Row],[META]]/T_PROD[[#This Row],[PREVISTO]]),""),"")</f>
        <v>8.5</v>
      </c>
      <c r="K1333" s="15">
        <f>IFERROR(IF(T_PROD[[#This Row],[PRODUÇÃO]]&gt;0,(T_PROD[[#This Row],[PRODUÇÃO]]/T_PROD[[#This Row],[EFETIVO]]),""),"")</f>
        <v>8.3802816901408459</v>
      </c>
    </row>
    <row r="1334" spans="1:11" x14ac:dyDescent="0.3">
      <c r="A1334" s="11">
        <v>46244</v>
      </c>
      <c r="B1334" s="12" t="str">
        <f>UPPER(TEXT(A1334,"MMMM"))</f>
        <v>AGOSTO</v>
      </c>
      <c r="C1334" s="12" t="s">
        <v>15</v>
      </c>
      <c r="D1334" s="12" t="s">
        <v>12</v>
      </c>
      <c r="E1334" s="13">
        <v>105</v>
      </c>
      <c r="F1334" s="13">
        <v>62</v>
      </c>
      <c r="G1334" s="12">
        <v>7</v>
      </c>
      <c r="H1334" s="14">
        <v>7</v>
      </c>
      <c r="I1334" s="12">
        <f>IFERROR(IF(T_PROD[[#This Row],[PREVISTO]]-T_PROD[[#This Row],[EFETIVO]]&lt; 0,0,T_PROD[[#This Row],[PREVISTO]]-T_PROD[[#This Row],[EFETIVO]] ),"")</f>
        <v>0</v>
      </c>
      <c r="J1334" s="15">
        <f>IFERROR(IF(T_PROD[[#This Row],[META]]&gt;0,(T_PROD[[#This Row],[META]]/T_PROD[[#This Row],[PREVISTO]]),""),"")</f>
        <v>15</v>
      </c>
      <c r="K1334" s="15">
        <f>IFERROR(IF(T_PROD[[#This Row],[PRODUÇÃO]]&gt;0,(T_PROD[[#This Row],[PRODUÇÃO]]/T_PROD[[#This Row],[EFETIVO]]),""),"")</f>
        <v>8.8571428571428577</v>
      </c>
    </row>
    <row r="1335" spans="1:11" x14ac:dyDescent="0.3">
      <c r="A1335" s="11">
        <v>46244</v>
      </c>
      <c r="B1335" s="12" t="str">
        <f t="shared" ref="B1335:B1342" si="147">UPPER(TEXT(A1335,"MMMM"))</f>
        <v>AGOSTO</v>
      </c>
      <c r="C1335" s="12" t="s">
        <v>16</v>
      </c>
      <c r="D1335" s="12" t="s">
        <v>12</v>
      </c>
      <c r="E1335" s="13">
        <v>255</v>
      </c>
      <c r="F1335" s="13">
        <v>215</v>
      </c>
      <c r="G1335" s="12">
        <v>7.5</v>
      </c>
      <c r="H1335" s="14">
        <v>7.5</v>
      </c>
      <c r="I1335" s="12">
        <f>IFERROR(IF(T_PROD[[#This Row],[PREVISTO]]-T_PROD[[#This Row],[EFETIVO]]&lt; 0,0,T_PROD[[#This Row],[PREVISTO]]-T_PROD[[#This Row],[EFETIVO]] ),"")</f>
        <v>0</v>
      </c>
      <c r="J1335" s="15">
        <f>IFERROR(IF(T_PROD[[#This Row],[META]]&gt;0,(T_PROD[[#This Row],[META]]/T_PROD[[#This Row],[PREVISTO]]),""),"")</f>
        <v>34</v>
      </c>
      <c r="K1335" s="15">
        <f>IFERROR(IF(T_PROD[[#This Row],[PRODUÇÃO]]&gt;0,(T_PROD[[#This Row],[PRODUÇÃO]]/T_PROD[[#This Row],[EFETIVO]]),""),"")</f>
        <v>28.666666666666668</v>
      </c>
    </row>
    <row r="1336" spans="1:11" x14ac:dyDescent="0.3">
      <c r="A1336" s="11">
        <v>46244</v>
      </c>
      <c r="B1336" s="12" t="str">
        <f t="shared" si="147"/>
        <v>AGOSTO</v>
      </c>
      <c r="C1336" s="12" t="s">
        <v>17</v>
      </c>
      <c r="D1336" s="12" t="s">
        <v>12</v>
      </c>
      <c r="E1336" s="13">
        <v>308</v>
      </c>
      <c r="F1336" s="13">
        <v>178</v>
      </c>
      <c r="G1336" s="12">
        <v>14</v>
      </c>
      <c r="H1336" s="14">
        <v>14</v>
      </c>
      <c r="I1336" s="12">
        <f>IFERROR(IF(T_PROD[[#This Row],[PREVISTO]]-T_PROD[[#This Row],[EFETIVO]]&lt; 0,0,T_PROD[[#This Row],[PREVISTO]]-T_PROD[[#This Row],[EFETIVO]] ),"")</f>
        <v>0</v>
      </c>
      <c r="J1336" s="15">
        <f>IFERROR(IF(T_PROD[[#This Row],[META]]&gt;0,(T_PROD[[#This Row],[META]]/T_PROD[[#This Row],[PREVISTO]]),""),"")</f>
        <v>22</v>
      </c>
      <c r="K1336" s="15">
        <f>IFERROR(IF(T_PROD[[#This Row],[PRODUÇÃO]]&gt;0,(T_PROD[[#This Row],[PRODUÇÃO]]/T_PROD[[#This Row],[EFETIVO]]),""),"")</f>
        <v>12.714285714285714</v>
      </c>
    </row>
    <row r="1337" spans="1:11" x14ac:dyDescent="0.3">
      <c r="A1337" s="11">
        <v>46244</v>
      </c>
      <c r="B1337" s="12" t="str">
        <f t="shared" si="147"/>
        <v>AGOSTO</v>
      </c>
      <c r="C1337" s="12" t="s">
        <v>18</v>
      </c>
      <c r="D1337" s="12" t="s">
        <v>12</v>
      </c>
      <c r="E1337" s="13"/>
      <c r="F1337" s="13"/>
      <c r="G1337" s="12"/>
      <c r="H1337" s="14"/>
      <c r="I1337" s="12">
        <f>IFERROR(IF(T_PROD[[#This Row],[PREVISTO]]-T_PROD[[#This Row],[EFETIVO]]&lt; 0,0,T_PROD[[#This Row],[PREVISTO]]-T_PROD[[#This Row],[EFETIVO]] ),"")</f>
        <v>0</v>
      </c>
      <c r="J1337" s="15" t="str">
        <f>IFERROR(IF(T_PROD[[#This Row],[META]]&gt;0,(T_PROD[[#This Row],[META]]/T_PROD[[#This Row],[PREVISTO]]),""),"")</f>
        <v/>
      </c>
      <c r="K1337" s="15" t="str">
        <f>IFERROR(IF(T_PROD[[#This Row],[PRODUÇÃO]]&gt;0,(T_PROD[[#This Row],[PRODUÇÃO]]/T_PROD[[#This Row],[EFETIVO]]),""),"")</f>
        <v/>
      </c>
    </row>
    <row r="1338" spans="1:11" x14ac:dyDescent="0.3">
      <c r="A1338" s="11">
        <v>46244</v>
      </c>
      <c r="B1338" s="12" t="str">
        <f t="shared" si="147"/>
        <v>AGOSTO</v>
      </c>
      <c r="C1338" s="12" t="s">
        <v>19</v>
      </c>
      <c r="D1338" s="12" t="s">
        <v>12</v>
      </c>
      <c r="E1338" s="13"/>
      <c r="F1338" s="13"/>
      <c r="G1338" s="12"/>
      <c r="H1338" s="14"/>
      <c r="I1338" s="12">
        <f>IFERROR(IF(T_PROD[[#This Row],[PREVISTO]]-T_PROD[[#This Row],[EFETIVO]]&lt; 0,0,T_PROD[[#This Row],[PREVISTO]]-T_PROD[[#This Row],[EFETIVO]] ),"")</f>
        <v>0</v>
      </c>
      <c r="J1338" s="15" t="str">
        <f>IFERROR(IF(T_PROD[[#This Row],[META]]&gt;0,(T_PROD[[#This Row],[META]]/T_PROD[[#This Row],[PREVISTO]]),""),"")</f>
        <v/>
      </c>
      <c r="K1338" s="15" t="str">
        <f>IFERROR(IF(T_PROD[[#This Row],[PRODUÇÃO]]&gt;0,(T_PROD[[#This Row],[PRODUÇÃO]]/T_PROD[[#This Row],[EFETIVO]]),""),"")</f>
        <v/>
      </c>
    </row>
    <row r="1339" spans="1:11" x14ac:dyDescent="0.3">
      <c r="A1339" s="11">
        <v>46244</v>
      </c>
      <c r="B1339" s="12" t="str">
        <f t="shared" si="147"/>
        <v>AGOSTO</v>
      </c>
      <c r="C1339" s="12" t="s">
        <v>20</v>
      </c>
      <c r="D1339" s="12" t="s">
        <v>12</v>
      </c>
      <c r="E1339" s="13">
        <v>668</v>
      </c>
      <c r="F1339" s="13">
        <v>455</v>
      </c>
      <c r="G1339" s="12">
        <v>90</v>
      </c>
      <c r="H1339" s="14">
        <v>90</v>
      </c>
      <c r="I1339" s="12">
        <f>IFERROR(IF(T_PROD[[#This Row],[PREVISTO]]-T_PROD[[#This Row],[EFETIVO]]&lt; 0,0,T_PROD[[#This Row],[PREVISTO]]-T_PROD[[#This Row],[EFETIVO]] ),"")</f>
        <v>0</v>
      </c>
      <c r="J1339" s="15">
        <f>IFERROR(IF(T_PROD[[#This Row],[META]]&gt;0,(T_PROD[[#This Row],[META]]/T_PROD[[#This Row],[PREVISTO]]),""),"")</f>
        <v>7.4222222222222225</v>
      </c>
      <c r="K1339" s="15">
        <f>IFERROR(IF(T_PROD[[#This Row],[PRODUÇÃO]]&gt;0,(T_PROD[[#This Row],[PRODUÇÃO]]/T_PROD[[#This Row],[EFETIVO]]),""),"")</f>
        <v>5.0555555555555554</v>
      </c>
    </row>
    <row r="1340" spans="1:11" x14ac:dyDescent="0.3">
      <c r="A1340" s="11">
        <v>46244</v>
      </c>
      <c r="B1340" s="12" t="str">
        <f t="shared" si="147"/>
        <v>AGOSTO</v>
      </c>
      <c r="C1340" s="12" t="s">
        <v>11</v>
      </c>
      <c r="D1340" s="12" t="s">
        <v>12</v>
      </c>
      <c r="E1340" s="13">
        <v>400</v>
      </c>
      <c r="F1340" s="13">
        <v>415</v>
      </c>
      <c r="G1340" s="12">
        <v>20</v>
      </c>
      <c r="H1340" s="14">
        <v>20</v>
      </c>
      <c r="I1340" s="12">
        <f>IFERROR(IF(T_PROD[[#This Row],[PREVISTO]]-T_PROD[[#This Row],[EFETIVO]]&lt; 0,0,T_PROD[[#This Row],[PREVISTO]]-T_PROD[[#This Row],[EFETIVO]] ),"")</f>
        <v>0</v>
      </c>
      <c r="J1340" s="15">
        <f>IFERROR(IF(T_PROD[[#This Row],[META]]&gt;0,(T_PROD[[#This Row],[META]]/T_PROD[[#This Row],[PREVISTO]]),""),"")</f>
        <v>20</v>
      </c>
      <c r="K1340" s="15">
        <f>IFERROR(IF(T_PROD[[#This Row],[PRODUÇÃO]]&gt;0,(T_PROD[[#This Row],[PRODUÇÃO]]/T_PROD[[#This Row],[EFETIVO]]),""),"")</f>
        <v>20.75</v>
      </c>
    </row>
    <row r="1341" spans="1:11" x14ac:dyDescent="0.3">
      <c r="A1341" s="11">
        <v>46244</v>
      </c>
      <c r="B1341" s="12" t="str">
        <f t="shared" si="147"/>
        <v>AGOSTO</v>
      </c>
      <c r="C1341" s="12" t="s">
        <v>32</v>
      </c>
      <c r="D1341" s="12" t="s">
        <v>12</v>
      </c>
      <c r="E1341" s="13">
        <v>110</v>
      </c>
      <c r="F1341" s="13">
        <v>110</v>
      </c>
      <c r="G1341" s="12">
        <v>10</v>
      </c>
      <c r="H1341" s="14">
        <v>10</v>
      </c>
      <c r="I1341" s="12">
        <f>IFERROR(IF(T_PROD[[#This Row],[PREVISTO]]-T_PROD[[#This Row],[EFETIVO]]&lt; 0,0,T_PROD[[#This Row],[PREVISTO]]-T_PROD[[#This Row],[EFETIVO]] ),"")</f>
        <v>0</v>
      </c>
      <c r="J1341" s="15">
        <f>IFERROR(IF(T_PROD[[#This Row],[META]]&gt;0,(T_PROD[[#This Row],[META]]/T_PROD[[#This Row],[PREVISTO]]),""),"")</f>
        <v>11</v>
      </c>
      <c r="K1341" s="15">
        <f>IFERROR(IF(T_PROD[[#This Row],[PRODUÇÃO]]&gt;0,(T_PROD[[#This Row],[PRODUÇÃO]]/T_PROD[[#This Row],[EFETIVO]]),""),"")</f>
        <v>11</v>
      </c>
    </row>
    <row r="1342" spans="1:11" x14ac:dyDescent="0.3">
      <c r="A1342" s="11">
        <v>46244</v>
      </c>
      <c r="B1342" s="12" t="str">
        <f t="shared" si="147"/>
        <v>AGOSTO</v>
      </c>
      <c r="C1342" s="12" t="s">
        <v>14</v>
      </c>
      <c r="D1342" s="12" t="s">
        <v>12</v>
      </c>
      <c r="E1342" s="13">
        <v>510</v>
      </c>
      <c r="F1342" s="13">
        <v>525</v>
      </c>
      <c r="G1342" s="12">
        <v>80</v>
      </c>
      <c r="H1342" s="14">
        <v>78</v>
      </c>
      <c r="I1342" s="12">
        <f>IFERROR(IF(T_PROD[[#This Row],[PREVISTO]]-T_PROD[[#This Row],[EFETIVO]]&lt; 0,0,T_PROD[[#This Row],[PREVISTO]]-T_PROD[[#This Row],[EFETIVO]] ),"")</f>
        <v>2</v>
      </c>
      <c r="J1342" s="15">
        <f>IFERROR(IF(T_PROD[[#This Row],[META]]&gt;0,(T_PROD[[#This Row],[META]]/T_PROD[[#This Row],[PREVISTO]]),""),"")</f>
        <v>6.375</v>
      </c>
      <c r="K1342" s="15">
        <f>IFERROR(IF(T_PROD[[#This Row],[PRODUÇÃO]]&gt;0,(T_PROD[[#This Row],[PRODUÇÃO]]/T_PROD[[#This Row],[EFETIVO]]),""),"")</f>
        <v>6.7307692307692308</v>
      </c>
    </row>
    <row r="1343" spans="1:11" x14ac:dyDescent="0.3">
      <c r="A1343" s="11">
        <v>46245</v>
      </c>
      <c r="B1343" s="12" t="str">
        <f>UPPER(TEXT(A1343,"MMMM"))</f>
        <v>AGOSTO</v>
      </c>
      <c r="C1343" s="12" t="s">
        <v>15</v>
      </c>
      <c r="D1343" s="12" t="s">
        <v>12</v>
      </c>
      <c r="E1343" s="13">
        <v>120</v>
      </c>
      <c r="F1343" s="13">
        <v>66</v>
      </c>
      <c r="G1343" s="12">
        <v>8</v>
      </c>
      <c r="H1343" s="14">
        <v>8</v>
      </c>
      <c r="I1343" s="12">
        <f>IFERROR(IF(T_PROD[[#This Row],[PREVISTO]]-T_PROD[[#This Row],[EFETIVO]]&lt; 0,0,T_PROD[[#This Row],[PREVISTO]]-T_PROD[[#This Row],[EFETIVO]] ),"")</f>
        <v>0</v>
      </c>
      <c r="J1343" s="15">
        <f>IFERROR(IF(T_PROD[[#This Row],[META]]&gt;0,(T_PROD[[#This Row],[META]]/T_PROD[[#This Row],[PREVISTO]]),""),"")</f>
        <v>15</v>
      </c>
      <c r="K1343" s="15">
        <f>IFERROR(IF(T_PROD[[#This Row],[PRODUÇÃO]]&gt;0,(T_PROD[[#This Row],[PRODUÇÃO]]/T_PROD[[#This Row],[EFETIVO]]),""),"")</f>
        <v>8.25</v>
      </c>
    </row>
    <row r="1344" spans="1:11" x14ac:dyDescent="0.3">
      <c r="A1344" s="11">
        <v>46245</v>
      </c>
      <c r="B1344" s="12" t="str">
        <f t="shared" ref="B1344:B1351" si="148">UPPER(TEXT(A1344,"MMMM"))</f>
        <v>AGOSTO</v>
      </c>
      <c r="C1344" s="12" t="s">
        <v>16</v>
      </c>
      <c r="D1344" s="12" t="s">
        <v>12</v>
      </c>
      <c r="E1344" s="13">
        <v>204</v>
      </c>
      <c r="F1344" s="13">
        <v>202</v>
      </c>
      <c r="G1344" s="12">
        <v>6</v>
      </c>
      <c r="H1344" s="14">
        <v>6</v>
      </c>
      <c r="I1344" s="12">
        <f>IFERROR(IF(T_PROD[[#This Row],[PREVISTO]]-T_PROD[[#This Row],[EFETIVO]]&lt; 0,0,T_PROD[[#This Row],[PREVISTO]]-T_PROD[[#This Row],[EFETIVO]] ),"")</f>
        <v>0</v>
      </c>
      <c r="J1344" s="15">
        <f>IFERROR(IF(T_PROD[[#This Row],[META]]&gt;0,(T_PROD[[#This Row],[META]]/T_PROD[[#This Row],[PREVISTO]]),""),"")</f>
        <v>34</v>
      </c>
      <c r="K1344" s="15">
        <f>IFERROR(IF(T_PROD[[#This Row],[PRODUÇÃO]]&gt;0,(T_PROD[[#This Row],[PRODUÇÃO]]/T_PROD[[#This Row],[EFETIVO]]),""),"")</f>
        <v>33.666666666666664</v>
      </c>
    </row>
    <row r="1345" spans="1:11" x14ac:dyDescent="0.3">
      <c r="A1345" s="11">
        <v>46245</v>
      </c>
      <c r="B1345" s="12" t="str">
        <f t="shared" si="148"/>
        <v>AGOSTO</v>
      </c>
      <c r="C1345" s="12" t="s">
        <v>17</v>
      </c>
      <c r="D1345" s="12" t="s">
        <v>12</v>
      </c>
      <c r="E1345" s="13">
        <v>286</v>
      </c>
      <c r="F1345" s="13">
        <v>265</v>
      </c>
      <c r="G1345" s="12">
        <v>13</v>
      </c>
      <c r="H1345" s="14">
        <v>13</v>
      </c>
      <c r="I1345" s="12">
        <f>IFERROR(IF(T_PROD[[#This Row],[PREVISTO]]-T_PROD[[#This Row],[EFETIVO]]&lt; 0,0,T_PROD[[#This Row],[PREVISTO]]-T_PROD[[#This Row],[EFETIVO]] ),"")</f>
        <v>0</v>
      </c>
      <c r="J1345" s="15">
        <f>IFERROR(IF(T_PROD[[#This Row],[META]]&gt;0,(T_PROD[[#This Row],[META]]/T_PROD[[#This Row],[PREVISTO]]),""),"")</f>
        <v>22</v>
      </c>
      <c r="K1345" s="15">
        <f>IFERROR(IF(T_PROD[[#This Row],[PRODUÇÃO]]&gt;0,(T_PROD[[#This Row],[PRODUÇÃO]]/T_PROD[[#This Row],[EFETIVO]]),""),"")</f>
        <v>20.384615384615383</v>
      </c>
    </row>
    <row r="1346" spans="1:11" x14ac:dyDescent="0.3">
      <c r="A1346" s="11">
        <v>46245</v>
      </c>
      <c r="B1346" s="12" t="str">
        <f t="shared" si="148"/>
        <v>AGOSTO</v>
      </c>
      <c r="C1346" s="12" t="s">
        <v>18</v>
      </c>
      <c r="D1346" s="12" t="s">
        <v>12</v>
      </c>
      <c r="E1346" s="13"/>
      <c r="F1346" s="13"/>
      <c r="G1346" s="12"/>
      <c r="H1346" s="14"/>
      <c r="I1346" s="12">
        <f>IFERROR(IF(T_PROD[[#This Row],[PREVISTO]]-T_PROD[[#This Row],[EFETIVO]]&lt; 0,0,T_PROD[[#This Row],[PREVISTO]]-T_PROD[[#This Row],[EFETIVO]] ),"")</f>
        <v>0</v>
      </c>
      <c r="J1346" s="15" t="str">
        <f>IFERROR(IF(T_PROD[[#This Row],[META]]&gt;0,(T_PROD[[#This Row],[META]]/T_PROD[[#This Row],[PREVISTO]]),""),"")</f>
        <v/>
      </c>
      <c r="K1346" s="15" t="str">
        <f>IFERROR(IF(T_PROD[[#This Row],[PRODUÇÃO]]&gt;0,(T_PROD[[#This Row],[PRODUÇÃO]]/T_PROD[[#This Row],[EFETIVO]]),""),"")</f>
        <v/>
      </c>
    </row>
    <row r="1347" spans="1:11" x14ac:dyDescent="0.3">
      <c r="A1347" s="11">
        <v>46245</v>
      </c>
      <c r="B1347" s="12" t="str">
        <f t="shared" si="148"/>
        <v>AGOSTO</v>
      </c>
      <c r="C1347" s="12" t="s">
        <v>19</v>
      </c>
      <c r="D1347" s="12" t="s">
        <v>12</v>
      </c>
      <c r="E1347" s="13"/>
      <c r="F1347" s="13"/>
      <c r="G1347" s="12"/>
      <c r="H1347" s="14"/>
      <c r="I1347" s="12">
        <f>IFERROR(IF(T_PROD[[#This Row],[PREVISTO]]-T_PROD[[#This Row],[EFETIVO]]&lt; 0,0,T_PROD[[#This Row],[PREVISTO]]-T_PROD[[#This Row],[EFETIVO]] ),"")</f>
        <v>0</v>
      </c>
      <c r="J1347" s="15" t="str">
        <f>IFERROR(IF(T_PROD[[#This Row],[META]]&gt;0,(T_PROD[[#This Row],[META]]/T_PROD[[#This Row],[PREVISTO]]),""),"")</f>
        <v/>
      </c>
      <c r="K1347" s="15" t="str">
        <f>IFERROR(IF(T_PROD[[#This Row],[PRODUÇÃO]]&gt;0,(T_PROD[[#This Row],[PRODUÇÃO]]/T_PROD[[#This Row],[EFETIVO]]),""),"")</f>
        <v/>
      </c>
    </row>
    <row r="1348" spans="1:11" x14ac:dyDescent="0.3">
      <c r="A1348" s="11">
        <v>46245</v>
      </c>
      <c r="B1348" s="12" t="str">
        <f t="shared" si="148"/>
        <v>AGOSTO</v>
      </c>
      <c r="C1348" s="12" t="s">
        <v>20</v>
      </c>
      <c r="D1348" s="12" t="s">
        <v>12</v>
      </c>
      <c r="E1348" s="13">
        <v>610</v>
      </c>
      <c r="F1348" s="13">
        <v>533</v>
      </c>
      <c r="G1348" s="12">
        <v>90</v>
      </c>
      <c r="H1348" s="14">
        <v>90</v>
      </c>
      <c r="I1348" s="12">
        <f>IFERROR(IF(T_PROD[[#This Row],[PREVISTO]]-T_PROD[[#This Row],[EFETIVO]]&lt; 0,0,T_PROD[[#This Row],[PREVISTO]]-T_PROD[[#This Row],[EFETIVO]] ),"")</f>
        <v>0</v>
      </c>
      <c r="J1348" s="15">
        <f>IFERROR(IF(T_PROD[[#This Row],[META]]&gt;0,(T_PROD[[#This Row],[META]]/T_PROD[[#This Row],[PREVISTO]]),""),"")</f>
        <v>6.7777777777777777</v>
      </c>
      <c r="K1348" s="15">
        <f>IFERROR(IF(T_PROD[[#This Row],[PRODUÇÃO]]&gt;0,(T_PROD[[#This Row],[PRODUÇÃO]]/T_PROD[[#This Row],[EFETIVO]]),""),"")</f>
        <v>5.9222222222222225</v>
      </c>
    </row>
    <row r="1349" spans="1:11" x14ac:dyDescent="0.3">
      <c r="A1349" s="11">
        <v>46245</v>
      </c>
      <c r="B1349" s="12" t="str">
        <f t="shared" si="148"/>
        <v>AGOSTO</v>
      </c>
      <c r="C1349" s="12" t="s">
        <v>11</v>
      </c>
      <c r="D1349" s="12" t="s">
        <v>12</v>
      </c>
      <c r="E1349" s="13">
        <v>20</v>
      </c>
      <c r="F1349" s="13">
        <v>20</v>
      </c>
      <c r="G1349" s="12">
        <v>1</v>
      </c>
      <c r="H1349" s="14">
        <v>1</v>
      </c>
      <c r="I1349" s="12">
        <f>IFERROR(IF(T_PROD[[#This Row],[PREVISTO]]-T_PROD[[#This Row],[EFETIVO]]&lt; 0,0,T_PROD[[#This Row],[PREVISTO]]-T_PROD[[#This Row],[EFETIVO]] ),"")</f>
        <v>0</v>
      </c>
      <c r="J1349" s="15">
        <f>IFERROR(IF(T_PROD[[#This Row],[META]]&gt;0,(T_PROD[[#This Row],[META]]/T_PROD[[#This Row],[PREVISTO]]),""),"")</f>
        <v>20</v>
      </c>
      <c r="K1349" s="15">
        <f>IFERROR(IF(T_PROD[[#This Row],[PRODUÇÃO]]&gt;0,(T_PROD[[#This Row],[PRODUÇÃO]]/T_PROD[[#This Row],[EFETIVO]]),""),"")</f>
        <v>20</v>
      </c>
    </row>
    <row r="1350" spans="1:11" x14ac:dyDescent="0.3">
      <c r="A1350" s="11">
        <v>46245</v>
      </c>
      <c r="B1350" s="12" t="str">
        <f t="shared" si="148"/>
        <v>AGOSTO</v>
      </c>
      <c r="C1350" s="12" t="s">
        <v>32</v>
      </c>
      <c r="D1350" s="12" t="s">
        <v>12</v>
      </c>
      <c r="E1350" s="13">
        <v>121</v>
      </c>
      <c r="F1350" s="13">
        <v>122</v>
      </c>
      <c r="G1350" s="12">
        <v>11</v>
      </c>
      <c r="H1350" s="14">
        <v>11</v>
      </c>
      <c r="I1350" s="12">
        <f>IFERROR(IF(T_PROD[[#This Row],[PREVISTO]]-T_PROD[[#This Row],[EFETIVO]]&lt; 0,0,T_PROD[[#This Row],[PREVISTO]]-T_PROD[[#This Row],[EFETIVO]] ),"")</f>
        <v>0</v>
      </c>
      <c r="J1350" s="15">
        <f>IFERROR(IF(T_PROD[[#This Row],[META]]&gt;0,(T_PROD[[#This Row],[META]]/T_PROD[[#This Row],[PREVISTO]]),""),"")</f>
        <v>11</v>
      </c>
      <c r="K1350" s="15">
        <f>IFERROR(IF(T_PROD[[#This Row],[PRODUÇÃO]]&gt;0,(T_PROD[[#This Row],[PRODUÇÃO]]/T_PROD[[#This Row],[EFETIVO]]),""),"")</f>
        <v>11.090909090909092</v>
      </c>
    </row>
    <row r="1351" spans="1:11" x14ac:dyDescent="0.3">
      <c r="A1351" s="11">
        <v>46245</v>
      </c>
      <c r="B1351" s="12" t="str">
        <f t="shared" si="148"/>
        <v>AGOSTO</v>
      </c>
      <c r="C1351" s="12" t="s">
        <v>14</v>
      </c>
      <c r="D1351" s="12" t="s">
        <v>12</v>
      </c>
      <c r="E1351" s="13">
        <v>141</v>
      </c>
      <c r="F1351" s="13">
        <v>139</v>
      </c>
      <c r="G1351" s="12">
        <v>18</v>
      </c>
      <c r="H1351" s="14">
        <v>18</v>
      </c>
      <c r="I1351" s="12">
        <f>IFERROR(IF(T_PROD[[#This Row],[PREVISTO]]-T_PROD[[#This Row],[EFETIVO]]&lt; 0,0,T_PROD[[#This Row],[PREVISTO]]-T_PROD[[#This Row],[EFETIVO]] ),"")</f>
        <v>0</v>
      </c>
      <c r="J1351" s="15">
        <f>IFERROR(IF(T_PROD[[#This Row],[META]]&gt;0,(T_PROD[[#This Row],[META]]/T_PROD[[#This Row],[PREVISTO]]),""),"")</f>
        <v>7.833333333333333</v>
      </c>
      <c r="K1351" s="15">
        <f>IFERROR(IF(T_PROD[[#This Row],[PRODUÇÃO]]&gt;0,(T_PROD[[#This Row],[PRODUÇÃO]]/T_PROD[[#This Row],[EFETIVO]]),""),"")</f>
        <v>7.7222222222222223</v>
      </c>
    </row>
    <row r="1352" spans="1:11" x14ac:dyDescent="0.3">
      <c r="A1352" s="11">
        <v>46246</v>
      </c>
      <c r="B1352" s="12" t="str">
        <f>UPPER(TEXT(A1352,"MMMM"))</f>
        <v>AGOSTO</v>
      </c>
      <c r="C1352" s="12" t="s">
        <v>15</v>
      </c>
      <c r="D1352" s="12" t="s">
        <v>12</v>
      </c>
      <c r="E1352" s="13">
        <v>97.5</v>
      </c>
      <c r="F1352" s="13">
        <v>88</v>
      </c>
      <c r="G1352" s="12">
        <v>6.5</v>
      </c>
      <c r="H1352" s="14">
        <v>6.5</v>
      </c>
      <c r="I1352" s="12">
        <f>IFERROR(IF(T_PROD[[#This Row],[PREVISTO]]-T_PROD[[#This Row],[EFETIVO]]&lt; 0,0,T_PROD[[#This Row],[PREVISTO]]-T_PROD[[#This Row],[EFETIVO]] ),"")</f>
        <v>0</v>
      </c>
      <c r="J1352" s="15">
        <f>IFERROR(IF(T_PROD[[#This Row],[META]]&gt;0,(T_PROD[[#This Row],[META]]/T_PROD[[#This Row],[PREVISTO]]),""),"")</f>
        <v>15</v>
      </c>
      <c r="K1352" s="15">
        <f>IFERROR(IF(T_PROD[[#This Row],[PRODUÇÃO]]&gt;0,(T_PROD[[#This Row],[PRODUÇÃO]]/T_PROD[[#This Row],[EFETIVO]]),""),"")</f>
        <v>13.538461538461538</v>
      </c>
    </row>
    <row r="1353" spans="1:11" x14ac:dyDescent="0.3">
      <c r="A1353" s="11">
        <v>46246</v>
      </c>
      <c r="B1353" s="12" t="str">
        <f t="shared" ref="B1353:B1360" si="149">UPPER(TEXT(A1353,"MMMM"))</f>
        <v>AGOSTO</v>
      </c>
      <c r="C1353" s="12" t="s">
        <v>16</v>
      </c>
      <c r="D1353" s="12" t="s">
        <v>12</v>
      </c>
      <c r="E1353" s="13">
        <v>51</v>
      </c>
      <c r="F1353" s="13">
        <v>74</v>
      </c>
      <c r="G1353" s="12">
        <v>1.5</v>
      </c>
      <c r="H1353" s="14">
        <v>1.5</v>
      </c>
      <c r="I1353" s="12">
        <f>IFERROR(IF(T_PROD[[#This Row],[PREVISTO]]-T_PROD[[#This Row],[EFETIVO]]&lt; 0,0,T_PROD[[#This Row],[PREVISTO]]-T_PROD[[#This Row],[EFETIVO]] ),"")</f>
        <v>0</v>
      </c>
      <c r="J1353" s="15">
        <f>IFERROR(IF(T_PROD[[#This Row],[META]]&gt;0,(T_PROD[[#This Row],[META]]/T_PROD[[#This Row],[PREVISTO]]),""),"")</f>
        <v>34</v>
      </c>
      <c r="K1353" s="15">
        <f>IFERROR(IF(T_PROD[[#This Row],[PRODUÇÃO]]&gt;0,(T_PROD[[#This Row],[PRODUÇÃO]]/T_PROD[[#This Row],[EFETIVO]]),""),"")</f>
        <v>49.333333333333336</v>
      </c>
    </row>
    <row r="1354" spans="1:11" x14ac:dyDescent="0.3">
      <c r="A1354" s="11">
        <v>46246</v>
      </c>
      <c r="B1354" s="12" t="str">
        <f t="shared" si="149"/>
        <v>AGOSTO</v>
      </c>
      <c r="C1354" s="12" t="s">
        <v>17</v>
      </c>
      <c r="D1354" s="12" t="s">
        <v>12</v>
      </c>
      <c r="E1354" s="13">
        <v>352</v>
      </c>
      <c r="F1354" s="13">
        <v>295</v>
      </c>
      <c r="G1354" s="12">
        <v>16</v>
      </c>
      <c r="H1354" s="14">
        <v>16</v>
      </c>
      <c r="I1354" s="12">
        <f>IFERROR(IF(T_PROD[[#This Row],[PREVISTO]]-T_PROD[[#This Row],[EFETIVO]]&lt; 0,0,T_PROD[[#This Row],[PREVISTO]]-T_PROD[[#This Row],[EFETIVO]] ),"")</f>
        <v>0</v>
      </c>
      <c r="J1354" s="15">
        <f>IFERROR(IF(T_PROD[[#This Row],[META]]&gt;0,(T_PROD[[#This Row],[META]]/T_PROD[[#This Row],[PREVISTO]]),""),"")</f>
        <v>22</v>
      </c>
      <c r="K1354" s="15">
        <f>IFERROR(IF(T_PROD[[#This Row],[PRODUÇÃO]]&gt;0,(T_PROD[[#This Row],[PRODUÇÃO]]/T_PROD[[#This Row],[EFETIVO]]),""),"")</f>
        <v>18.4375</v>
      </c>
    </row>
    <row r="1355" spans="1:11" x14ac:dyDescent="0.3">
      <c r="A1355" s="11">
        <v>46246</v>
      </c>
      <c r="B1355" s="12" t="str">
        <f t="shared" si="149"/>
        <v>AGOSTO</v>
      </c>
      <c r="C1355" s="12" t="s">
        <v>18</v>
      </c>
      <c r="D1355" s="12" t="s">
        <v>12</v>
      </c>
      <c r="E1355" s="13"/>
      <c r="F1355" s="13"/>
      <c r="G1355" s="12"/>
      <c r="H1355" s="14"/>
      <c r="I1355" s="12">
        <f>IFERROR(IF(T_PROD[[#This Row],[PREVISTO]]-T_PROD[[#This Row],[EFETIVO]]&lt; 0,0,T_PROD[[#This Row],[PREVISTO]]-T_PROD[[#This Row],[EFETIVO]] ),"")</f>
        <v>0</v>
      </c>
      <c r="J1355" s="15" t="str">
        <f>IFERROR(IF(T_PROD[[#This Row],[META]]&gt;0,(T_PROD[[#This Row],[META]]/T_PROD[[#This Row],[PREVISTO]]),""),"")</f>
        <v/>
      </c>
      <c r="K1355" s="15" t="str">
        <f>IFERROR(IF(T_PROD[[#This Row],[PRODUÇÃO]]&gt;0,(T_PROD[[#This Row],[PRODUÇÃO]]/T_PROD[[#This Row],[EFETIVO]]),""),"")</f>
        <v/>
      </c>
    </row>
    <row r="1356" spans="1:11" x14ac:dyDescent="0.3">
      <c r="A1356" s="11">
        <v>46246</v>
      </c>
      <c r="B1356" s="12" t="str">
        <f t="shared" si="149"/>
        <v>AGOSTO</v>
      </c>
      <c r="C1356" s="12" t="s">
        <v>19</v>
      </c>
      <c r="D1356" s="12" t="s">
        <v>12</v>
      </c>
      <c r="E1356" s="13"/>
      <c r="F1356" s="13"/>
      <c r="G1356" s="12"/>
      <c r="H1356" s="14"/>
      <c r="I1356" s="12">
        <f>IFERROR(IF(T_PROD[[#This Row],[PREVISTO]]-T_PROD[[#This Row],[EFETIVO]]&lt; 0,0,T_PROD[[#This Row],[PREVISTO]]-T_PROD[[#This Row],[EFETIVO]] ),"")</f>
        <v>0</v>
      </c>
      <c r="J1356" s="15" t="str">
        <f>IFERROR(IF(T_PROD[[#This Row],[META]]&gt;0,(T_PROD[[#This Row],[META]]/T_PROD[[#This Row],[PREVISTO]]),""),"")</f>
        <v/>
      </c>
      <c r="K1356" s="15" t="str">
        <f>IFERROR(IF(T_PROD[[#This Row],[PRODUÇÃO]]&gt;0,(T_PROD[[#This Row],[PRODUÇÃO]]/T_PROD[[#This Row],[EFETIVO]]),""),"")</f>
        <v/>
      </c>
    </row>
    <row r="1357" spans="1:11" x14ac:dyDescent="0.3">
      <c r="A1357" s="11">
        <v>46246</v>
      </c>
      <c r="B1357" s="12" t="str">
        <f t="shared" si="149"/>
        <v>AGOSTO</v>
      </c>
      <c r="C1357" s="12" t="s">
        <v>20</v>
      </c>
      <c r="D1357" s="12" t="s">
        <v>12</v>
      </c>
      <c r="E1357" s="13">
        <v>501</v>
      </c>
      <c r="F1357" s="13">
        <v>457</v>
      </c>
      <c r="G1357" s="12">
        <v>90</v>
      </c>
      <c r="H1357" s="14">
        <v>90</v>
      </c>
      <c r="I1357" s="12">
        <f>IFERROR(IF(T_PROD[[#This Row],[PREVISTO]]-T_PROD[[#This Row],[EFETIVO]]&lt; 0,0,T_PROD[[#This Row],[PREVISTO]]-T_PROD[[#This Row],[EFETIVO]] ),"")</f>
        <v>0</v>
      </c>
      <c r="J1357" s="15">
        <f>IFERROR(IF(T_PROD[[#This Row],[META]]&gt;0,(T_PROD[[#This Row],[META]]/T_PROD[[#This Row],[PREVISTO]]),""),"")</f>
        <v>5.5666666666666664</v>
      </c>
      <c r="K1357" s="15">
        <f>IFERROR(IF(T_PROD[[#This Row],[PRODUÇÃO]]&gt;0,(T_PROD[[#This Row],[PRODUÇÃO]]/T_PROD[[#This Row],[EFETIVO]]),""),"")</f>
        <v>5.0777777777777775</v>
      </c>
    </row>
    <row r="1358" spans="1:11" x14ac:dyDescent="0.3">
      <c r="A1358" s="11">
        <v>46246</v>
      </c>
      <c r="B1358" s="12" t="str">
        <f t="shared" si="149"/>
        <v>AGOSTO</v>
      </c>
      <c r="C1358" s="12" t="s">
        <v>11</v>
      </c>
      <c r="D1358" s="12" t="s">
        <v>12</v>
      </c>
      <c r="E1358" s="13">
        <v>300</v>
      </c>
      <c r="F1358" s="13">
        <v>268</v>
      </c>
      <c r="G1358" s="12">
        <v>15</v>
      </c>
      <c r="H1358" s="14">
        <v>15</v>
      </c>
      <c r="I1358" s="12">
        <f>IFERROR(IF(T_PROD[[#This Row],[PREVISTO]]-T_PROD[[#This Row],[EFETIVO]]&lt; 0,0,T_PROD[[#This Row],[PREVISTO]]-T_PROD[[#This Row],[EFETIVO]] ),"")</f>
        <v>0</v>
      </c>
      <c r="J1358" s="15">
        <f>IFERROR(IF(T_PROD[[#This Row],[META]]&gt;0,(T_PROD[[#This Row],[META]]/T_PROD[[#This Row],[PREVISTO]]),""),"")</f>
        <v>20</v>
      </c>
      <c r="K1358" s="15">
        <f>IFERROR(IF(T_PROD[[#This Row],[PRODUÇÃO]]&gt;0,(T_PROD[[#This Row],[PRODUÇÃO]]/T_PROD[[#This Row],[EFETIVO]]),""),"")</f>
        <v>17.866666666666667</v>
      </c>
    </row>
    <row r="1359" spans="1:11" x14ac:dyDescent="0.3">
      <c r="A1359" s="11">
        <v>46246</v>
      </c>
      <c r="B1359" s="12" t="str">
        <f t="shared" si="149"/>
        <v>AGOSTO</v>
      </c>
      <c r="C1359" s="12" t="s">
        <v>32</v>
      </c>
      <c r="D1359" s="12" t="s">
        <v>12</v>
      </c>
      <c r="E1359" s="13">
        <v>77</v>
      </c>
      <c r="F1359" s="13">
        <v>75</v>
      </c>
      <c r="G1359" s="12">
        <v>7</v>
      </c>
      <c r="H1359" s="14">
        <v>7</v>
      </c>
      <c r="I1359" s="12">
        <f>IFERROR(IF(T_PROD[[#This Row],[PREVISTO]]-T_PROD[[#This Row],[EFETIVO]]&lt; 0,0,T_PROD[[#This Row],[PREVISTO]]-T_PROD[[#This Row],[EFETIVO]] ),"")</f>
        <v>0</v>
      </c>
      <c r="J1359" s="15">
        <f>IFERROR(IF(T_PROD[[#This Row],[META]]&gt;0,(T_PROD[[#This Row],[META]]/T_PROD[[#This Row],[PREVISTO]]),""),"")</f>
        <v>11</v>
      </c>
      <c r="K1359" s="15">
        <f>IFERROR(IF(T_PROD[[#This Row],[PRODUÇÃO]]&gt;0,(T_PROD[[#This Row],[PRODUÇÃO]]/T_PROD[[#This Row],[EFETIVO]]),""),"")</f>
        <v>10.714285714285714</v>
      </c>
    </row>
    <row r="1360" spans="1:11" x14ac:dyDescent="0.3">
      <c r="A1360" s="11">
        <v>46246</v>
      </c>
      <c r="B1360" s="12" t="str">
        <f t="shared" si="149"/>
        <v>AGOSTO</v>
      </c>
      <c r="C1360" s="12" t="s">
        <v>14</v>
      </c>
      <c r="D1360" s="12" t="s">
        <v>12</v>
      </c>
      <c r="E1360" s="13">
        <v>377</v>
      </c>
      <c r="F1360" s="13">
        <v>343</v>
      </c>
      <c r="G1360" s="12">
        <v>50</v>
      </c>
      <c r="H1360" s="14">
        <v>50</v>
      </c>
      <c r="I1360" s="12">
        <f>IFERROR(IF(T_PROD[[#This Row],[PREVISTO]]-T_PROD[[#This Row],[EFETIVO]]&lt; 0,0,T_PROD[[#This Row],[PREVISTO]]-T_PROD[[#This Row],[EFETIVO]] ),"")</f>
        <v>0</v>
      </c>
      <c r="J1360" s="15">
        <f>IFERROR(IF(T_PROD[[#This Row],[META]]&gt;0,(T_PROD[[#This Row],[META]]/T_PROD[[#This Row],[PREVISTO]]),""),"")</f>
        <v>7.54</v>
      </c>
      <c r="K1360" s="15">
        <f>IFERROR(IF(T_PROD[[#This Row],[PRODUÇÃO]]&gt;0,(T_PROD[[#This Row],[PRODUÇÃO]]/T_PROD[[#This Row],[EFETIVO]]),""),"")</f>
        <v>6.86</v>
      </c>
    </row>
    <row r="1361" spans="1:11" x14ac:dyDescent="0.3">
      <c r="A1361" s="11">
        <v>46247</v>
      </c>
      <c r="B1361" s="12" t="str">
        <f>UPPER(TEXT(A1361,"MMMM"))</f>
        <v>AGOSTO</v>
      </c>
      <c r="C1361" s="12" t="s">
        <v>15</v>
      </c>
      <c r="D1361" s="12" t="s">
        <v>12</v>
      </c>
      <c r="E1361" s="13">
        <v>112.5</v>
      </c>
      <c r="F1361" s="13">
        <v>86</v>
      </c>
      <c r="G1361" s="12">
        <v>7.5</v>
      </c>
      <c r="H1361" s="14">
        <v>7.5</v>
      </c>
      <c r="I1361" s="12">
        <f>IFERROR(IF(T_PROD[[#This Row],[PREVISTO]]-T_PROD[[#This Row],[EFETIVO]]&lt; 0,0,T_PROD[[#This Row],[PREVISTO]]-T_PROD[[#This Row],[EFETIVO]] ),"")</f>
        <v>0</v>
      </c>
      <c r="J1361" s="15">
        <f>IFERROR(IF(T_PROD[[#This Row],[META]]&gt;0,(T_PROD[[#This Row],[META]]/T_PROD[[#This Row],[PREVISTO]]),""),"")</f>
        <v>15</v>
      </c>
      <c r="K1361" s="15">
        <f>IFERROR(IF(T_PROD[[#This Row],[PRODUÇÃO]]&gt;0,(T_PROD[[#This Row],[PRODUÇÃO]]/T_PROD[[#This Row],[EFETIVO]]),""),"")</f>
        <v>11.466666666666667</v>
      </c>
    </row>
    <row r="1362" spans="1:11" x14ac:dyDescent="0.3">
      <c r="A1362" s="11">
        <v>46247</v>
      </c>
      <c r="B1362" s="12" t="str">
        <f t="shared" ref="B1362:B1369" si="150">UPPER(TEXT(A1362,"MMMM"))</f>
        <v>AGOSTO</v>
      </c>
      <c r="C1362" s="12" t="s">
        <v>16</v>
      </c>
      <c r="D1362" s="12" t="s">
        <v>12</v>
      </c>
      <c r="E1362" s="13">
        <v>221</v>
      </c>
      <c r="F1362" s="13">
        <v>130</v>
      </c>
      <c r="G1362" s="12">
        <v>6.5</v>
      </c>
      <c r="H1362" s="14">
        <v>6.5</v>
      </c>
      <c r="I1362" s="12">
        <f>IFERROR(IF(T_PROD[[#This Row],[PREVISTO]]-T_PROD[[#This Row],[EFETIVO]]&lt; 0,0,T_PROD[[#This Row],[PREVISTO]]-T_PROD[[#This Row],[EFETIVO]] ),"")</f>
        <v>0</v>
      </c>
      <c r="J1362" s="15">
        <f>IFERROR(IF(T_PROD[[#This Row],[META]]&gt;0,(T_PROD[[#This Row],[META]]/T_PROD[[#This Row],[PREVISTO]]),""),"")</f>
        <v>34</v>
      </c>
      <c r="K1362" s="15">
        <f>IFERROR(IF(T_PROD[[#This Row],[PRODUÇÃO]]&gt;0,(T_PROD[[#This Row],[PRODUÇÃO]]/T_PROD[[#This Row],[EFETIVO]]),""),"")</f>
        <v>20</v>
      </c>
    </row>
    <row r="1363" spans="1:11" x14ac:dyDescent="0.3">
      <c r="A1363" s="11">
        <v>46247</v>
      </c>
      <c r="B1363" s="12" t="str">
        <f t="shared" si="150"/>
        <v>AGOSTO</v>
      </c>
      <c r="C1363" s="12" t="s">
        <v>17</v>
      </c>
      <c r="D1363" s="12" t="s">
        <v>12</v>
      </c>
      <c r="E1363" s="13">
        <v>352</v>
      </c>
      <c r="F1363" s="13">
        <v>361</v>
      </c>
      <c r="G1363" s="12">
        <v>16</v>
      </c>
      <c r="H1363" s="14">
        <v>16</v>
      </c>
      <c r="I1363" s="12">
        <f>IFERROR(IF(T_PROD[[#This Row],[PREVISTO]]-T_PROD[[#This Row],[EFETIVO]]&lt; 0,0,T_PROD[[#This Row],[PREVISTO]]-T_PROD[[#This Row],[EFETIVO]] ),"")</f>
        <v>0</v>
      </c>
      <c r="J1363" s="15">
        <f>IFERROR(IF(T_PROD[[#This Row],[META]]&gt;0,(T_PROD[[#This Row],[META]]/T_PROD[[#This Row],[PREVISTO]]),""),"")</f>
        <v>22</v>
      </c>
      <c r="K1363" s="15">
        <f>IFERROR(IF(T_PROD[[#This Row],[PRODUÇÃO]]&gt;0,(T_PROD[[#This Row],[PRODUÇÃO]]/T_PROD[[#This Row],[EFETIVO]]),""),"")</f>
        <v>22.5625</v>
      </c>
    </row>
    <row r="1364" spans="1:11" x14ac:dyDescent="0.3">
      <c r="A1364" s="11">
        <v>46247</v>
      </c>
      <c r="B1364" s="12" t="str">
        <f t="shared" si="150"/>
        <v>AGOSTO</v>
      </c>
      <c r="C1364" s="12" t="s">
        <v>18</v>
      </c>
      <c r="D1364" s="12" t="s">
        <v>12</v>
      </c>
      <c r="E1364" s="13"/>
      <c r="F1364" s="13"/>
      <c r="G1364" s="12"/>
      <c r="H1364" s="14"/>
      <c r="I1364" s="12">
        <f>IFERROR(IF(T_PROD[[#This Row],[PREVISTO]]-T_PROD[[#This Row],[EFETIVO]]&lt; 0,0,T_PROD[[#This Row],[PREVISTO]]-T_PROD[[#This Row],[EFETIVO]] ),"")</f>
        <v>0</v>
      </c>
      <c r="J1364" s="15" t="str">
        <f>IFERROR(IF(T_PROD[[#This Row],[META]]&gt;0,(T_PROD[[#This Row],[META]]/T_PROD[[#This Row],[PREVISTO]]),""),"")</f>
        <v/>
      </c>
      <c r="K1364" s="15" t="str">
        <f>IFERROR(IF(T_PROD[[#This Row],[PRODUÇÃO]]&gt;0,(T_PROD[[#This Row],[PRODUÇÃO]]/T_PROD[[#This Row],[EFETIVO]]),""),"")</f>
        <v/>
      </c>
    </row>
    <row r="1365" spans="1:11" x14ac:dyDescent="0.3">
      <c r="A1365" s="11">
        <v>46247</v>
      </c>
      <c r="B1365" s="12" t="str">
        <f t="shared" si="150"/>
        <v>AGOSTO</v>
      </c>
      <c r="C1365" s="12" t="s">
        <v>19</v>
      </c>
      <c r="D1365" s="12" t="s">
        <v>12</v>
      </c>
      <c r="E1365" s="13"/>
      <c r="F1365" s="13"/>
      <c r="G1365" s="12"/>
      <c r="H1365" s="14"/>
      <c r="I1365" s="12">
        <f>IFERROR(IF(T_PROD[[#This Row],[PREVISTO]]-T_PROD[[#This Row],[EFETIVO]]&lt; 0,0,T_PROD[[#This Row],[PREVISTO]]-T_PROD[[#This Row],[EFETIVO]] ),"")</f>
        <v>0</v>
      </c>
      <c r="J1365" s="15" t="str">
        <f>IFERROR(IF(T_PROD[[#This Row],[META]]&gt;0,(T_PROD[[#This Row],[META]]/T_PROD[[#This Row],[PREVISTO]]),""),"")</f>
        <v/>
      </c>
      <c r="K1365" s="15" t="str">
        <f>IFERROR(IF(T_PROD[[#This Row],[PRODUÇÃO]]&gt;0,(T_PROD[[#This Row],[PRODUÇÃO]]/T_PROD[[#This Row],[EFETIVO]]),""),"")</f>
        <v/>
      </c>
    </row>
    <row r="1366" spans="1:11" x14ac:dyDescent="0.3">
      <c r="A1366" s="11">
        <v>46247</v>
      </c>
      <c r="B1366" s="12" t="str">
        <f t="shared" si="150"/>
        <v>AGOSTO</v>
      </c>
      <c r="C1366" s="12" t="s">
        <v>20</v>
      </c>
      <c r="D1366" s="12" t="s">
        <v>12</v>
      </c>
      <c r="E1366" s="13">
        <v>686</v>
      </c>
      <c r="F1366" s="13">
        <v>577</v>
      </c>
      <c r="G1366" s="12">
        <v>90</v>
      </c>
      <c r="H1366" s="14">
        <v>90</v>
      </c>
      <c r="I1366" s="12">
        <f>IFERROR(IF(T_PROD[[#This Row],[PREVISTO]]-T_PROD[[#This Row],[EFETIVO]]&lt; 0,0,T_PROD[[#This Row],[PREVISTO]]-T_PROD[[#This Row],[EFETIVO]] ),"")</f>
        <v>0</v>
      </c>
      <c r="J1366" s="15">
        <f>IFERROR(IF(T_PROD[[#This Row],[META]]&gt;0,(T_PROD[[#This Row],[META]]/T_PROD[[#This Row],[PREVISTO]]),""),"")</f>
        <v>7.6222222222222218</v>
      </c>
      <c r="K1366" s="15">
        <f>IFERROR(IF(T_PROD[[#This Row],[PRODUÇÃO]]&gt;0,(T_PROD[[#This Row],[PRODUÇÃO]]/T_PROD[[#This Row],[EFETIVO]]),""),"")</f>
        <v>6.4111111111111114</v>
      </c>
    </row>
    <row r="1367" spans="1:11" x14ac:dyDescent="0.3">
      <c r="A1367" s="11">
        <v>46247</v>
      </c>
      <c r="B1367" s="12" t="str">
        <f t="shared" si="150"/>
        <v>AGOSTO</v>
      </c>
      <c r="C1367" s="12" t="s">
        <v>11</v>
      </c>
      <c r="D1367" s="12" t="s">
        <v>12</v>
      </c>
      <c r="E1367" s="13">
        <v>700</v>
      </c>
      <c r="F1367" s="13">
        <v>670</v>
      </c>
      <c r="G1367" s="12">
        <v>35</v>
      </c>
      <c r="H1367" s="14">
        <v>35</v>
      </c>
      <c r="I1367" s="12">
        <f>IFERROR(IF(T_PROD[[#This Row],[PREVISTO]]-T_PROD[[#This Row],[EFETIVO]]&lt; 0,0,T_PROD[[#This Row],[PREVISTO]]-T_PROD[[#This Row],[EFETIVO]] ),"")</f>
        <v>0</v>
      </c>
      <c r="J1367" s="15">
        <f>IFERROR(IF(T_PROD[[#This Row],[META]]&gt;0,(T_PROD[[#This Row],[META]]/T_PROD[[#This Row],[PREVISTO]]),""),"")</f>
        <v>20</v>
      </c>
      <c r="K1367" s="15">
        <f>IFERROR(IF(T_PROD[[#This Row],[PRODUÇÃO]]&gt;0,(T_PROD[[#This Row],[PRODUÇÃO]]/T_PROD[[#This Row],[EFETIVO]]),""),"")</f>
        <v>19.142857142857142</v>
      </c>
    </row>
    <row r="1368" spans="1:11" x14ac:dyDescent="0.3">
      <c r="A1368" s="11">
        <v>46247</v>
      </c>
      <c r="B1368" s="12" t="str">
        <f t="shared" si="150"/>
        <v>AGOSTO</v>
      </c>
      <c r="C1368" s="12" t="s">
        <v>32</v>
      </c>
      <c r="D1368" s="12" t="s">
        <v>12</v>
      </c>
      <c r="E1368" s="13"/>
      <c r="F1368" s="13"/>
      <c r="G1368" s="12"/>
      <c r="H1368" s="14"/>
      <c r="I1368" s="12">
        <f>IFERROR(IF(T_PROD[[#This Row],[PREVISTO]]-T_PROD[[#This Row],[EFETIVO]]&lt; 0,0,T_PROD[[#This Row],[PREVISTO]]-T_PROD[[#This Row],[EFETIVO]] ),"")</f>
        <v>0</v>
      </c>
      <c r="J1368" s="15" t="str">
        <f>IFERROR(IF(T_PROD[[#This Row],[META]]&gt;0,(T_PROD[[#This Row],[META]]/T_PROD[[#This Row],[PREVISTO]]),""),"")</f>
        <v/>
      </c>
      <c r="K1368" s="15" t="str">
        <f>IFERROR(IF(T_PROD[[#This Row],[PRODUÇÃO]]&gt;0,(T_PROD[[#This Row],[PRODUÇÃO]]/T_PROD[[#This Row],[EFETIVO]]),""),"")</f>
        <v/>
      </c>
    </row>
    <row r="1369" spans="1:11" x14ac:dyDescent="0.3">
      <c r="A1369" s="11">
        <v>46247</v>
      </c>
      <c r="B1369" s="12" t="str">
        <f t="shared" si="150"/>
        <v>AGOSTO</v>
      </c>
      <c r="C1369" s="12" t="s">
        <v>14</v>
      </c>
      <c r="D1369" s="12" t="s">
        <v>12</v>
      </c>
      <c r="E1369" s="13">
        <v>700</v>
      </c>
      <c r="F1369" s="13">
        <v>670</v>
      </c>
      <c r="G1369" s="12">
        <v>85</v>
      </c>
      <c r="H1369" s="14">
        <v>83</v>
      </c>
      <c r="I1369" s="12">
        <f>IFERROR(IF(T_PROD[[#This Row],[PREVISTO]]-T_PROD[[#This Row],[EFETIVO]]&lt; 0,0,T_PROD[[#This Row],[PREVISTO]]-T_PROD[[#This Row],[EFETIVO]] ),"")</f>
        <v>2</v>
      </c>
      <c r="J1369" s="15">
        <f>IFERROR(IF(T_PROD[[#This Row],[META]]&gt;0,(T_PROD[[#This Row],[META]]/T_PROD[[#This Row],[PREVISTO]]),""),"")</f>
        <v>8.235294117647058</v>
      </c>
      <c r="K1369" s="15">
        <f>IFERROR(IF(T_PROD[[#This Row],[PRODUÇÃO]]&gt;0,(T_PROD[[#This Row],[PRODUÇÃO]]/T_PROD[[#This Row],[EFETIVO]]),""),"")</f>
        <v>8.0722891566265051</v>
      </c>
    </row>
    <row r="1370" spans="1:11" x14ac:dyDescent="0.3">
      <c r="A1370" s="11">
        <v>46248</v>
      </c>
      <c r="B1370" s="12" t="str">
        <f>UPPER(TEXT(A1370,"MMMM"))</f>
        <v>AGOSTO</v>
      </c>
      <c r="C1370" s="12" t="s">
        <v>15</v>
      </c>
      <c r="D1370" s="12" t="s">
        <v>12</v>
      </c>
      <c r="E1370" s="13">
        <v>112.5</v>
      </c>
      <c r="F1370" s="13">
        <v>55</v>
      </c>
      <c r="G1370" s="12">
        <v>7.5</v>
      </c>
      <c r="H1370" s="14">
        <v>7.5</v>
      </c>
      <c r="I1370" s="12">
        <f>IFERROR(IF(T_PROD[[#This Row],[PREVISTO]]-T_PROD[[#This Row],[EFETIVO]]&lt; 0,0,T_PROD[[#This Row],[PREVISTO]]-T_PROD[[#This Row],[EFETIVO]] ),"")</f>
        <v>0</v>
      </c>
      <c r="J1370" s="15">
        <f>IFERROR(IF(T_PROD[[#This Row],[META]]&gt;0,(T_PROD[[#This Row],[META]]/T_PROD[[#This Row],[PREVISTO]]),""),"")</f>
        <v>15</v>
      </c>
      <c r="K1370" s="15">
        <f>IFERROR(IF(T_PROD[[#This Row],[PRODUÇÃO]]&gt;0,(T_PROD[[#This Row],[PRODUÇÃO]]/T_PROD[[#This Row],[EFETIVO]]),""),"")</f>
        <v>7.333333333333333</v>
      </c>
    </row>
    <row r="1371" spans="1:11" x14ac:dyDescent="0.3">
      <c r="A1371" s="11">
        <v>46248</v>
      </c>
      <c r="B1371" s="12" t="str">
        <f t="shared" ref="B1371:B1378" si="151">UPPER(TEXT(A1371,"MMMM"))</f>
        <v>AGOSTO</v>
      </c>
      <c r="C1371" s="12" t="s">
        <v>16</v>
      </c>
      <c r="D1371" s="12" t="s">
        <v>12</v>
      </c>
      <c r="E1371" s="13">
        <v>221</v>
      </c>
      <c r="F1371" s="13">
        <v>180</v>
      </c>
      <c r="G1371" s="12">
        <v>6.5</v>
      </c>
      <c r="H1371" s="14">
        <v>6.5</v>
      </c>
      <c r="I1371" s="12">
        <f>IFERROR(IF(T_PROD[[#This Row],[PREVISTO]]-T_PROD[[#This Row],[EFETIVO]]&lt; 0,0,T_PROD[[#This Row],[PREVISTO]]-T_PROD[[#This Row],[EFETIVO]] ),"")</f>
        <v>0</v>
      </c>
      <c r="J1371" s="15">
        <f>IFERROR(IF(T_PROD[[#This Row],[META]]&gt;0,(T_PROD[[#This Row],[META]]/T_PROD[[#This Row],[PREVISTO]]),""),"")</f>
        <v>34</v>
      </c>
      <c r="K1371" s="15">
        <f>IFERROR(IF(T_PROD[[#This Row],[PRODUÇÃO]]&gt;0,(T_PROD[[#This Row],[PRODUÇÃO]]/T_PROD[[#This Row],[EFETIVO]]),""),"")</f>
        <v>27.692307692307693</v>
      </c>
    </row>
    <row r="1372" spans="1:11" x14ac:dyDescent="0.3">
      <c r="A1372" s="11">
        <v>46248</v>
      </c>
      <c r="B1372" s="12" t="str">
        <f t="shared" si="151"/>
        <v>AGOSTO</v>
      </c>
      <c r="C1372" s="12" t="s">
        <v>17</v>
      </c>
      <c r="D1372" s="12" t="s">
        <v>12</v>
      </c>
      <c r="E1372" s="13">
        <v>330</v>
      </c>
      <c r="F1372" s="13">
        <v>303</v>
      </c>
      <c r="G1372" s="12">
        <v>15</v>
      </c>
      <c r="H1372" s="14">
        <v>15</v>
      </c>
      <c r="I1372" s="12">
        <f>IFERROR(IF(T_PROD[[#This Row],[PREVISTO]]-T_PROD[[#This Row],[EFETIVO]]&lt; 0,0,T_PROD[[#This Row],[PREVISTO]]-T_PROD[[#This Row],[EFETIVO]] ),"")</f>
        <v>0</v>
      </c>
      <c r="J1372" s="15">
        <f>IFERROR(IF(T_PROD[[#This Row],[META]]&gt;0,(T_PROD[[#This Row],[META]]/T_PROD[[#This Row],[PREVISTO]]),""),"")</f>
        <v>22</v>
      </c>
      <c r="K1372" s="15">
        <f>IFERROR(IF(T_PROD[[#This Row],[PRODUÇÃO]]&gt;0,(T_PROD[[#This Row],[PRODUÇÃO]]/T_PROD[[#This Row],[EFETIVO]]),""),"")</f>
        <v>20.2</v>
      </c>
    </row>
    <row r="1373" spans="1:11" x14ac:dyDescent="0.3">
      <c r="A1373" s="11">
        <v>46248</v>
      </c>
      <c r="B1373" s="12" t="str">
        <f t="shared" si="151"/>
        <v>AGOSTO</v>
      </c>
      <c r="C1373" s="12" t="s">
        <v>18</v>
      </c>
      <c r="D1373" s="12" t="s">
        <v>12</v>
      </c>
      <c r="E1373" s="13"/>
      <c r="F1373" s="13"/>
      <c r="G1373" s="12"/>
      <c r="H1373" s="14"/>
      <c r="I1373" s="12">
        <f>IFERROR(IF(T_PROD[[#This Row],[PREVISTO]]-T_PROD[[#This Row],[EFETIVO]]&lt; 0,0,T_PROD[[#This Row],[PREVISTO]]-T_PROD[[#This Row],[EFETIVO]] ),"")</f>
        <v>0</v>
      </c>
      <c r="J1373" s="15" t="str">
        <f>IFERROR(IF(T_PROD[[#This Row],[META]]&gt;0,(T_PROD[[#This Row],[META]]/T_PROD[[#This Row],[PREVISTO]]),""),"")</f>
        <v/>
      </c>
      <c r="K1373" s="15" t="str">
        <f>IFERROR(IF(T_PROD[[#This Row],[PRODUÇÃO]]&gt;0,(T_PROD[[#This Row],[PRODUÇÃO]]/T_PROD[[#This Row],[EFETIVO]]),""),"")</f>
        <v/>
      </c>
    </row>
    <row r="1374" spans="1:11" x14ac:dyDescent="0.3">
      <c r="A1374" s="11">
        <v>46248</v>
      </c>
      <c r="B1374" s="12" t="str">
        <f t="shared" si="151"/>
        <v>AGOSTO</v>
      </c>
      <c r="C1374" s="12" t="s">
        <v>19</v>
      </c>
      <c r="D1374" s="12" t="s">
        <v>12</v>
      </c>
      <c r="E1374" s="13"/>
      <c r="F1374" s="13"/>
      <c r="G1374" s="12"/>
      <c r="H1374" s="14"/>
      <c r="I1374" s="12">
        <f>IFERROR(IF(T_PROD[[#This Row],[PREVISTO]]-T_PROD[[#This Row],[EFETIVO]]&lt; 0,0,T_PROD[[#This Row],[PREVISTO]]-T_PROD[[#This Row],[EFETIVO]] ),"")</f>
        <v>0</v>
      </c>
      <c r="J1374" s="15" t="str">
        <f>IFERROR(IF(T_PROD[[#This Row],[META]]&gt;0,(T_PROD[[#This Row],[META]]/T_PROD[[#This Row],[PREVISTO]]),""),"")</f>
        <v/>
      </c>
      <c r="K1374" s="15" t="str">
        <f>IFERROR(IF(T_PROD[[#This Row],[PRODUÇÃO]]&gt;0,(T_PROD[[#This Row],[PRODUÇÃO]]/T_PROD[[#This Row],[EFETIVO]]),""),"")</f>
        <v/>
      </c>
    </row>
    <row r="1375" spans="1:11" x14ac:dyDescent="0.3">
      <c r="A1375" s="11">
        <v>46248</v>
      </c>
      <c r="B1375" s="12" t="str">
        <f t="shared" si="151"/>
        <v>AGOSTO</v>
      </c>
      <c r="C1375" s="12" t="s">
        <v>20</v>
      </c>
      <c r="D1375" s="12" t="s">
        <v>12</v>
      </c>
      <c r="E1375" s="13">
        <v>664</v>
      </c>
      <c r="F1375" s="13">
        <v>538</v>
      </c>
      <c r="G1375" s="12">
        <v>90</v>
      </c>
      <c r="H1375" s="14">
        <v>90</v>
      </c>
      <c r="I1375" s="12">
        <f>IFERROR(IF(T_PROD[[#This Row],[PREVISTO]]-T_PROD[[#This Row],[EFETIVO]]&lt; 0,0,T_PROD[[#This Row],[PREVISTO]]-T_PROD[[#This Row],[EFETIVO]] ),"")</f>
        <v>0</v>
      </c>
      <c r="J1375" s="15">
        <f>IFERROR(IF(T_PROD[[#This Row],[META]]&gt;0,(T_PROD[[#This Row],[META]]/T_PROD[[#This Row],[PREVISTO]]),""),"")</f>
        <v>7.3777777777777782</v>
      </c>
      <c r="K1375" s="15">
        <f>IFERROR(IF(T_PROD[[#This Row],[PRODUÇÃO]]&gt;0,(T_PROD[[#This Row],[PRODUÇÃO]]/T_PROD[[#This Row],[EFETIVO]]),""),"")</f>
        <v>5.9777777777777779</v>
      </c>
    </row>
    <row r="1376" spans="1:11" x14ac:dyDescent="0.3">
      <c r="A1376" s="11">
        <v>46248</v>
      </c>
      <c r="B1376" s="12" t="str">
        <f t="shared" si="151"/>
        <v>AGOSTO</v>
      </c>
      <c r="C1376" s="12" t="s">
        <v>11</v>
      </c>
      <c r="D1376" s="12" t="s">
        <v>12</v>
      </c>
      <c r="E1376" s="13">
        <v>540</v>
      </c>
      <c r="F1376" s="13">
        <v>570</v>
      </c>
      <c r="G1376" s="12">
        <v>27</v>
      </c>
      <c r="H1376" s="14">
        <v>27</v>
      </c>
      <c r="I1376" s="12">
        <f>IFERROR(IF(T_PROD[[#This Row],[PREVISTO]]-T_PROD[[#This Row],[EFETIVO]]&lt; 0,0,T_PROD[[#This Row],[PREVISTO]]-T_PROD[[#This Row],[EFETIVO]] ),"")</f>
        <v>0</v>
      </c>
      <c r="J1376" s="15">
        <f>IFERROR(IF(T_PROD[[#This Row],[META]]&gt;0,(T_PROD[[#This Row],[META]]/T_PROD[[#This Row],[PREVISTO]]),""),"")</f>
        <v>20</v>
      </c>
      <c r="K1376" s="15">
        <f>IFERROR(IF(T_PROD[[#This Row],[PRODUÇÃO]]&gt;0,(T_PROD[[#This Row],[PRODUÇÃO]]/T_PROD[[#This Row],[EFETIVO]]),""),"")</f>
        <v>21.111111111111111</v>
      </c>
    </row>
    <row r="1377" spans="1:11" x14ac:dyDescent="0.3">
      <c r="A1377" s="11">
        <v>46248</v>
      </c>
      <c r="B1377" s="12" t="str">
        <f t="shared" si="151"/>
        <v>AGOSTO</v>
      </c>
      <c r="C1377" s="12" t="s">
        <v>32</v>
      </c>
      <c r="D1377" s="12" t="s">
        <v>12</v>
      </c>
      <c r="E1377" s="13"/>
      <c r="F1377" s="13"/>
      <c r="G1377" s="12"/>
      <c r="H1377" s="14"/>
      <c r="I1377" s="12">
        <f>IFERROR(IF(T_PROD[[#This Row],[PREVISTO]]-T_PROD[[#This Row],[EFETIVO]]&lt; 0,0,T_PROD[[#This Row],[PREVISTO]]-T_PROD[[#This Row],[EFETIVO]] ),"")</f>
        <v>0</v>
      </c>
      <c r="J1377" s="15" t="str">
        <f>IFERROR(IF(T_PROD[[#This Row],[META]]&gt;0,(T_PROD[[#This Row],[META]]/T_PROD[[#This Row],[PREVISTO]]),""),"")</f>
        <v/>
      </c>
      <c r="K1377" s="15" t="str">
        <f>IFERROR(IF(T_PROD[[#This Row],[PRODUÇÃO]]&gt;0,(T_PROD[[#This Row],[PRODUÇÃO]]/T_PROD[[#This Row],[EFETIVO]]),""),"")</f>
        <v/>
      </c>
    </row>
    <row r="1378" spans="1:11" x14ac:dyDescent="0.3">
      <c r="A1378" s="11">
        <v>46248</v>
      </c>
      <c r="B1378" s="12" t="str">
        <f t="shared" si="151"/>
        <v>AGOSTO</v>
      </c>
      <c r="C1378" s="12" t="s">
        <v>14</v>
      </c>
      <c r="D1378" s="12" t="s">
        <v>12</v>
      </c>
      <c r="E1378" s="13">
        <v>540</v>
      </c>
      <c r="F1378" s="13">
        <v>570</v>
      </c>
      <c r="G1378" s="12">
        <v>80</v>
      </c>
      <c r="H1378" s="14">
        <v>80</v>
      </c>
      <c r="I1378" s="12">
        <f>IFERROR(IF(T_PROD[[#This Row],[PREVISTO]]-T_PROD[[#This Row],[EFETIVO]]&lt; 0,0,T_PROD[[#This Row],[PREVISTO]]-T_PROD[[#This Row],[EFETIVO]] ),"")</f>
        <v>0</v>
      </c>
      <c r="J1378" s="15">
        <f>IFERROR(IF(T_PROD[[#This Row],[META]]&gt;0,(T_PROD[[#This Row],[META]]/T_PROD[[#This Row],[PREVISTO]]),""),"")</f>
        <v>6.75</v>
      </c>
      <c r="K1378" s="15">
        <f>IFERROR(IF(T_PROD[[#This Row],[PRODUÇÃO]]&gt;0,(T_PROD[[#This Row],[PRODUÇÃO]]/T_PROD[[#This Row],[EFETIVO]]),""),"")</f>
        <v>7.125</v>
      </c>
    </row>
    <row r="1379" spans="1:11" x14ac:dyDescent="0.3">
      <c r="A1379" s="11">
        <v>46251</v>
      </c>
      <c r="B1379" s="12" t="str">
        <f>UPPER(TEXT(A1379,"MMMM"))</f>
        <v>AGOSTO</v>
      </c>
      <c r="C1379" s="12" t="s">
        <v>15</v>
      </c>
      <c r="D1379" s="12" t="s">
        <v>12</v>
      </c>
      <c r="E1379" s="13">
        <v>90</v>
      </c>
      <c r="F1379" s="13">
        <v>57</v>
      </c>
      <c r="G1379" s="12">
        <v>6</v>
      </c>
      <c r="H1379" s="14">
        <v>6</v>
      </c>
      <c r="I1379" s="12">
        <f>IFERROR(IF(T_PROD[[#This Row],[PREVISTO]]-T_PROD[[#This Row],[EFETIVO]]&lt; 0,0,T_PROD[[#This Row],[PREVISTO]]-T_PROD[[#This Row],[EFETIVO]] ),"")</f>
        <v>0</v>
      </c>
      <c r="J1379" s="15">
        <f>IFERROR(IF(T_PROD[[#This Row],[META]]&gt;0,(T_PROD[[#This Row],[META]]/T_PROD[[#This Row],[PREVISTO]]),""),"")</f>
        <v>15</v>
      </c>
      <c r="K1379" s="15">
        <f>IFERROR(IF(T_PROD[[#This Row],[PRODUÇÃO]]&gt;0,(T_PROD[[#This Row],[PRODUÇÃO]]/T_PROD[[#This Row],[EFETIVO]]),""),"")</f>
        <v>9.5</v>
      </c>
    </row>
    <row r="1380" spans="1:11" x14ac:dyDescent="0.3">
      <c r="A1380" s="11">
        <v>46251</v>
      </c>
      <c r="B1380" s="12" t="str">
        <f t="shared" ref="B1380:B1387" si="152">UPPER(TEXT(A1380,"MMMM"))</f>
        <v>AGOSTO</v>
      </c>
      <c r="C1380" s="12" t="s">
        <v>16</v>
      </c>
      <c r="D1380" s="12" t="s">
        <v>12</v>
      </c>
      <c r="E1380" s="13">
        <v>221</v>
      </c>
      <c r="F1380" s="13">
        <v>201</v>
      </c>
      <c r="G1380" s="12">
        <v>6.5</v>
      </c>
      <c r="H1380" s="14">
        <v>6.5</v>
      </c>
      <c r="I1380" s="12">
        <f>IFERROR(IF(T_PROD[[#This Row],[PREVISTO]]-T_PROD[[#This Row],[EFETIVO]]&lt; 0,0,T_PROD[[#This Row],[PREVISTO]]-T_PROD[[#This Row],[EFETIVO]] ),"")</f>
        <v>0</v>
      </c>
      <c r="J1380" s="15">
        <f>IFERROR(IF(T_PROD[[#This Row],[META]]&gt;0,(T_PROD[[#This Row],[META]]/T_PROD[[#This Row],[PREVISTO]]),""),"")</f>
        <v>34</v>
      </c>
      <c r="K1380" s="15">
        <f>IFERROR(IF(T_PROD[[#This Row],[PRODUÇÃO]]&gt;0,(T_PROD[[#This Row],[PRODUÇÃO]]/T_PROD[[#This Row],[EFETIVO]]),""),"")</f>
        <v>30.923076923076923</v>
      </c>
    </row>
    <row r="1381" spans="1:11" x14ac:dyDescent="0.3">
      <c r="A1381" s="11">
        <v>46251</v>
      </c>
      <c r="B1381" s="12" t="str">
        <f t="shared" si="152"/>
        <v>AGOSTO</v>
      </c>
      <c r="C1381" s="12" t="s">
        <v>17</v>
      </c>
      <c r="D1381" s="12" t="s">
        <v>12</v>
      </c>
      <c r="E1381" s="13">
        <v>308</v>
      </c>
      <c r="F1381" s="13">
        <v>325</v>
      </c>
      <c r="G1381" s="12">
        <v>14</v>
      </c>
      <c r="H1381" s="14">
        <v>14</v>
      </c>
      <c r="I1381" s="12">
        <f>IFERROR(IF(T_PROD[[#This Row],[PREVISTO]]-T_PROD[[#This Row],[EFETIVO]]&lt; 0,0,T_PROD[[#This Row],[PREVISTO]]-T_PROD[[#This Row],[EFETIVO]] ),"")</f>
        <v>0</v>
      </c>
      <c r="J1381" s="15">
        <f>IFERROR(IF(T_PROD[[#This Row],[META]]&gt;0,(T_PROD[[#This Row],[META]]/T_PROD[[#This Row],[PREVISTO]]),""),"")</f>
        <v>22</v>
      </c>
      <c r="K1381" s="15">
        <f>IFERROR(IF(T_PROD[[#This Row],[PRODUÇÃO]]&gt;0,(T_PROD[[#This Row],[PRODUÇÃO]]/T_PROD[[#This Row],[EFETIVO]]),""),"")</f>
        <v>23.214285714285715</v>
      </c>
    </row>
    <row r="1382" spans="1:11" x14ac:dyDescent="0.3">
      <c r="A1382" s="11">
        <v>46251</v>
      </c>
      <c r="B1382" s="12" t="str">
        <f t="shared" si="152"/>
        <v>AGOSTO</v>
      </c>
      <c r="C1382" s="12" t="s">
        <v>18</v>
      </c>
      <c r="D1382" s="12" t="s">
        <v>12</v>
      </c>
      <c r="E1382" s="13"/>
      <c r="F1382" s="13"/>
      <c r="G1382" s="12"/>
      <c r="H1382" s="14"/>
      <c r="I1382" s="12">
        <f>IFERROR(IF(T_PROD[[#This Row],[PREVISTO]]-T_PROD[[#This Row],[EFETIVO]]&lt; 0,0,T_PROD[[#This Row],[PREVISTO]]-T_PROD[[#This Row],[EFETIVO]] ),"")</f>
        <v>0</v>
      </c>
      <c r="J1382" s="15" t="str">
        <f>IFERROR(IF(T_PROD[[#This Row],[META]]&gt;0,(T_PROD[[#This Row],[META]]/T_PROD[[#This Row],[PREVISTO]]),""),"")</f>
        <v/>
      </c>
      <c r="K1382" s="15" t="str">
        <f>IFERROR(IF(T_PROD[[#This Row],[PRODUÇÃO]]&gt;0,(T_PROD[[#This Row],[PRODUÇÃO]]/T_PROD[[#This Row],[EFETIVO]]),""),"")</f>
        <v/>
      </c>
    </row>
    <row r="1383" spans="1:11" x14ac:dyDescent="0.3">
      <c r="A1383" s="11">
        <v>46251</v>
      </c>
      <c r="B1383" s="12" t="str">
        <f t="shared" si="152"/>
        <v>AGOSTO</v>
      </c>
      <c r="C1383" s="12" t="s">
        <v>19</v>
      </c>
      <c r="D1383" s="12" t="s">
        <v>12</v>
      </c>
      <c r="E1383" s="13"/>
      <c r="F1383" s="13"/>
      <c r="G1383" s="12"/>
      <c r="H1383" s="14"/>
      <c r="I1383" s="12">
        <f>IFERROR(IF(T_PROD[[#This Row],[PREVISTO]]-T_PROD[[#This Row],[EFETIVO]]&lt; 0,0,T_PROD[[#This Row],[PREVISTO]]-T_PROD[[#This Row],[EFETIVO]] ),"")</f>
        <v>0</v>
      </c>
      <c r="J1383" s="15" t="str">
        <f>IFERROR(IF(T_PROD[[#This Row],[META]]&gt;0,(T_PROD[[#This Row],[META]]/T_PROD[[#This Row],[PREVISTO]]),""),"")</f>
        <v/>
      </c>
      <c r="K1383" s="15" t="str">
        <f>IFERROR(IF(T_PROD[[#This Row],[PRODUÇÃO]]&gt;0,(T_PROD[[#This Row],[PRODUÇÃO]]/T_PROD[[#This Row],[EFETIVO]]),""),"")</f>
        <v/>
      </c>
    </row>
    <row r="1384" spans="1:11" x14ac:dyDescent="0.3">
      <c r="A1384" s="11">
        <v>46251</v>
      </c>
      <c r="B1384" s="12" t="str">
        <f t="shared" si="152"/>
        <v>AGOSTO</v>
      </c>
      <c r="C1384" s="12" t="s">
        <v>20</v>
      </c>
      <c r="D1384" s="12" t="s">
        <v>12</v>
      </c>
      <c r="E1384" s="13">
        <v>619</v>
      </c>
      <c r="F1384" s="13">
        <v>583</v>
      </c>
      <c r="G1384" s="12">
        <v>90</v>
      </c>
      <c r="H1384" s="14">
        <v>90</v>
      </c>
      <c r="I1384" s="12">
        <f>IFERROR(IF(T_PROD[[#This Row],[PREVISTO]]-T_PROD[[#This Row],[EFETIVO]]&lt; 0,0,T_PROD[[#This Row],[PREVISTO]]-T_PROD[[#This Row],[EFETIVO]] ),"")</f>
        <v>0</v>
      </c>
      <c r="J1384" s="15">
        <f>IFERROR(IF(T_PROD[[#This Row],[META]]&gt;0,(T_PROD[[#This Row],[META]]/T_PROD[[#This Row],[PREVISTO]]),""),"")</f>
        <v>6.8777777777777782</v>
      </c>
      <c r="K1384" s="15">
        <f>IFERROR(IF(T_PROD[[#This Row],[PRODUÇÃO]]&gt;0,(T_PROD[[#This Row],[PRODUÇÃO]]/T_PROD[[#This Row],[EFETIVO]]),""),"")</f>
        <v>6.4777777777777779</v>
      </c>
    </row>
    <row r="1385" spans="1:11" x14ac:dyDescent="0.3">
      <c r="A1385" s="11">
        <v>46251</v>
      </c>
      <c r="B1385" s="12" t="str">
        <f t="shared" si="152"/>
        <v>AGOSTO</v>
      </c>
      <c r="C1385" s="12" t="s">
        <v>11</v>
      </c>
      <c r="D1385" s="12" t="s">
        <v>12</v>
      </c>
      <c r="E1385" s="13">
        <v>800</v>
      </c>
      <c r="F1385" s="13">
        <v>660</v>
      </c>
      <c r="G1385" s="12">
        <v>40</v>
      </c>
      <c r="H1385" s="14">
        <v>40</v>
      </c>
      <c r="I1385" s="12">
        <f>IFERROR(IF(T_PROD[[#This Row],[PREVISTO]]-T_PROD[[#This Row],[EFETIVO]]&lt; 0,0,T_PROD[[#This Row],[PREVISTO]]-T_PROD[[#This Row],[EFETIVO]] ),"")</f>
        <v>0</v>
      </c>
      <c r="J1385" s="15">
        <f>IFERROR(IF(T_PROD[[#This Row],[META]]&gt;0,(T_PROD[[#This Row],[META]]/T_PROD[[#This Row],[PREVISTO]]),""),"")</f>
        <v>20</v>
      </c>
      <c r="K1385" s="15">
        <f>IFERROR(IF(T_PROD[[#This Row],[PRODUÇÃO]]&gt;0,(T_PROD[[#This Row],[PRODUÇÃO]]/T_PROD[[#This Row],[EFETIVO]]),""),"")</f>
        <v>16.5</v>
      </c>
    </row>
    <row r="1386" spans="1:11" x14ac:dyDescent="0.3">
      <c r="A1386" s="11">
        <v>46251</v>
      </c>
      <c r="B1386" s="12" t="str">
        <f t="shared" si="152"/>
        <v>AGOSTO</v>
      </c>
      <c r="C1386" s="12" t="s">
        <v>32</v>
      </c>
      <c r="D1386" s="12" t="s">
        <v>12</v>
      </c>
      <c r="E1386" s="13"/>
      <c r="F1386" s="13"/>
      <c r="G1386" s="12"/>
      <c r="H1386" s="14"/>
      <c r="I1386" s="12">
        <f>IFERROR(IF(T_PROD[[#This Row],[PREVISTO]]-T_PROD[[#This Row],[EFETIVO]]&lt; 0,0,T_PROD[[#This Row],[PREVISTO]]-T_PROD[[#This Row],[EFETIVO]] ),"")</f>
        <v>0</v>
      </c>
      <c r="J1386" s="15" t="str">
        <f>IFERROR(IF(T_PROD[[#This Row],[META]]&gt;0,(T_PROD[[#This Row],[META]]/T_PROD[[#This Row],[PREVISTO]]),""),"")</f>
        <v/>
      </c>
      <c r="K1386" s="15" t="str">
        <f>IFERROR(IF(T_PROD[[#This Row],[PRODUÇÃO]]&gt;0,(T_PROD[[#This Row],[PRODUÇÃO]]/T_PROD[[#This Row],[EFETIVO]]),""),"")</f>
        <v/>
      </c>
    </row>
    <row r="1387" spans="1:11" x14ac:dyDescent="0.3">
      <c r="A1387" s="11">
        <v>46251</v>
      </c>
      <c r="B1387" s="12" t="str">
        <f t="shared" si="152"/>
        <v>AGOSTO</v>
      </c>
      <c r="C1387" s="12" t="s">
        <v>14</v>
      </c>
      <c r="D1387" s="12" t="s">
        <v>12</v>
      </c>
      <c r="E1387" s="13">
        <v>800</v>
      </c>
      <c r="F1387" s="13">
        <v>660</v>
      </c>
      <c r="G1387" s="12">
        <v>90</v>
      </c>
      <c r="H1387" s="14">
        <v>90</v>
      </c>
      <c r="I1387" s="12">
        <f>IFERROR(IF(T_PROD[[#This Row],[PREVISTO]]-T_PROD[[#This Row],[EFETIVO]]&lt; 0,0,T_PROD[[#This Row],[PREVISTO]]-T_PROD[[#This Row],[EFETIVO]] ),"")</f>
        <v>0</v>
      </c>
      <c r="J1387" s="15">
        <f>IFERROR(IF(T_PROD[[#This Row],[META]]&gt;0,(T_PROD[[#This Row],[META]]/T_PROD[[#This Row],[PREVISTO]]),""),"")</f>
        <v>8.8888888888888893</v>
      </c>
      <c r="K1387" s="15">
        <f>IFERROR(IF(T_PROD[[#This Row],[PRODUÇÃO]]&gt;0,(T_PROD[[#This Row],[PRODUÇÃO]]/T_PROD[[#This Row],[EFETIVO]]),""),"")</f>
        <v>7.333333333333333</v>
      </c>
    </row>
    <row r="1388" spans="1:11" x14ac:dyDescent="0.3">
      <c r="A1388" s="11">
        <v>46252</v>
      </c>
      <c r="B1388" s="12" t="str">
        <f>UPPER(TEXT(A1388,"MMMM"))</f>
        <v>AGOSTO</v>
      </c>
      <c r="C1388" s="12" t="s">
        <v>15</v>
      </c>
      <c r="D1388" s="12" t="s">
        <v>12</v>
      </c>
      <c r="E1388" s="13">
        <v>97.5</v>
      </c>
      <c r="F1388" s="13">
        <v>70</v>
      </c>
      <c r="G1388" s="12">
        <v>6.5</v>
      </c>
      <c r="H1388" s="14">
        <v>6.5</v>
      </c>
      <c r="I1388" s="12">
        <f>IFERROR(IF(T_PROD[[#This Row],[PREVISTO]]-T_PROD[[#This Row],[EFETIVO]]&lt; 0,0,T_PROD[[#This Row],[PREVISTO]]-T_PROD[[#This Row],[EFETIVO]] ),"")</f>
        <v>0</v>
      </c>
      <c r="J1388" s="15">
        <f>IFERROR(IF(T_PROD[[#This Row],[META]]&gt;0,(T_PROD[[#This Row],[META]]/T_PROD[[#This Row],[PREVISTO]]),""),"")</f>
        <v>15</v>
      </c>
      <c r="K1388" s="15">
        <f>IFERROR(IF(T_PROD[[#This Row],[PRODUÇÃO]]&gt;0,(T_PROD[[#This Row],[PRODUÇÃO]]/T_PROD[[#This Row],[EFETIVO]]),""),"")</f>
        <v>10.76923076923077</v>
      </c>
    </row>
    <row r="1389" spans="1:11" x14ac:dyDescent="0.3">
      <c r="A1389" s="11">
        <v>46252</v>
      </c>
      <c r="B1389" s="12" t="str">
        <f t="shared" ref="B1389:B1396" si="153">UPPER(TEXT(A1389,"MMMM"))</f>
        <v>AGOSTO</v>
      </c>
      <c r="C1389" s="12" t="s">
        <v>16</v>
      </c>
      <c r="D1389" s="12" t="s">
        <v>12</v>
      </c>
      <c r="E1389" s="13">
        <v>255</v>
      </c>
      <c r="F1389" s="13">
        <v>230</v>
      </c>
      <c r="G1389" s="12">
        <v>7.5</v>
      </c>
      <c r="H1389" s="14">
        <v>7.5</v>
      </c>
      <c r="I1389" s="12">
        <f>IFERROR(IF(T_PROD[[#This Row],[PREVISTO]]-T_PROD[[#This Row],[EFETIVO]]&lt; 0,0,T_PROD[[#This Row],[PREVISTO]]-T_PROD[[#This Row],[EFETIVO]] ),"")</f>
        <v>0</v>
      </c>
      <c r="J1389" s="15">
        <f>IFERROR(IF(T_PROD[[#This Row],[META]]&gt;0,(T_PROD[[#This Row],[META]]/T_PROD[[#This Row],[PREVISTO]]),""),"")</f>
        <v>34</v>
      </c>
      <c r="K1389" s="15">
        <f>IFERROR(IF(T_PROD[[#This Row],[PRODUÇÃO]]&gt;0,(T_PROD[[#This Row],[PRODUÇÃO]]/T_PROD[[#This Row],[EFETIVO]]),""),"")</f>
        <v>30.666666666666668</v>
      </c>
    </row>
    <row r="1390" spans="1:11" x14ac:dyDescent="0.3">
      <c r="A1390" s="11">
        <v>46252</v>
      </c>
      <c r="B1390" s="12" t="str">
        <f t="shared" si="153"/>
        <v>AGOSTO</v>
      </c>
      <c r="C1390" s="12" t="s">
        <v>17</v>
      </c>
      <c r="D1390" s="12" t="s">
        <v>12</v>
      </c>
      <c r="E1390" s="13">
        <v>330</v>
      </c>
      <c r="F1390" s="13">
        <v>316</v>
      </c>
      <c r="G1390" s="12">
        <v>15</v>
      </c>
      <c r="H1390" s="14">
        <v>15</v>
      </c>
      <c r="I1390" s="12">
        <f>IFERROR(IF(T_PROD[[#This Row],[PREVISTO]]-T_PROD[[#This Row],[EFETIVO]]&lt; 0,0,T_PROD[[#This Row],[PREVISTO]]-T_PROD[[#This Row],[EFETIVO]] ),"")</f>
        <v>0</v>
      </c>
      <c r="J1390" s="15">
        <f>IFERROR(IF(T_PROD[[#This Row],[META]]&gt;0,(T_PROD[[#This Row],[META]]/T_PROD[[#This Row],[PREVISTO]]),""),"")</f>
        <v>22</v>
      </c>
      <c r="K1390" s="15">
        <f>IFERROR(IF(T_PROD[[#This Row],[PRODUÇÃO]]&gt;0,(T_PROD[[#This Row],[PRODUÇÃO]]/T_PROD[[#This Row],[EFETIVO]]),""),"")</f>
        <v>21.066666666666666</v>
      </c>
    </row>
    <row r="1391" spans="1:11" x14ac:dyDescent="0.3">
      <c r="A1391" s="11">
        <v>46252</v>
      </c>
      <c r="B1391" s="12" t="str">
        <f t="shared" si="153"/>
        <v>AGOSTO</v>
      </c>
      <c r="C1391" s="12" t="s">
        <v>18</v>
      </c>
      <c r="D1391" s="12" t="s">
        <v>12</v>
      </c>
      <c r="E1391" s="13"/>
      <c r="F1391" s="13"/>
      <c r="G1391" s="12"/>
      <c r="H1391" s="14"/>
      <c r="I1391" s="12">
        <f>IFERROR(IF(T_PROD[[#This Row],[PREVISTO]]-T_PROD[[#This Row],[EFETIVO]]&lt; 0,0,T_PROD[[#This Row],[PREVISTO]]-T_PROD[[#This Row],[EFETIVO]] ),"")</f>
        <v>0</v>
      </c>
      <c r="J1391" s="15" t="str">
        <f>IFERROR(IF(T_PROD[[#This Row],[META]]&gt;0,(T_PROD[[#This Row],[META]]/T_PROD[[#This Row],[PREVISTO]]),""),"")</f>
        <v/>
      </c>
      <c r="K1391" s="15" t="str">
        <f>IFERROR(IF(T_PROD[[#This Row],[PRODUÇÃO]]&gt;0,(T_PROD[[#This Row],[PRODUÇÃO]]/T_PROD[[#This Row],[EFETIVO]]),""),"")</f>
        <v/>
      </c>
    </row>
    <row r="1392" spans="1:11" x14ac:dyDescent="0.3">
      <c r="A1392" s="11">
        <v>46252</v>
      </c>
      <c r="B1392" s="12" t="str">
        <f t="shared" si="153"/>
        <v>AGOSTO</v>
      </c>
      <c r="C1392" s="12" t="s">
        <v>19</v>
      </c>
      <c r="D1392" s="12" t="s">
        <v>12</v>
      </c>
      <c r="E1392" s="13"/>
      <c r="F1392" s="13"/>
      <c r="G1392" s="12"/>
      <c r="H1392" s="14"/>
      <c r="I1392" s="12">
        <f>IFERROR(IF(T_PROD[[#This Row],[PREVISTO]]-T_PROD[[#This Row],[EFETIVO]]&lt; 0,0,T_PROD[[#This Row],[PREVISTO]]-T_PROD[[#This Row],[EFETIVO]] ),"")</f>
        <v>0</v>
      </c>
      <c r="J1392" s="15" t="str">
        <f>IFERROR(IF(T_PROD[[#This Row],[META]]&gt;0,(T_PROD[[#This Row],[META]]/T_PROD[[#This Row],[PREVISTO]]),""),"")</f>
        <v/>
      </c>
      <c r="K1392" s="15" t="str">
        <f>IFERROR(IF(T_PROD[[#This Row],[PRODUÇÃO]]&gt;0,(T_PROD[[#This Row],[PRODUÇÃO]]/T_PROD[[#This Row],[EFETIVO]]),""),"")</f>
        <v/>
      </c>
    </row>
    <row r="1393" spans="1:11" x14ac:dyDescent="0.3">
      <c r="A1393" s="11">
        <v>46252</v>
      </c>
      <c r="B1393" s="12" t="str">
        <f t="shared" si="153"/>
        <v>AGOSTO</v>
      </c>
      <c r="C1393" s="12" t="s">
        <v>20</v>
      </c>
      <c r="D1393" s="12" t="s">
        <v>12</v>
      </c>
      <c r="E1393" s="13">
        <v>683</v>
      </c>
      <c r="F1393" s="13">
        <v>616</v>
      </c>
      <c r="G1393" s="12">
        <v>90</v>
      </c>
      <c r="H1393" s="14">
        <v>90</v>
      </c>
      <c r="I1393" s="12">
        <f>IFERROR(IF(T_PROD[[#This Row],[PREVISTO]]-T_PROD[[#This Row],[EFETIVO]]&lt; 0,0,T_PROD[[#This Row],[PREVISTO]]-T_PROD[[#This Row],[EFETIVO]] ),"")</f>
        <v>0</v>
      </c>
      <c r="J1393" s="15">
        <f>IFERROR(IF(T_PROD[[#This Row],[META]]&gt;0,(T_PROD[[#This Row],[META]]/T_PROD[[#This Row],[PREVISTO]]),""),"")</f>
        <v>7.5888888888888886</v>
      </c>
      <c r="K1393" s="15">
        <f>IFERROR(IF(T_PROD[[#This Row],[PRODUÇÃO]]&gt;0,(T_PROD[[#This Row],[PRODUÇÃO]]/T_PROD[[#This Row],[EFETIVO]]),""),"")</f>
        <v>6.8444444444444441</v>
      </c>
    </row>
    <row r="1394" spans="1:11" x14ac:dyDescent="0.3">
      <c r="A1394" s="11">
        <v>46252</v>
      </c>
      <c r="B1394" s="12" t="str">
        <f t="shared" si="153"/>
        <v>AGOSTO</v>
      </c>
      <c r="C1394" s="12" t="s">
        <v>11</v>
      </c>
      <c r="D1394" s="12" t="s">
        <v>12</v>
      </c>
      <c r="E1394" s="13">
        <v>800</v>
      </c>
      <c r="F1394" s="13">
        <v>785</v>
      </c>
      <c r="G1394" s="12">
        <v>40</v>
      </c>
      <c r="H1394" s="14">
        <v>40</v>
      </c>
      <c r="I1394" s="12">
        <f>IFERROR(IF(T_PROD[[#This Row],[PREVISTO]]-T_PROD[[#This Row],[EFETIVO]]&lt; 0,0,T_PROD[[#This Row],[PREVISTO]]-T_PROD[[#This Row],[EFETIVO]] ),"")</f>
        <v>0</v>
      </c>
      <c r="J1394" s="15">
        <f>IFERROR(IF(T_PROD[[#This Row],[META]]&gt;0,(T_PROD[[#This Row],[META]]/T_PROD[[#This Row],[PREVISTO]]),""),"")</f>
        <v>20</v>
      </c>
      <c r="K1394" s="15">
        <f>IFERROR(IF(T_PROD[[#This Row],[PRODUÇÃO]]&gt;0,(T_PROD[[#This Row],[PRODUÇÃO]]/T_PROD[[#This Row],[EFETIVO]]),""),"")</f>
        <v>19.625</v>
      </c>
    </row>
    <row r="1395" spans="1:11" x14ac:dyDescent="0.3">
      <c r="A1395" s="11">
        <v>46252</v>
      </c>
      <c r="B1395" s="12" t="str">
        <f t="shared" si="153"/>
        <v>AGOSTO</v>
      </c>
      <c r="C1395" s="12" t="s">
        <v>32</v>
      </c>
      <c r="D1395" s="12" t="s">
        <v>12</v>
      </c>
      <c r="E1395" s="13"/>
      <c r="F1395" s="13"/>
      <c r="G1395" s="12"/>
      <c r="H1395" s="14"/>
      <c r="I1395" s="12">
        <f>IFERROR(IF(T_PROD[[#This Row],[PREVISTO]]-T_PROD[[#This Row],[EFETIVO]]&lt; 0,0,T_PROD[[#This Row],[PREVISTO]]-T_PROD[[#This Row],[EFETIVO]] ),"")</f>
        <v>0</v>
      </c>
      <c r="J1395" s="15" t="str">
        <f>IFERROR(IF(T_PROD[[#This Row],[META]]&gt;0,(T_PROD[[#This Row],[META]]/T_PROD[[#This Row],[PREVISTO]]),""),"")</f>
        <v/>
      </c>
      <c r="K1395" s="15" t="str">
        <f>IFERROR(IF(T_PROD[[#This Row],[PRODUÇÃO]]&gt;0,(T_PROD[[#This Row],[PRODUÇÃO]]/T_PROD[[#This Row],[EFETIVO]]),""),"")</f>
        <v/>
      </c>
    </row>
    <row r="1396" spans="1:11" x14ac:dyDescent="0.3">
      <c r="A1396" s="11">
        <v>46252</v>
      </c>
      <c r="B1396" s="12" t="str">
        <f t="shared" si="153"/>
        <v>AGOSTO</v>
      </c>
      <c r="C1396" s="12" t="s">
        <v>14</v>
      </c>
      <c r="D1396" s="12" t="s">
        <v>12</v>
      </c>
      <c r="E1396" s="13">
        <v>800</v>
      </c>
      <c r="F1396" s="13">
        <v>785</v>
      </c>
      <c r="G1396" s="12">
        <v>95</v>
      </c>
      <c r="H1396" s="14">
        <v>95</v>
      </c>
      <c r="I1396" s="12">
        <f>IFERROR(IF(T_PROD[[#This Row],[PREVISTO]]-T_PROD[[#This Row],[EFETIVO]]&lt; 0,0,T_PROD[[#This Row],[PREVISTO]]-T_PROD[[#This Row],[EFETIVO]] ),"")</f>
        <v>0</v>
      </c>
      <c r="J1396" s="15">
        <f>IFERROR(IF(T_PROD[[#This Row],[META]]&gt;0,(T_PROD[[#This Row],[META]]/T_PROD[[#This Row],[PREVISTO]]),""),"")</f>
        <v>8.4210526315789469</v>
      </c>
      <c r="K1396" s="15">
        <f>IFERROR(IF(T_PROD[[#This Row],[PRODUÇÃO]]&gt;0,(T_PROD[[#This Row],[PRODUÇÃO]]/T_PROD[[#This Row],[EFETIVO]]),""),"")</f>
        <v>8.2631578947368425</v>
      </c>
    </row>
    <row r="1397" spans="1:11" x14ac:dyDescent="0.3">
      <c r="A1397" s="11">
        <v>46253</v>
      </c>
      <c r="B1397" s="12" t="str">
        <f>UPPER(TEXT(A1397,"MMMM"))</f>
        <v>AGOSTO</v>
      </c>
      <c r="C1397" s="12" t="s">
        <v>15</v>
      </c>
      <c r="D1397" s="12" t="s">
        <v>12</v>
      </c>
      <c r="E1397" s="13">
        <v>97.5</v>
      </c>
      <c r="F1397" s="13">
        <v>70</v>
      </c>
      <c r="G1397" s="12">
        <v>6.5</v>
      </c>
      <c r="H1397" s="14">
        <v>6.5</v>
      </c>
      <c r="I1397" s="12">
        <f>IFERROR(IF(T_PROD[[#This Row],[PREVISTO]]-T_PROD[[#This Row],[EFETIVO]]&lt; 0,0,T_PROD[[#This Row],[PREVISTO]]-T_PROD[[#This Row],[EFETIVO]] ),"")</f>
        <v>0</v>
      </c>
      <c r="J1397" s="15">
        <f>IFERROR(IF(T_PROD[[#This Row],[META]]&gt;0,(T_PROD[[#This Row],[META]]/T_PROD[[#This Row],[PREVISTO]]),""),"")</f>
        <v>15</v>
      </c>
      <c r="K1397" s="15">
        <f>IFERROR(IF(T_PROD[[#This Row],[PRODUÇÃO]]&gt;0,(T_PROD[[#This Row],[PRODUÇÃO]]/T_PROD[[#This Row],[EFETIVO]]),""),"")</f>
        <v>10.76923076923077</v>
      </c>
    </row>
    <row r="1398" spans="1:11" x14ac:dyDescent="0.3">
      <c r="A1398" s="11">
        <v>46253</v>
      </c>
      <c r="B1398" s="12" t="str">
        <f t="shared" ref="B1398:B1405" si="154">UPPER(TEXT(A1398,"MMMM"))</f>
        <v>AGOSTO</v>
      </c>
      <c r="C1398" s="12" t="s">
        <v>16</v>
      </c>
      <c r="D1398" s="12" t="s">
        <v>12</v>
      </c>
      <c r="E1398" s="13">
        <v>221</v>
      </c>
      <c r="F1398" s="13">
        <v>213</v>
      </c>
      <c r="G1398" s="12">
        <v>6.5</v>
      </c>
      <c r="H1398" s="14">
        <v>6.5</v>
      </c>
      <c r="I1398" s="12">
        <f>IFERROR(IF(T_PROD[[#This Row],[PREVISTO]]-T_PROD[[#This Row],[EFETIVO]]&lt; 0,0,T_PROD[[#This Row],[PREVISTO]]-T_PROD[[#This Row],[EFETIVO]] ),"")</f>
        <v>0</v>
      </c>
      <c r="J1398" s="15">
        <f>IFERROR(IF(T_PROD[[#This Row],[META]]&gt;0,(T_PROD[[#This Row],[META]]/T_PROD[[#This Row],[PREVISTO]]),""),"")</f>
        <v>34</v>
      </c>
      <c r="K1398" s="15">
        <f>IFERROR(IF(T_PROD[[#This Row],[PRODUÇÃO]]&gt;0,(T_PROD[[#This Row],[PRODUÇÃO]]/T_PROD[[#This Row],[EFETIVO]]),""),"")</f>
        <v>32.769230769230766</v>
      </c>
    </row>
    <row r="1399" spans="1:11" x14ac:dyDescent="0.3">
      <c r="A1399" s="11">
        <v>46253</v>
      </c>
      <c r="B1399" s="12" t="str">
        <f t="shared" si="154"/>
        <v>AGOSTO</v>
      </c>
      <c r="C1399" s="12" t="s">
        <v>17</v>
      </c>
      <c r="D1399" s="12" t="s">
        <v>12</v>
      </c>
      <c r="E1399" s="13">
        <v>308</v>
      </c>
      <c r="F1399" s="13">
        <v>241</v>
      </c>
      <c r="G1399" s="12">
        <v>14</v>
      </c>
      <c r="H1399" s="14">
        <v>14</v>
      </c>
      <c r="I1399" s="12">
        <f>IFERROR(IF(T_PROD[[#This Row],[PREVISTO]]-T_PROD[[#This Row],[EFETIVO]]&lt; 0,0,T_PROD[[#This Row],[PREVISTO]]-T_PROD[[#This Row],[EFETIVO]] ),"")</f>
        <v>0</v>
      </c>
      <c r="J1399" s="15">
        <f>IFERROR(IF(T_PROD[[#This Row],[META]]&gt;0,(T_PROD[[#This Row],[META]]/T_PROD[[#This Row],[PREVISTO]]),""),"")</f>
        <v>22</v>
      </c>
      <c r="K1399" s="15">
        <f>IFERROR(IF(T_PROD[[#This Row],[PRODUÇÃO]]&gt;0,(T_PROD[[#This Row],[PRODUÇÃO]]/T_PROD[[#This Row],[EFETIVO]]),""),"")</f>
        <v>17.214285714285715</v>
      </c>
    </row>
    <row r="1400" spans="1:11" x14ac:dyDescent="0.3">
      <c r="A1400" s="11">
        <v>46253</v>
      </c>
      <c r="B1400" s="12" t="str">
        <f t="shared" si="154"/>
        <v>AGOSTO</v>
      </c>
      <c r="C1400" s="12" t="s">
        <v>18</v>
      </c>
      <c r="D1400" s="12" t="s">
        <v>12</v>
      </c>
      <c r="E1400" s="13"/>
      <c r="F1400" s="13"/>
      <c r="G1400" s="12"/>
      <c r="H1400" s="14"/>
      <c r="I1400" s="12">
        <f>IFERROR(IF(T_PROD[[#This Row],[PREVISTO]]-T_PROD[[#This Row],[EFETIVO]]&lt; 0,0,T_PROD[[#This Row],[PREVISTO]]-T_PROD[[#This Row],[EFETIVO]] ),"")</f>
        <v>0</v>
      </c>
      <c r="J1400" s="15" t="str">
        <f>IFERROR(IF(T_PROD[[#This Row],[META]]&gt;0,(T_PROD[[#This Row],[META]]/T_PROD[[#This Row],[PREVISTO]]),""),"")</f>
        <v/>
      </c>
      <c r="K1400" s="15" t="str">
        <f>IFERROR(IF(T_PROD[[#This Row],[PRODUÇÃO]]&gt;0,(T_PROD[[#This Row],[PRODUÇÃO]]/T_PROD[[#This Row],[EFETIVO]]),""),"")</f>
        <v/>
      </c>
    </row>
    <row r="1401" spans="1:11" x14ac:dyDescent="0.3">
      <c r="A1401" s="11">
        <v>46253</v>
      </c>
      <c r="B1401" s="12" t="str">
        <f t="shared" si="154"/>
        <v>AGOSTO</v>
      </c>
      <c r="C1401" s="12" t="s">
        <v>19</v>
      </c>
      <c r="D1401" s="12" t="s">
        <v>12</v>
      </c>
      <c r="E1401" s="13"/>
      <c r="F1401" s="13"/>
      <c r="G1401" s="12"/>
      <c r="H1401" s="14"/>
      <c r="I1401" s="12">
        <f>IFERROR(IF(T_PROD[[#This Row],[PREVISTO]]-T_PROD[[#This Row],[EFETIVO]]&lt; 0,0,T_PROD[[#This Row],[PREVISTO]]-T_PROD[[#This Row],[EFETIVO]] ),"")</f>
        <v>0</v>
      </c>
      <c r="J1401" s="15" t="str">
        <f>IFERROR(IF(T_PROD[[#This Row],[META]]&gt;0,(T_PROD[[#This Row],[META]]/T_PROD[[#This Row],[PREVISTO]]),""),"")</f>
        <v/>
      </c>
      <c r="K1401" s="15" t="str">
        <f>IFERROR(IF(T_PROD[[#This Row],[PRODUÇÃO]]&gt;0,(T_PROD[[#This Row],[PRODUÇÃO]]/T_PROD[[#This Row],[EFETIVO]]),""),"")</f>
        <v/>
      </c>
    </row>
    <row r="1402" spans="1:11" x14ac:dyDescent="0.3">
      <c r="A1402" s="11">
        <v>46253</v>
      </c>
      <c r="B1402" s="12" t="str">
        <f t="shared" si="154"/>
        <v>AGOSTO</v>
      </c>
      <c r="C1402" s="12" t="s">
        <v>20</v>
      </c>
      <c r="D1402" s="12" t="s">
        <v>12</v>
      </c>
      <c r="E1402" s="13">
        <v>624</v>
      </c>
      <c r="F1402" s="13">
        <v>524</v>
      </c>
      <c r="G1402" s="12">
        <v>90</v>
      </c>
      <c r="H1402" s="14">
        <v>90</v>
      </c>
      <c r="I1402" s="12">
        <f>IFERROR(IF(T_PROD[[#This Row],[PREVISTO]]-T_PROD[[#This Row],[EFETIVO]]&lt; 0,0,T_PROD[[#This Row],[PREVISTO]]-T_PROD[[#This Row],[EFETIVO]] ),"")</f>
        <v>0</v>
      </c>
      <c r="J1402" s="15">
        <f>IFERROR(IF(T_PROD[[#This Row],[META]]&gt;0,(T_PROD[[#This Row],[META]]/T_PROD[[#This Row],[PREVISTO]]),""),"")</f>
        <v>6.9333333333333336</v>
      </c>
      <c r="K1402" s="15">
        <f>IFERROR(IF(T_PROD[[#This Row],[PRODUÇÃO]]&gt;0,(T_PROD[[#This Row],[PRODUÇÃO]]/T_PROD[[#This Row],[EFETIVO]]),""),"")</f>
        <v>5.822222222222222</v>
      </c>
    </row>
    <row r="1403" spans="1:11" x14ac:dyDescent="0.3">
      <c r="A1403" s="11">
        <v>46253</v>
      </c>
      <c r="B1403" s="12" t="str">
        <f t="shared" si="154"/>
        <v>AGOSTO</v>
      </c>
      <c r="C1403" s="12" t="s">
        <v>11</v>
      </c>
      <c r="D1403" s="12" t="s">
        <v>12</v>
      </c>
      <c r="E1403" s="13">
        <v>800</v>
      </c>
      <c r="F1403" s="13">
        <v>768</v>
      </c>
      <c r="G1403" s="12">
        <v>40</v>
      </c>
      <c r="H1403" s="14">
        <v>40</v>
      </c>
      <c r="I1403" s="12">
        <f>IFERROR(IF(T_PROD[[#This Row],[PREVISTO]]-T_PROD[[#This Row],[EFETIVO]]&lt; 0,0,T_PROD[[#This Row],[PREVISTO]]-T_PROD[[#This Row],[EFETIVO]] ),"")</f>
        <v>0</v>
      </c>
      <c r="J1403" s="15">
        <f>IFERROR(IF(T_PROD[[#This Row],[META]]&gt;0,(T_PROD[[#This Row],[META]]/T_PROD[[#This Row],[PREVISTO]]),""),"")</f>
        <v>20</v>
      </c>
      <c r="K1403" s="15">
        <f>IFERROR(IF(T_PROD[[#This Row],[PRODUÇÃO]]&gt;0,(T_PROD[[#This Row],[PRODUÇÃO]]/T_PROD[[#This Row],[EFETIVO]]),""),"")</f>
        <v>19.2</v>
      </c>
    </row>
    <row r="1404" spans="1:11" x14ac:dyDescent="0.3">
      <c r="A1404" s="11">
        <v>46253</v>
      </c>
      <c r="B1404" s="12" t="str">
        <f t="shared" si="154"/>
        <v>AGOSTO</v>
      </c>
      <c r="C1404" s="12" t="s">
        <v>32</v>
      </c>
      <c r="D1404" s="12" t="s">
        <v>12</v>
      </c>
      <c r="E1404" s="13">
        <v>44</v>
      </c>
      <c r="F1404" s="13">
        <v>36</v>
      </c>
      <c r="G1404" s="12">
        <v>4</v>
      </c>
      <c r="H1404" s="14">
        <v>4</v>
      </c>
      <c r="I1404" s="12">
        <f>IFERROR(IF(T_PROD[[#This Row],[PREVISTO]]-T_PROD[[#This Row],[EFETIVO]]&lt; 0,0,T_PROD[[#This Row],[PREVISTO]]-T_PROD[[#This Row],[EFETIVO]] ),"")</f>
        <v>0</v>
      </c>
      <c r="J1404" s="15">
        <f>IFERROR(IF(T_PROD[[#This Row],[META]]&gt;0,(T_PROD[[#This Row],[META]]/T_PROD[[#This Row],[PREVISTO]]),""),"")</f>
        <v>11</v>
      </c>
      <c r="K1404" s="15">
        <f>IFERROR(IF(T_PROD[[#This Row],[PRODUÇÃO]]&gt;0,(T_PROD[[#This Row],[PRODUÇÃO]]/T_PROD[[#This Row],[EFETIVO]]),""),"")</f>
        <v>9</v>
      </c>
    </row>
    <row r="1405" spans="1:11" x14ac:dyDescent="0.3">
      <c r="A1405" s="11">
        <v>46253</v>
      </c>
      <c r="B1405" s="12" t="str">
        <f t="shared" si="154"/>
        <v>AGOSTO</v>
      </c>
      <c r="C1405" s="12" t="s">
        <v>14</v>
      </c>
      <c r="D1405" s="12" t="s">
        <v>12</v>
      </c>
      <c r="E1405" s="13">
        <v>844</v>
      </c>
      <c r="F1405" s="13">
        <v>804</v>
      </c>
      <c r="G1405" s="12">
        <v>95</v>
      </c>
      <c r="H1405" s="14">
        <v>95</v>
      </c>
      <c r="I1405" s="12">
        <f>IFERROR(IF(T_PROD[[#This Row],[PREVISTO]]-T_PROD[[#This Row],[EFETIVO]]&lt; 0,0,T_PROD[[#This Row],[PREVISTO]]-T_PROD[[#This Row],[EFETIVO]] ),"")</f>
        <v>0</v>
      </c>
      <c r="J1405" s="15">
        <f>IFERROR(IF(T_PROD[[#This Row],[META]]&gt;0,(T_PROD[[#This Row],[META]]/T_PROD[[#This Row],[PREVISTO]]),""),"")</f>
        <v>8.8842105263157887</v>
      </c>
      <c r="K1405" s="15">
        <f>IFERROR(IF(T_PROD[[#This Row],[PRODUÇÃO]]&gt;0,(T_PROD[[#This Row],[PRODUÇÃO]]/T_PROD[[#This Row],[EFETIVO]]),""),"")</f>
        <v>8.4631578947368418</v>
      </c>
    </row>
    <row r="1406" spans="1:11" x14ac:dyDescent="0.3">
      <c r="A1406" s="11">
        <v>46254</v>
      </c>
      <c r="B1406" s="12" t="str">
        <f>UPPER(TEXT(A1406,"MMMM"))</f>
        <v>AGOSTO</v>
      </c>
      <c r="C1406" s="12" t="s">
        <v>15</v>
      </c>
      <c r="D1406" s="12" t="s">
        <v>12</v>
      </c>
      <c r="E1406" s="13">
        <v>75</v>
      </c>
      <c r="F1406" s="13">
        <v>0</v>
      </c>
      <c r="G1406" s="12">
        <v>5</v>
      </c>
      <c r="H1406" s="14">
        <v>5</v>
      </c>
      <c r="I1406" s="12">
        <f>IFERROR(IF(T_PROD[[#This Row],[PREVISTO]]-T_PROD[[#This Row],[EFETIVO]]&lt; 0,0,T_PROD[[#This Row],[PREVISTO]]-T_PROD[[#This Row],[EFETIVO]] ),"")</f>
        <v>0</v>
      </c>
      <c r="J1406" s="15">
        <f>IFERROR(IF(T_PROD[[#This Row],[META]]&gt;0,(T_PROD[[#This Row],[META]]/T_PROD[[#This Row],[PREVISTO]]),""),"")</f>
        <v>15</v>
      </c>
      <c r="K1406" s="15" t="str">
        <f>IFERROR(IF(T_PROD[[#This Row],[PRODUÇÃO]]&gt;0,(T_PROD[[#This Row],[PRODUÇÃO]]/T_PROD[[#This Row],[EFETIVO]]),""),"")</f>
        <v/>
      </c>
    </row>
    <row r="1407" spans="1:11" x14ac:dyDescent="0.3">
      <c r="A1407" s="11">
        <v>46254</v>
      </c>
      <c r="B1407" s="12" t="str">
        <f t="shared" ref="B1407:B1414" si="155">UPPER(TEXT(A1407,"MMMM"))</f>
        <v>AGOSTO</v>
      </c>
      <c r="C1407" s="12" t="s">
        <v>16</v>
      </c>
      <c r="D1407" s="12" t="s">
        <v>12</v>
      </c>
      <c r="E1407" s="13">
        <v>238</v>
      </c>
      <c r="F1407" s="13">
        <v>187</v>
      </c>
      <c r="G1407" s="12">
        <v>7</v>
      </c>
      <c r="H1407" s="14">
        <v>7</v>
      </c>
      <c r="I1407" s="12">
        <f>IFERROR(IF(T_PROD[[#This Row],[PREVISTO]]-T_PROD[[#This Row],[EFETIVO]]&lt; 0,0,T_PROD[[#This Row],[PREVISTO]]-T_PROD[[#This Row],[EFETIVO]] ),"")</f>
        <v>0</v>
      </c>
      <c r="J1407" s="15">
        <f>IFERROR(IF(T_PROD[[#This Row],[META]]&gt;0,(T_PROD[[#This Row],[META]]/T_PROD[[#This Row],[PREVISTO]]),""),"")</f>
        <v>34</v>
      </c>
      <c r="K1407" s="15">
        <f>IFERROR(IF(T_PROD[[#This Row],[PRODUÇÃO]]&gt;0,(T_PROD[[#This Row],[PRODUÇÃO]]/T_PROD[[#This Row],[EFETIVO]]),""),"")</f>
        <v>26.714285714285715</v>
      </c>
    </row>
    <row r="1408" spans="1:11" x14ac:dyDescent="0.3">
      <c r="A1408" s="11">
        <v>46254</v>
      </c>
      <c r="B1408" s="12" t="str">
        <f t="shared" si="155"/>
        <v>AGOSTO</v>
      </c>
      <c r="C1408" s="12" t="s">
        <v>17</v>
      </c>
      <c r="D1408" s="12" t="s">
        <v>12</v>
      </c>
      <c r="E1408" s="13">
        <v>330</v>
      </c>
      <c r="F1408" s="13">
        <v>223</v>
      </c>
      <c r="G1408" s="12">
        <v>15</v>
      </c>
      <c r="H1408" s="14">
        <v>15</v>
      </c>
      <c r="I1408" s="12">
        <f>IFERROR(IF(T_PROD[[#This Row],[PREVISTO]]-T_PROD[[#This Row],[EFETIVO]]&lt; 0,0,T_PROD[[#This Row],[PREVISTO]]-T_PROD[[#This Row],[EFETIVO]] ),"")</f>
        <v>0</v>
      </c>
      <c r="J1408" s="15">
        <f>IFERROR(IF(T_PROD[[#This Row],[META]]&gt;0,(T_PROD[[#This Row],[META]]/T_PROD[[#This Row],[PREVISTO]]),""),"")</f>
        <v>22</v>
      </c>
      <c r="K1408" s="15">
        <f>IFERROR(IF(T_PROD[[#This Row],[PRODUÇÃO]]&gt;0,(T_PROD[[#This Row],[PRODUÇÃO]]/T_PROD[[#This Row],[EFETIVO]]),""),"")</f>
        <v>14.866666666666667</v>
      </c>
    </row>
    <row r="1409" spans="1:11" x14ac:dyDescent="0.3">
      <c r="A1409" s="11">
        <v>46254</v>
      </c>
      <c r="B1409" s="12" t="str">
        <f t="shared" si="155"/>
        <v>AGOSTO</v>
      </c>
      <c r="C1409" s="12" t="s">
        <v>18</v>
      </c>
      <c r="D1409" s="12" t="s">
        <v>12</v>
      </c>
      <c r="E1409" s="13"/>
      <c r="F1409" s="13"/>
      <c r="G1409" s="12"/>
      <c r="H1409" s="14"/>
      <c r="I1409" s="12">
        <f>IFERROR(IF(T_PROD[[#This Row],[PREVISTO]]-T_PROD[[#This Row],[EFETIVO]]&lt; 0,0,T_PROD[[#This Row],[PREVISTO]]-T_PROD[[#This Row],[EFETIVO]] ),"")</f>
        <v>0</v>
      </c>
      <c r="J1409" s="15" t="str">
        <f>IFERROR(IF(T_PROD[[#This Row],[META]]&gt;0,(T_PROD[[#This Row],[META]]/T_PROD[[#This Row],[PREVISTO]]),""),"")</f>
        <v/>
      </c>
      <c r="K1409" s="15" t="str">
        <f>IFERROR(IF(T_PROD[[#This Row],[PRODUÇÃO]]&gt;0,(T_PROD[[#This Row],[PRODUÇÃO]]/T_PROD[[#This Row],[EFETIVO]]),""),"")</f>
        <v/>
      </c>
    </row>
    <row r="1410" spans="1:11" x14ac:dyDescent="0.3">
      <c r="A1410" s="11">
        <v>46254</v>
      </c>
      <c r="B1410" s="12" t="str">
        <f t="shared" si="155"/>
        <v>AGOSTO</v>
      </c>
      <c r="C1410" s="12" t="s">
        <v>19</v>
      </c>
      <c r="D1410" s="12" t="s">
        <v>12</v>
      </c>
      <c r="E1410" s="13"/>
      <c r="F1410" s="13"/>
      <c r="G1410" s="12"/>
      <c r="H1410" s="14"/>
      <c r="I1410" s="12">
        <f>IFERROR(IF(T_PROD[[#This Row],[PREVISTO]]-T_PROD[[#This Row],[EFETIVO]]&lt; 0,0,T_PROD[[#This Row],[PREVISTO]]-T_PROD[[#This Row],[EFETIVO]] ),"")</f>
        <v>0</v>
      </c>
      <c r="J1410" s="15" t="str">
        <f>IFERROR(IF(T_PROD[[#This Row],[META]]&gt;0,(T_PROD[[#This Row],[META]]/T_PROD[[#This Row],[PREVISTO]]),""),"")</f>
        <v/>
      </c>
      <c r="K1410" s="15" t="str">
        <f>IFERROR(IF(T_PROD[[#This Row],[PRODUÇÃO]]&gt;0,(T_PROD[[#This Row],[PRODUÇÃO]]/T_PROD[[#This Row],[EFETIVO]]),""),"")</f>
        <v/>
      </c>
    </row>
    <row r="1411" spans="1:11" x14ac:dyDescent="0.3">
      <c r="A1411" s="11">
        <v>46254</v>
      </c>
      <c r="B1411" s="12" t="str">
        <f t="shared" si="155"/>
        <v>AGOSTO</v>
      </c>
      <c r="C1411" s="12" t="s">
        <v>20</v>
      </c>
      <c r="D1411" s="12" t="s">
        <v>12</v>
      </c>
      <c r="E1411" s="13">
        <v>643</v>
      </c>
      <c r="F1411" s="13">
        <v>410</v>
      </c>
      <c r="G1411" s="12">
        <v>90</v>
      </c>
      <c r="H1411" s="14">
        <v>90</v>
      </c>
      <c r="I1411" s="12">
        <f>IFERROR(IF(T_PROD[[#This Row],[PREVISTO]]-T_PROD[[#This Row],[EFETIVO]]&lt; 0,0,T_PROD[[#This Row],[PREVISTO]]-T_PROD[[#This Row],[EFETIVO]] ),"")</f>
        <v>0</v>
      </c>
      <c r="J1411" s="15">
        <f>IFERROR(IF(T_PROD[[#This Row],[META]]&gt;0,(T_PROD[[#This Row],[META]]/T_PROD[[#This Row],[PREVISTO]]),""),"")</f>
        <v>7.1444444444444448</v>
      </c>
      <c r="K1411" s="15">
        <f>IFERROR(IF(T_PROD[[#This Row],[PRODUÇÃO]]&gt;0,(T_PROD[[#This Row],[PRODUÇÃO]]/T_PROD[[#This Row],[EFETIVO]]),""),"")</f>
        <v>4.5555555555555554</v>
      </c>
    </row>
    <row r="1412" spans="1:11" x14ac:dyDescent="0.3">
      <c r="A1412" s="11">
        <v>46254</v>
      </c>
      <c r="B1412" s="12" t="str">
        <f t="shared" si="155"/>
        <v>AGOSTO</v>
      </c>
      <c r="C1412" s="12" t="s">
        <v>11</v>
      </c>
      <c r="D1412" s="12" t="s">
        <v>12</v>
      </c>
      <c r="E1412" s="13">
        <v>800</v>
      </c>
      <c r="F1412" s="13">
        <v>780</v>
      </c>
      <c r="G1412" s="12">
        <v>40</v>
      </c>
      <c r="H1412" s="14">
        <v>40</v>
      </c>
      <c r="I1412" s="12">
        <f>IFERROR(IF(T_PROD[[#This Row],[PREVISTO]]-T_PROD[[#This Row],[EFETIVO]]&lt; 0,0,T_PROD[[#This Row],[PREVISTO]]-T_PROD[[#This Row],[EFETIVO]] ),"")</f>
        <v>0</v>
      </c>
      <c r="J1412" s="15">
        <f>IFERROR(IF(T_PROD[[#This Row],[META]]&gt;0,(T_PROD[[#This Row],[META]]/T_PROD[[#This Row],[PREVISTO]]),""),"")</f>
        <v>20</v>
      </c>
      <c r="K1412" s="15">
        <f>IFERROR(IF(T_PROD[[#This Row],[PRODUÇÃO]]&gt;0,(T_PROD[[#This Row],[PRODUÇÃO]]/T_PROD[[#This Row],[EFETIVO]]),""),"")</f>
        <v>19.5</v>
      </c>
    </row>
    <row r="1413" spans="1:11" x14ac:dyDescent="0.3">
      <c r="A1413" s="11">
        <v>46254</v>
      </c>
      <c r="B1413" s="12" t="str">
        <f t="shared" si="155"/>
        <v>AGOSTO</v>
      </c>
      <c r="C1413" s="12" t="s">
        <v>32</v>
      </c>
      <c r="D1413" s="12" t="s">
        <v>12</v>
      </c>
      <c r="E1413" s="13">
        <v>55</v>
      </c>
      <c r="F1413" s="13">
        <v>63</v>
      </c>
      <c r="G1413" s="12">
        <v>5</v>
      </c>
      <c r="H1413" s="14">
        <v>5</v>
      </c>
      <c r="I1413" s="12">
        <f>IFERROR(IF(T_PROD[[#This Row],[PREVISTO]]-T_PROD[[#This Row],[EFETIVO]]&lt; 0,0,T_PROD[[#This Row],[PREVISTO]]-T_PROD[[#This Row],[EFETIVO]] ),"")</f>
        <v>0</v>
      </c>
      <c r="J1413" s="15">
        <f>IFERROR(IF(T_PROD[[#This Row],[META]]&gt;0,(T_PROD[[#This Row],[META]]/T_PROD[[#This Row],[PREVISTO]]),""),"")</f>
        <v>11</v>
      </c>
      <c r="K1413" s="15">
        <f>IFERROR(IF(T_PROD[[#This Row],[PRODUÇÃO]]&gt;0,(T_PROD[[#This Row],[PRODUÇÃO]]/T_PROD[[#This Row],[EFETIVO]]),""),"")</f>
        <v>12.6</v>
      </c>
    </row>
    <row r="1414" spans="1:11" x14ac:dyDescent="0.3">
      <c r="A1414" s="11">
        <v>46254</v>
      </c>
      <c r="B1414" s="12" t="str">
        <f t="shared" si="155"/>
        <v>AGOSTO</v>
      </c>
      <c r="C1414" s="12" t="s">
        <v>14</v>
      </c>
      <c r="D1414" s="12" t="s">
        <v>12</v>
      </c>
      <c r="E1414" s="13">
        <v>855</v>
      </c>
      <c r="F1414" s="13">
        <v>843</v>
      </c>
      <c r="G1414" s="12">
        <v>95</v>
      </c>
      <c r="H1414" s="14">
        <v>93</v>
      </c>
      <c r="I1414" s="12">
        <f>IFERROR(IF(T_PROD[[#This Row],[PREVISTO]]-T_PROD[[#This Row],[EFETIVO]]&lt; 0,0,T_PROD[[#This Row],[PREVISTO]]-T_PROD[[#This Row],[EFETIVO]] ),"")</f>
        <v>2</v>
      </c>
      <c r="J1414" s="15">
        <f>IFERROR(IF(T_PROD[[#This Row],[META]]&gt;0,(T_PROD[[#This Row],[META]]/T_PROD[[#This Row],[PREVISTO]]),""),"")</f>
        <v>9</v>
      </c>
      <c r="K1414" s="15">
        <f>IFERROR(IF(T_PROD[[#This Row],[PRODUÇÃO]]&gt;0,(T_PROD[[#This Row],[PRODUÇÃO]]/T_PROD[[#This Row],[EFETIVO]]),""),"")</f>
        <v>9.064516129032258</v>
      </c>
    </row>
    <row r="1415" spans="1:11" x14ac:dyDescent="0.3">
      <c r="A1415" s="11">
        <v>46255</v>
      </c>
      <c r="B1415" s="12" t="str">
        <f>UPPER(TEXT(A1415,"MMMM"))</f>
        <v>AGOSTO</v>
      </c>
      <c r="C1415" s="12" t="s">
        <v>15</v>
      </c>
      <c r="D1415" s="12" t="s">
        <v>12</v>
      </c>
      <c r="E1415" s="13"/>
      <c r="F1415" s="13"/>
      <c r="G1415" s="12"/>
      <c r="H1415" s="14"/>
      <c r="I1415" s="12">
        <f>IFERROR(IF(T_PROD[[#This Row],[PREVISTO]]-T_PROD[[#This Row],[EFETIVO]]&lt; 0,0,T_PROD[[#This Row],[PREVISTO]]-T_PROD[[#This Row],[EFETIVO]] ),"")</f>
        <v>0</v>
      </c>
      <c r="J1415" s="15" t="str">
        <f>IFERROR(IF(T_PROD[[#This Row],[META]]&gt;0,(T_PROD[[#This Row],[META]]/T_PROD[[#This Row],[PREVISTO]]),""),"")</f>
        <v/>
      </c>
      <c r="K1415" s="15" t="str">
        <f>IFERROR(IF(T_PROD[[#This Row],[PRODUÇÃO]]&gt;0,(T_PROD[[#This Row],[PRODUÇÃO]]/T_PROD[[#This Row],[EFETIVO]]),""),"")</f>
        <v/>
      </c>
    </row>
    <row r="1416" spans="1:11" x14ac:dyDescent="0.3">
      <c r="A1416" s="11">
        <v>46255</v>
      </c>
      <c r="B1416" s="12" t="str">
        <f t="shared" ref="B1416:B1423" si="156">UPPER(TEXT(A1416,"MMMM"))</f>
        <v>AGOSTO</v>
      </c>
      <c r="C1416" s="12" t="s">
        <v>16</v>
      </c>
      <c r="D1416" s="12" t="s">
        <v>12</v>
      </c>
      <c r="E1416" s="13">
        <v>238</v>
      </c>
      <c r="F1416" s="13">
        <v>169</v>
      </c>
      <c r="G1416" s="12">
        <v>7</v>
      </c>
      <c r="H1416" s="14">
        <v>7</v>
      </c>
      <c r="I1416" s="12">
        <f>IFERROR(IF(T_PROD[[#This Row],[PREVISTO]]-T_PROD[[#This Row],[EFETIVO]]&lt; 0,0,T_PROD[[#This Row],[PREVISTO]]-T_PROD[[#This Row],[EFETIVO]] ),"")</f>
        <v>0</v>
      </c>
      <c r="J1416" s="15">
        <f>IFERROR(IF(T_PROD[[#This Row],[META]]&gt;0,(T_PROD[[#This Row],[META]]/T_PROD[[#This Row],[PREVISTO]]),""),"")</f>
        <v>34</v>
      </c>
      <c r="K1416" s="15">
        <f>IFERROR(IF(T_PROD[[#This Row],[PRODUÇÃO]]&gt;0,(T_PROD[[#This Row],[PRODUÇÃO]]/T_PROD[[#This Row],[EFETIVO]]),""),"")</f>
        <v>24.142857142857142</v>
      </c>
    </row>
    <row r="1417" spans="1:11" x14ac:dyDescent="0.3">
      <c r="A1417" s="11">
        <v>46255</v>
      </c>
      <c r="B1417" s="12" t="str">
        <f t="shared" si="156"/>
        <v>AGOSTO</v>
      </c>
      <c r="C1417" s="12" t="s">
        <v>17</v>
      </c>
      <c r="D1417" s="12" t="s">
        <v>12</v>
      </c>
      <c r="E1417" s="13">
        <v>341</v>
      </c>
      <c r="F1417" s="13">
        <v>216</v>
      </c>
      <c r="G1417" s="12">
        <v>15.5</v>
      </c>
      <c r="H1417" s="14">
        <v>15.5</v>
      </c>
      <c r="I1417" s="12">
        <f>IFERROR(IF(T_PROD[[#This Row],[PREVISTO]]-T_PROD[[#This Row],[EFETIVO]]&lt; 0,0,T_PROD[[#This Row],[PREVISTO]]-T_PROD[[#This Row],[EFETIVO]] ),"")</f>
        <v>0</v>
      </c>
      <c r="J1417" s="15">
        <f>IFERROR(IF(T_PROD[[#This Row],[META]]&gt;0,(T_PROD[[#This Row],[META]]/T_PROD[[#This Row],[PREVISTO]]),""),"")</f>
        <v>22</v>
      </c>
      <c r="K1417" s="15">
        <f>IFERROR(IF(T_PROD[[#This Row],[PRODUÇÃO]]&gt;0,(T_PROD[[#This Row],[PRODUÇÃO]]/T_PROD[[#This Row],[EFETIVO]]),""),"")</f>
        <v>13.935483870967742</v>
      </c>
    </row>
    <row r="1418" spans="1:11" x14ac:dyDescent="0.3">
      <c r="A1418" s="11">
        <v>46255</v>
      </c>
      <c r="B1418" s="12" t="str">
        <f t="shared" si="156"/>
        <v>AGOSTO</v>
      </c>
      <c r="C1418" s="12" t="s">
        <v>18</v>
      </c>
      <c r="D1418" s="12" t="s">
        <v>12</v>
      </c>
      <c r="E1418" s="13"/>
      <c r="F1418" s="13"/>
      <c r="G1418" s="12"/>
      <c r="H1418" s="14"/>
      <c r="I1418" s="12">
        <f>IFERROR(IF(T_PROD[[#This Row],[PREVISTO]]-T_PROD[[#This Row],[EFETIVO]]&lt; 0,0,T_PROD[[#This Row],[PREVISTO]]-T_PROD[[#This Row],[EFETIVO]] ),"")</f>
        <v>0</v>
      </c>
      <c r="J1418" s="15" t="str">
        <f>IFERROR(IF(T_PROD[[#This Row],[META]]&gt;0,(T_PROD[[#This Row],[META]]/T_PROD[[#This Row],[PREVISTO]]),""),"")</f>
        <v/>
      </c>
      <c r="K1418" s="15" t="str">
        <f>IFERROR(IF(T_PROD[[#This Row],[PRODUÇÃO]]&gt;0,(T_PROD[[#This Row],[PRODUÇÃO]]/T_PROD[[#This Row],[EFETIVO]]),""),"")</f>
        <v/>
      </c>
    </row>
    <row r="1419" spans="1:11" x14ac:dyDescent="0.3">
      <c r="A1419" s="11">
        <v>46255</v>
      </c>
      <c r="B1419" s="12" t="str">
        <f t="shared" si="156"/>
        <v>AGOSTO</v>
      </c>
      <c r="C1419" s="12" t="s">
        <v>19</v>
      </c>
      <c r="D1419" s="12" t="s">
        <v>12</v>
      </c>
      <c r="E1419" s="13"/>
      <c r="F1419" s="13"/>
      <c r="G1419" s="12"/>
      <c r="H1419" s="14"/>
      <c r="I1419" s="12">
        <f>IFERROR(IF(T_PROD[[#This Row],[PREVISTO]]-T_PROD[[#This Row],[EFETIVO]]&lt; 0,0,T_PROD[[#This Row],[PREVISTO]]-T_PROD[[#This Row],[EFETIVO]] ),"")</f>
        <v>0</v>
      </c>
      <c r="J1419" s="15" t="str">
        <f>IFERROR(IF(T_PROD[[#This Row],[META]]&gt;0,(T_PROD[[#This Row],[META]]/T_PROD[[#This Row],[PREVISTO]]),""),"")</f>
        <v/>
      </c>
      <c r="K1419" s="15" t="str">
        <f>IFERROR(IF(T_PROD[[#This Row],[PRODUÇÃO]]&gt;0,(T_PROD[[#This Row],[PRODUÇÃO]]/T_PROD[[#This Row],[EFETIVO]]),""),"")</f>
        <v/>
      </c>
    </row>
    <row r="1420" spans="1:11" x14ac:dyDescent="0.3">
      <c r="A1420" s="11">
        <v>46255</v>
      </c>
      <c r="B1420" s="12" t="str">
        <f t="shared" si="156"/>
        <v>AGOSTO</v>
      </c>
      <c r="C1420" s="12" t="s">
        <v>20</v>
      </c>
      <c r="D1420" s="12" t="s">
        <v>12</v>
      </c>
      <c r="E1420" s="13">
        <v>579</v>
      </c>
      <c r="F1420" s="13">
        <v>385</v>
      </c>
      <c r="G1420" s="12">
        <v>90</v>
      </c>
      <c r="H1420" s="14">
        <v>90</v>
      </c>
      <c r="I1420" s="12">
        <f>IFERROR(IF(T_PROD[[#This Row],[PREVISTO]]-T_PROD[[#This Row],[EFETIVO]]&lt; 0,0,T_PROD[[#This Row],[PREVISTO]]-T_PROD[[#This Row],[EFETIVO]] ),"")</f>
        <v>0</v>
      </c>
      <c r="J1420" s="15">
        <f>IFERROR(IF(T_PROD[[#This Row],[META]]&gt;0,(T_PROD[[#This Row],[META]]/T_PROD[[#This Row],[PREVISTO]]),""),"")</f>
        <v>6.4333333333333336</v>
      </c>
      <c r="K1420" s="15">
        <f>IFERROR(IF(T_PROD[[#This Row],[PRODUÇÃO]]&gt;0,(T_PROD[[#This Row],[PRODUÇÃO]]/T_PROD[[#This Row],[EFETIVO]]),""),"")</f>
        <v>4.2777777777777777</v>
      </c>
    </row>
    <row r="1421" spans="1:11" x14ac:dyDescent="0.3">
      <c r="A1421" s="11">
        <v>46255</v>
      </c>
      <c r="B1421" s="12" t="str">
        <f t="shared" si="156"/>
        <v>AGOSTO</v>
      </c>
      <c r="C1421" s="12" t="s">
        <v>11</v>
      </c>
      <c r="D1421" s="12" t="s">
        <v>12</v>
      </c>
      <c r="E1421" s="13">
        <v>580</v>
      </c>
      <c r="F1421" s="13">
        <v>610</v>
      </c>
      <c r="G1421" s="12">
        <v>29</v>
      </c>
      <c r="H1421" s="14">
        <v>29</v>
      </c>
      <c r="I1421" s="12">
        <f>IFERROR(IF(T_PROD[[#This Row],[PREVISTO]]-T_PROD[[#This Row],[EFETIVO]]&lt; 0,0,T_PROD[[#This Row],[PREVISTO]]-T_PROD[[#This Row],[EFETIVO]] ),"")</f>
        <v>0</v>
      </c>
      <c r="J1421" s="15">
        <f>IFERROR(IF(T_PROD[[#This Row],[META]]&gt;0,(T_PROD[[#This Row],[META]]/T_PROD[[#This Row],[PREVISTO]]),""),"")</f>
        <v>20</v>
      </c>
      <c r="K1421" s="15">
        <f>IFERROR(IF(T_PROD[[#This Row],[PRODUÇÃO]]&gt;0,(T_PROD[[#This Row],[PRODUÇÃO]]/T_PROD[[#This Row],[EFETIVO]]),""),"")</f>
        <v>21.03448275862069</v>
      </c>
    </row>
    <row r="1422" spans="1:11" x14ac:dyDescent="0.3">
      <c r="A1422" s="11">
        <v>46255</v>
      </c>
      <c r="B1422" s="12" t="str">
        <f t="shared" si="156"/>
        <v>AGOSTO</v>
      </c>
      <c r="C1422" s="12" t="s">
        <v>32</v>
      </c>
      <c r="D1422" s="12" t="s">
        <v>12</v>
      </c>
      <c r="E1422" s="13">
        <v>44</v>
      </c>
      <c r="F1422" s="13">
        <v>45</v>
      </c>
      <c r="G1422" s="12">
        <v>4</v>
      </c>
      <c r="H1422" s="14">
        <v>4</v>
      </c>
      <c r="I1422" s="12">
        <f>IFERROR(IF(T_PROD[[#This Row],[PREVISTO]]-T_PROD[[#This Row],[EFETIVO]]&lt; 0,0,T_PROD[[#This Row],[PREVISTO]]-T_PROD[[#This Row],[EFETIVO]] ),"")</f>
        <v>0</v>
      </c>
      <c r="J1422" s="15">
        <f>IFERROR(IF(T_PROD[[#This Row],[META]]&gt;0,(T_PROD[[#This Row],[META]]/T_PROD[[#This Row],[PREVISTO]]),""),"")</f>
        <v>11</v>
      </c>
      <c r="K1422" s="15">
        <f>IFERROR(IF(T_PROD[[#This Row],[PRODUÇÃO]]&gt;0,(T_PROD[[#This Row],[PRODUÇÃO]]/T_PROD[[#This Row],[EFETIVO]]),""),"")</f>
        <v>11.25</v>
      </c>
    </row>
    <row r="1423" spans="1:11" x14ac:dyDescent="0.3">
      <c r="A1423" s="11">
        <v>46255</v>
      </c>
      <c r="B1423" s="12" t="str">
        <f t="shared" si="156"/>
        <v>AGOSTO</v>
      </c>
      <c r="C1423" s="12" t="s">
        <v>14</v>
      </c>
      <c r="D1423" s="12" t="s">
        <v>12</v>
      </c>
      <c r="E1423" s="13">
        <v>624</v>
      </c>
      <c r="F1423" s="13">
        <v>655</v>
      </c>
      <c r="G1423" s="12">
        <v>79</v>
      </c>
      <c r="H1423" s="14">
        <v>79</v>
      </c>
      <c r="I1423" s="12">
        <f>IFERROR(IF(T_PROD[[#This Row],[PREVISTO]]-T_PROD[[#This Row],[EFETIVO]]&lt; 0,0,T_PROD[[#This Row],[PREVISTO]]-T_PROD[[#This Row],[EFETIVO]] ),"")</f>
        <v>0</v>
      </c>
      <c r="J1423" s="15">
        <f>IFERROR(IF(T_PROD[[#This Row],[META]]&gt;0,(T_PROD[[#This Row],[META]]/T_PROD[[#This Row],[PREVISTO]]),""),"")</f>
        <v>7.8987341772151902</v>
      </c>
      <c r="K1423" s="15">
        <f>IFERROR(IF(T_PROD[[#This Row],[PRODUÇÃO]]&gt;0,(T_PROD[[#This Row],[PRODUÇÃO]]/T_PROD[[#This Row],[EFETIVO]]),""),"")</f>
        <v>8.2911392405063289</v>
      </c>
    </row>
    <row r="1424" spans="1:11" x14ac:dyDescent="0.3">
      <c r="A1424" s="11">
        <v>46258</v>
      </c>
      <c r="B1424" s="12" t="str">
        <f>UPPER(TEXT(A1424,"MMMM"))</f>
        <v>AGOSTO</v>
      </c>
      <c r="C1424" s="12" t="s">
        <v>15</v>
      </c>
      <c r="D1424" s="12" t="s">
        <v>12</v>
      </c>
      <c r="E1424" s="13">
        <v>144</v>
      </c>
      <c r="F1424" s="13">
        <v>30</v>
      </c>
      <c r="G1424" s="12">
        <v>9</v>
      </c>
      <c r="H1424" s="14">
        <v>9</v>
      </c>
      <c r="I1424" s="12">
        <f>IFERROR(IF(T_PROD[[#This Row],[PREVISTO]]-T_PROD[[#This Row],[EFETIVO]]&lt; 0,0,T_PROD[[#This Row],[PREVISTO]]-T_PROD[[#This Row],[EFETIVO]] ),"")</f>
        <v>0</v>
      </c>
      <c r="J1424" s="15">
        <f>IFERROR(IF(T_PROD[[#This Row],[META]]&gt;0,(T_PROD[[#This Row],[META]]/T_PROD[[#This Row],[PREVISTO]]),""),"")</f>
        <v>16</v>
      </c>
      <c r="K1424" s="15">
        <f>IFERROR(IF(T_PROD[[#This Row],[PRODUÇÃO]]&gt;0,(T_PROD[[#This Row],[PRODUÇÃO]]/T_PROD[[#This Row],[EFETIVO]]),""),"")</f>
        <v>3.3333333333333335</v>
      </c>
    </row>
    <row r="1425" spans="1:11" x14ac:dyDescent="0.3">
      <c r="A1425" s="11">
        <v>46258</v>
      </c>
      <c r="B1425" s="12" t="str">
        <f t="shared" ref="B1425:B1432" si="157">UPPER(TEXT(A1425,"MMMM"))</f>
        <v>AGOSTO</v>
      </c>
      <c r="C1425" s="12" t="s">
        <v>16</v>
      </c>
      <c r="D1425" s="12" t="s">
        <v>12</v>
      </c>
      <c r="E1425" s="13">
        <v>221</v>
      </c>
      <c r="F1425" s="13">
        <v>165</v>
      </c>
      <c r="G1425" s="12">
        <v>6.5</v>
      </c>
      <c r="H1425" s="14">
        <v>6.5</v>
      </c>
      <c r="I1425" s="12">
        <f>IFERROR(IF(T_PROD[[#This Row],[PREVISTO]]-T_PROD[[#This Row],[EFETIVO]]&lt; 0,0,T_PROD[[#This Row],[PREVISTO]]-T_PROD[[#This Row],[EFETIVO]] ),"")</f>
        <v>0</v>
      </c>
      <c r="J1425" s="15">
        <f>IFERROR(IF(T_PROD[[#This Row],[META]]&gt;0,(T_PROD[[#This Row],[META]]/T_PROD[[#This Row],[PREVISTO]]),""),"")</f>
        <v>34</v>
      </c>
      <c r="K1425" s="15">
        <f>IFERROR(IF(T_PROD[[#This Row],[PRODUÇÃO]]&gt;0,(T_PROD[[#This Row],[PRODUÇÃO]]/T_PROD[[#This Row],[EFETIVO]]),""),"")</f>
        <v>25.384615384615383</v>
      </c>
    </row>
    <row r="1426" spans="1:11" x14ac:dyDescent="0.3">
      <c r="A1426" s="11">
        <v>46258</v>
      </c>
      <c r="B1426" s="12" t="str">
        <f t="shared" si="157"/>
        <v>AGOSTO</v>
      </c>
      <c r="C1426" s="12" t="s">
        <v>17</v>
      </c>
      <c r="D1426" s="12" t="s">
        <v>12</v>
      </c>
      <c r="E1426" s="13">
        <v>352</v>
      </c>
      <c r="F1426" s="13">
        <v>210</v>
      </c>
      <c r="G1426" s="12">
        <v>16</v>
      </c>
      <c r="H1426" s="14">
        <v>16</v>
      </c>
      <c r="I1426" s="12">
        <f>IFERROR(IF(T_PROD[[#This Row],[PREVISTO]]-T_PROD[[#This Row],[EFETIVO]]&lt; 0,0,T_PROD[[#This Row],[PREVISTO]]-T_PROD[[#This Row],[EFETIVO]] ),"")</f>
        <v>0</v>
      </c>
      <c r="J1426" s="15">
        <f>IFERROR(IF(T_PROD[[#This Row],[META]]&gt;0,(T_PROD[[#This Row],[META]]/T_PROD[[#This Row],[PREVISTO]]),""),"")</f>
        <v>22</v>
      </c>
      <c r="K1426" s="15">
        <f>IFERROR(IF(T_PROD[[#This Row],[PRODUÇÃO]]&gt;0,(T_PROD[[#This Row],[PRODUÇÃO]]/T_PROD[[#This Row],[EFETIVO]]),""),"")</f>
        <v>13.125</v>
      </c>
    </row>
    <row r="1427" spans="1:11" x14ac:dyDescent="0.3">
      <c r="A1427" s="11">
        <v>46258</v>
      </c>
      <c r="B1427" s="12" t="str">
        <f t="shared" si="157"/>
        <v>AGOSTO</v>
      </c>
      <c r="C1427" s="12" t="s">
        <v>18</v>
      </c>
      <c r="D1427" s="12" t="s">
        <v>12</v>
      </c>
      <c r="E1427" s="13"/>
      <c r="F1427" s="13"/>
      <c r="G1427" s="12"/>
      <c r="H1427" s="14"/>
      <c r="I1427" s="12">
        <f>IFERROR(IF(T_PROD[[#This Row],[PREVISTO]]-T_PROD[[#This Row],[EFETIVO]]&lt; 0,0,T_PROD[[#This Row],[PREVISTO]]-T_PROD[[#This Row],[EFETIVO]] ),"")</f>
        <v>0</v>
      </c>
      <c r="J1427" s="15" t="str">
        <f>IFERROR(IF(T_PROD[[#This Row],[META]]&gt;0,(T_PROD[[#This Row],[META]]/T_PROD[[#This Row],[PREVISTO]]),""),"")</f>
        <v/>
      </c>
      <c r="K1427" s="15" t="str">
        <f>IFERROR(IF(T_PROD[[#This Row],[PRODUÇÃO]]&gt;0,(T_PROD[[#This Row],[PRODUÇÃO]]/T_PROD[[#This Row],[EFETIVO]]),""),"")</f>
        <v/>
      </c>
    </row>
    <row r="1428" spans="1:11" x14ac:dyDescent="0.3">
      <c r="A1428" s="11">
        <v>46258</v>
      </c>
      <c r="B1428" s="12" t="str">
        <f t="shared" si="157"/>
        <v>AGOSTO</v>
      </c>
      <c r="C1428" s="12" t="s">
        <v>19</v>
      </c>
      <c r="D1428" s="12" t="s">
        <v>12</v>
      </c>
      <c r="E1428" s="13"/>
      <c r="F1428" s="13"/>
      <c r="G1428" s="12"/>
      <c r="H1428" s="14"/>
      <c r="I1428" s="12">
        <f>IFERROR(IF(T_PROD[[#This Row],[PREVISTO]]-T_PROD[[#This Row],[EFETIVO]]&lt; 0,0,T_PROD[[#This Row],[PREVISTO]]-T_PROD[[#This Row],[EFETIVO]] ),"")</f>
        <v>0</v>
      </c>
      <c r="J1428" s="15" t="str">
        <f>IFERROR(IF(T_PROD[[#This Row],[META]]&gt;0,(T_PROD[[#This Row],[META]]/T_PROD[[#This Row],[PREVISTO]]),""),"")</f>
        <v/>
      </c>
      <c r="K1428" s="15" t="str">
        <f>IFERROR(IF(T_PROD[[#This Row],[PRODUÇÃO]]&gt;0,(T_PROD[[#This Row],[PRODUÇÃO]]/T_PROD[[#This Row],[EFETIVO]]),""),"")</f>
        <v/>
      </c>
    </row>
    <row r="1429" spans="1:11" x14ac:dyDescent="0.3">
      <c r="A1429" s="11">
        <v>46258</v>
      </c>
      <c r="B1429" s="12" t="str">
        <f t="shared" si="157"/>
        <v>AGOSTO</v>
      </c>
      <c r="C1429" s="12" t="s">
        <v>20</v>
      </c>
      <c r="D1429" s="12" t="s">
        <v>12</v>
      </c>
      <c r="E1429" s="13">
        <v>717</v>
      </c>
      <c r="F1429" s="13">
        <v>405</v>
      </c>
      <c r="G1429" s="12">
        <v>90</v>
      </c>
      <c r="H1429" s="14">
        <v>90</v>
      </c>
      <c r="I1429" s="12">
        <f>IFERROR(IF(T_PROD[[#This Row],[PREVISTO]]-T_PROD[[#This Row],[EFETIVO]]&lt; 0,0,T_PROD[[#This Row],[PREVISTO]]-T_PROD[[#This Row],[EFETIVO]] ),"")</f>
        <v>0</v>
      </c>
      <c r="J1429" s="15">
        <f>IFERROR(IF(T_PROD[[#This Row],[META]]&gt;0,(T_PROD[[#This Row],[META]]/T_PROD[[#This Row],[PREVISTO]]),""),"")</f>
        <v>7.9666666666666668</v>
      </c>
      <c r="K1429" s="15">
        <f>IFERROR(IF(T_PROD[[#This Row],[PRODUÇÃO]]&gt;0,(T_PROD[[#This Row],[PRODUÇÃO]]/T_PROD[[#This Row],[EFETIVO]]),""),"")</f>
        <v>4.5</v>
      </c>
    </row>
    <row r="1430" spans="1:11" x14ac:dyDescent="0.3">
      <c r="A1430" s="11">
        <v>46258</v>
      </c>
      <c r="B1430" s="12" t="str">
        <f t="shared" si="157"/>
        <v>AGOSTO</v>
      </c>
      <c r="C1430" s="12" t="s">
        <v>11</v>
      </c>
      <c r="D1430" s="12" t="s">
        <v>12</v>
      </c>
      <c r="E1430" s="13">
        <v>800</v>
      </c>
      <c r="F1430" s="13">
        <v>800</v>
      </c>
      <c r="G1430" s="12">
        <v>40</v>
      </c>
      <c r="H1430" s="14">
        <v>40</v>
      </c>
      <c r="I1430" s="12">
        <f>IFERROR(IF(T_PROD[[#This Row],[PREVISTO]]-T_PROD[[#This Row],[EFETIVO]]&lt; 0,0,T_PROD[[#This Row],[PREVISTO]]-T_PROD[[#This Row],[EFETIVO]] ),"")</f>
        <v>0</v>
      </c>
      <c r="J1430" s="15">
        <f>IFERROR(IF(T_PROD[[#This Row],[META]]&gt;0,(T_PROD[[#This Row],[META]]/T_PROD[[#This Row],[PREVISTO]]),""),"")</f>
        <v>20</v>
      </c>
      <c r="K1430" s="15">
        <f>IFERROR(IF(T_PROD[[#This Row],[PRODUÇÃO]]&gt;0,(T_PROD[[#This Row],[PRODUÇÃO]]/T_PROD[[#This Row],[EFETIVO]]),""),"")</f>
        <v>20</v>
      </c>
    </row>
    <row r="1431" spans="1:11" x14ac:dyDescent="0.3">
      <c r="A1431" s="11">
        <v>46258</v>
      </c>
      <c r="B1431" s="12" t="str">
        <f t="shared" si="157"/>
        <v>AGOSTO</v>
      </c>
      <c r="C1431" s="12" t="s">
        <v>32</v>
      </c>
      <c r="D1431" s="12" t="s">
        <v>12</v>
      </c>
      <c r="E1431" s="13">
        <v>55</v>
      </c>
      <c r="F1431" s="13">
        <v>57</v>
      </c>
      <c r="G1431" s="12">
        <v>5</v>
      </c>
      <c r="H1431" s="14">
        <v>5</v>
      </c>
      <c r="I1431" s="12">
        <f>IFERROR(IF(T_PROD[[#This Row],[PREVISTO]]-T_PROD[[#This Row],[EFETIVO]]&lt; 0,0,T_PROD[[#This Row],[PREVISTO]]-T_PROD[[#This Row],[EFETIVO]] ),"")</f>
        <v>0</v>
      </c>
      <c r="J1431" s="15">
        <f>IFERROR(IF(T_PROD[[#This Row],[META]]&gt;0,(T_PROD[[#This Row],[META]]/T_PROD[[#This Row],[PREVISTO]]),""),"")</f>
        <v>11</v>
      </c>
      <c r="K1431" s="15">
        <f>IFERROR(IF(T_PROD[[#This Row],[PRODUÇÃO]]&gt;0,(T_PROD[[#This Row],[PRODUÇÃO]]/T_PROD[[#This Row],[EFETIVO]]),""),"")</f>
        <v>11.4</v>
      </c>
    </row>
    <row r="1432" spans="1:11" x14ac:dyDescent="0.3">
      <c r="A1432" s="11">
        <v>46258</v>
      </c>
      <c r="B1432" s="12" t="str">
        <f t="shared" si="157"/>
        <v>AGOSTO</v>
      </c>
      <c r="C1432" s="12" t="s">
        <v>14</v>
      </c>
      <c r="D1432" s="12" t="s">
        <v>12</v>
      </c>
      <c r="E1432" s="13">
        <v>855</v>
      </c>
      <c r="F1432" s="13">
        <v>857</v>
      </c>
      <c r="G1432" s="12">
        <v>95</v>
      </c>
      <c r="H1432" s="14">
        <v>94</v>
      </c>
      <c r="I1432" s="12">
        <f>IFERROR(IF(T_PROD[[#This Row],[PREVISTO]]-T_PROD[[#This Row],[EFETIVO]]&lt; 0,0,T_PROD[[#This Row],[PREVISTO]]-T_PROD[[#This Row],[EFETIVO]] ),"")</f>
        <v>1</v>
      </c>
      <c r="J1432" s="15">
        <f>IFERROR(IF(T_PROD[[#This Row],[META]]&gt;0,(T_PROD[[#This Row],[META]]/T_PROD[[#This Row],[PREVISTO]]),""),"")</f>
        <v>9</v>
      </c>
      <c r="K1432" s="15">
        <f>IFERROR(IF(T_PROD[[#This Row],[PRODUÇÃO]]&gt;0,(T_PROD[[#This Row],[PRODUÇÃO]]/T_PROD[[#This Row],[EFETIVO]]),""),"")</f>
        <v>9.1170212765957448</v>
      </c>
    </row>
    <row r="1433" spans="1:11" x14ac:dyDescent="0.3">
      <c r="A1433" s="11">
        <v>46259</v>
      </c>
      <c r="B1433" s="12" t="str">
        <f>UPPER(TEXT(A1433,"MMMM"))</f>
        <v>AGOSTO</v>
      </c>
      <c r="C1433" s="12" t="s">
        <v>15</v>
      </c>
      <c r="D1433" s="12" t="s">
        <v>12</v>
      </c>
      <c r="E1433" s="13"/>
      <c r="F1433" s="13"/>
      <c r="G1433" s="12"/>
      <c r="H1433" s="14"/>
      <c r="I1433" s="12">
        <f>IFERROR(IF(T_PROD[[#This Row],[PREVISTO]]-T_PROD[[#This Row],[EFETIVO]]&lt; 0,0,T_PROD[[#This Row],[PREVISTO]]-T_PROD[[#This Row],[EFETIVO]] ),"")</f>
        <v>0</v>
      </c>
      <c r="J1433" s="15" t="str">
        <f>IFERROR(IF(T_PROD[[#This Row],[META]]&gt;0,(T_PROD[[#This Row],[META]]/T_PROD[[#This Row],[PREVISTO]]),""),"")</f>
        <v/>
      </c>
      <c r="K1433" s="15" t="str">
        <f>IFERROR(IF(T_PROD[[#This Row],[PRODUÇÃO]]&gt;0,(T_PROD[[#This Row],[PRODUÇÃO]]/T_PROD[[#This Row],[EFETIVO]]),""),"")</f>
        <v/>
      </c>
    </row>
    <row r="1434" spans="1:11" x14ac:dyDescent="0.3">
      <c r="A1434" s="11">
        <v>46259</v>
      </c>
      <c r="B1434" s="12" t="str">
        <f t="shared" ref="B1434:B1441" si="158">UPPER(TEXT(A1434,"MMMM"))</f>
        <v>AGOSTO</v>
      </c>
      <c r="C1434" s="12" t="s">
        <v>16</v>
      </c>
      <c r="D1434" s="12" t="s">
        <v>12</v>
      </c>
      <c r="E1434" s="13">
        <v>221</v>
      </c>
      <c r="F1434" s="13">
        <v>168</v>
      </c>
      <c r="G1434" s="12">
        <v>6.5</v>
      </c>
      <c r="H1434" s="14">
        <v>6.5</v>
      </c>
      <c r="I1434" s="12">
        <f>IFERROR(IF(T_PROD[[#This Row],[PREVISTO]]-T_PROD[[#This Row],[EFETIVO]]&lt; 0,0,T_PROD[[#This Row],[PREVISTO]]-T_PROD[[#This Row],[EFETIVO]] ),"")</f>
        <v>0</v>
      </c>
      <c r="J1434" s="15">
        <f>IFERROR(IF(T_PROD[[#This Row],[META]]&gt;0,(T_PROD[[#This Row],[META]]/T_PROD[[#This Row],[PREVISTO]]),""),"")</f>
        <v>34</v>
      </c>
      <c r="K1434" s="15">
        <f>IFERROR(IF(T_PROD[[#This Row],[PRODUÇÃO]]&gt;0,(T_PROD[[#This Row],[PRODUÇÃO]]/T_PROD[[#This Row],[EFETIVO]]),""),"")</f>
        <v>25.846153846153847</v>
      </c>
    </row>
    <row r="1435" spans="1:11" x14ac:dyDescent="0.3">
      <c r="A1435" s="11">
        <v>46259</v>
      </c>
      <c r="B1435" s="12" t="str">
        <f t="shared" si="158"/>
        <v>AGOSTO</v>
      </c>
      <c r="C1435" s="12" t="s">
        <v>17</v>
      </c>
      <c r="D1435" s="12" t="s">
        <v>12</v>
      </c>
      <c r="E1435" s="13">
        <v>352</v>
      </c>
      <c r="F1435" s="13">
        <v>325</v>
      </c>
      <c r="G1435" s="12">
        <v>16</v>
      </c>
      <c r="H1435" s="14">
        <v>16</v>
      </c>
      <c r="I1435" s="12">
        <f>IFERROR(IF(T_PROD[[#This Row],[PREVISTO]]-T_PROD[[#This Row],[EFETIVO]]&lt; 0,0,T_PROD[[#This Row],[PREVISTO]]-T_PROD[[#This Row],[EFETIVO]] ),"")</f>
        <v>0</v>
      </c>
      <c r="J1435" s="15">
        <f>IFERROR(IF(T_PROD[[#This Row],[META]]&gt;0,(T_PROD[[#This Row],[META]]/T_PROD[[#This Row],[PREVISTO]]),""),"")</f>
        <v>22</v>
      </c>
      <c r="K1435" s="15">
        <f>IFERROR(IF(T_PROD[[#This Row],[PRODUÇÃO]]&gt;0,(T_PROD[[#This Row],[PRODUÇÃO]]/T_PROD[[#This Row],[EFETIVO]]),""),"")</f>
        <v>20.3125</v>
      </c>
    </row>
    <row r="1436" spans="1:11" x14ac:dyDescent="0.3">
      <c r="A1436" s="11">
        <v>46259</v>
      </c>
      <c r="B1436" s="12" t="str">
        <f t="shared" si="158"/>
        <v>AGOSTO</v>
      </c>
      <c r="C1436" s="12" t="s">
        <v>18</v>
      </c>
      <c r="D1436" s="12" t="s">
        <v>12</v>
      </c>
      <c r="E1436" s="13">
        <v>144</v>
      </c>
      <c r="F1436" s="13">
        <v>75</v>
      </c>
      <c r="G1436" s="12">
        <v>9</v>
      </c>
      <c r="H1436" s="14">
        <v>9</v>
      </c>
      <c r="I1436" s="12">
        <f>IFERROR(IF(T_PROD[[#This Row],[PREVISTO]]-T_PROD[[#This Row],[EFETIVO]]&lt; 0,0,T_PROD[[#This Row],[PREVISTO]]-T_PROD[[#This Row],[EFETIVO]] ),"")</f>
        <v>0</v>
      </c>
      <c r="J1436" s="15">
        <f>IFERROR(IF(T_PROD[[#This Row],[META]]&gt;0,(T_PROD[[#This Row],[META]]/T_PROD[[#This Row],[PREVISTO]]),""),"")</f>
        <v>16</v>
      </c>
      <c r="K1436" s="15">
        <f>IFERROR(IF(T_PROD[[#This Row],[PRODUÇÃO]]&gt;0,(T_PROD[[#This Row],[PRODUÇÃO]]/T_PROD[[#This Row],[EFETIVO]]),""),"")</f>
        <v>8.3333333333333339</v>
      </c>
    </row>
    <row r="1437" spans="1:11" x14ac:dyDescent="0.3">
      <c r="A1437" s="11">
        <v>46259</v>
      </c>
      <c r="B1437" s="12" t="str">
        <f t="shared" si="158"/>
        <v>AGOSTO</v>
      </c>
      <c r="C1437" s="12" t="s">
        <v>19</v>
      </c>
      <c r="D1437" s="12" t="s">
        <v>12</v>
      </c>
      <c r="E1437" s="13"/>
      <c r="F1437" s="13"/>
      <c r="G1437" s="12"/>
      <c r="H1437" s="14"/>
      <c r="I1437" s="12">
        <f>IFERROR(IF(T_PROD[[#This Row],[PREVISTO]]-T_PROD[[#This Row],[EFETIVO]]&lt; 0,0,T_PROD[[#This Row],[PREVISTO]]-T_PROD[[#This Row],[EFETIVO]] ),"")</f>
        <v>0</v>
      </c>
      <c r="J1437" s="15" t="str">
        <f>IFERROR(IF(T_PROD[[#This Row],[META]]&gt;0,(T_PROD[[#This Row],[META]]/T_PROD[[#This Row],[PREVISTO]]),""),"")</f>
        <v/>
      </c>
      <c r="K1437" s="15" t="str">
        <f>IFERROR(IF(T_PROD[[#This Row],[PRODUÇÃO]]&gt;0,(T_PROD[[#This Row],[PRODUÇÃO]]/T_PROD[[#This Row],[EFETIVO]]),""),"")</f>
        <v/>
      </c>
    </row>
    <row r="1438" spans="1:11" x14ac:dyDescent="0.3">
      <c r="A1438" s="11">
        <v>46259</v>
      </c>
      <c r="B1438" s="12" t="str">
        <f t="shared" si="158"/>
        <v>AGOSTO</v>
      </c>
      <c r="C1438" s="12" t="s">
        <v>20</v>
      </c>
      <c r="D1438" s="12" t="s">
        <v>12</v>
      </c>
      <c r="E1438" s="13">
        <v>717</v>
      </c>
      <c r="F1438" s="13">
        <v>568</v>
      </c>
      <c r="G1438" s="12">
        <v>90</v>
      </c>
      <c r="H1438" s="14">
        <v>90</v>
      </c>
      <c r="I1438" s="12">
        <f>IFERROR(IF(T_PROD[[#This Row],[PREVISTO]]-T_PROD[[#This Row],[EFETIVO]]&lt; 0,0,T_PROD[[#This Row],[PREVISTO]]-T_PROD[[#This Row],[EFETIVO]] ),"")</f>
        <v>0</v>
      </c>
      <c r="J1438" s="15">
        <f>IFERROR(IF(T_PROD[[#This Row],[META]]&gt;0,(T_PROD[[#This Row],[META]]/T_PROD[[#This Row],[PREVISTO]]),""),"")</f>
        <v>7.9666666666666668</v>
      </c>
      <c r="K1438" s="15">
        <f>IFERROR(IF(T_PROD[[#This Row],[PRODUÇÃO]]&gt;0,(T_PROD[[#This Row],[PRODUÇÃO]]/T_PROD[[#This Row],[EFETIVO]]),""),"")</f>
        <v>6.3111111111111109</v>
      </c>
    </row>
    <row r="1439" spans="1:11" x14ac:dyDescent="0.3">
      <c r="A1439" s="11">
        <v>46259</v>
      </c>
      <c r="B1439" s="12" t="str">
        <f t="shared" si="158"/>
        <v>AGOSTO</v>
      </c>
      <c r="C1439" s="12" t="s">
        <v>11</v>
      </c>
      <c r="D1439" s="12" t="s">
        <v>12</v>
      </c>
      <c r="E1439" s="13">
        <v>780</v>
      </c>
      <c r="F1439" s="13">
        <v>760</v>
      </c>
      <c r="G1439" s="12">
        <v>39</v>
      </c>
      <c r="H1439" s="14">
        <v>39</v>
      </c>
      <c r="I1439" s="12">
        <f>IFERROR(IF(T_PROD[[#This Row],[PREVISTO]]-T_PROD[[#This Row],[EFETIVO]]&lt; 0,0,T_PROD[[#This Row],[PREVISTO]]-T_PROD[[#This Row],[EFETIVO]] ),"")</f>
        <v>0</v>
      </c>
      <c r="J1439" s="15">
        <f>IFERROR(IF(T_PROD[[#This Row],[META]]&gt;0,(T_PROD[[#This Row],[META]]/T_PROD[[#This Row],[PREVISTO]]),""),"")</f>
        <v>20</v>
      </c>
      <c r="K1439" s="15">
        <f>IFERROR(IF(T_PROD[[#This Row],[PRODUÇÃO]]&gt;0,(T_PROD[[#This Row],[PRODUÇÃO]]/T_PROD[[#This Row],[EFETIVO]]),""),"")</f>
        <v>19.487179487179485</v>
      </c>
    </row>
    <row r="1440" spans="1:11" x14ac:dyDescent="0.3">
      <c r="A1440" s="11">
        <v>46259</v>
      </c>
      <c r="B1440" s="12" t="str">
        <f t="shared" si="158"/>
        <v>AGOSTO</v>
      </c>
      <c r="C1440" s="12" t="s">
        <v>32</v>
      </c>
      <c r="D1440" s="12" t="s">
        <v>12</v>
      </c>
      <c r="E1440" s="13">
        <v>55</v>
      </c>
      <c r="F1440" s="13">
        <v>66</v>
      </c>
      <c r="G1440" s="12">
        <v>5</v>
      </c>
      <c r="H1440" s="14">
        <v>5</v>
      </c>
      <c r="I1440" s="12">
        <f>IFERROR(IF(T_PROD[[#This Row],[PREVISTO]]-T_PROD[[#This Row],[EFETIVO]]&lt; 0,0,T_PROD[[#This Row],[PREVISTO]]-T_PROD[[#This Row],[EFETIVO]] ),"")</f>
        <v>0</v>
      </c>
      <c r="J1440" s="15">
        <f>IFERROR(IF(T_PROD[[#This Row],[META]]&gt;0,(T_PROD[[#This Row],[META]]/T_PROD[[#This Row],[PREVISTO]]),""),"")</f>
        <v>11</v>
      </c>
      <c r="K1440" s="15">
        <f>IFERROR(IF(T_PROD[[#This Row],[PRODUÇÃO]]&gt;0,(T_PROD[[#This Row],[PRODUÇÃO]]/T_PROD[[#This Row],[EFETIVO]]),""),"")</f>
        <v>13.2</v>
      </c>
    </row>
    <row r="1441" spans="1:11" x14ac:dyDescent="0.3">
      <c r="A1441" s="11">
        <v>46259</v>
      </c>
      <c r="B1441" s="12" t="str">
        <f t="shared" si="158"/>
        <v>AGOSTO</v>
      </c>
      <c r="C1441" s="12" t="s">
        <v>14</v>
      </c>
      <c r="D1441" s="12" t="s">
        <v>12</v>
      </c>
      <c r="E1441" s="13">
        <v>835</v>
      </c>
      <c r="F1441" s="13">
        <v>826</v>
      </c>
      <c r="G1441" s="12">
        <v>95</v>
      </c>
      <c r="H1441" s="14">
        <v>91</v>
      </c>
      <c r="I1441" s="12">
        <f>IFERROR(IF(T_PROD[[#This Row],[PREVISTO]]-T_PROD[[#This Row],[EFETIVO]]&lt; 0,0,T_PROD[[#This Row],[PREVISTO]]-T_PROD[[#This Row],[EFETIVO]] ),"")</f>
        <v>4</v>
      </c>
      <c r="J1441" s="15">
        <f>IFERROR(IF(T_PROD[[#This Row],[META]]&gt;0,(T_PROD[[#This Row],[META]]/T_PROD[[#This Row],[PREVISTO]]),""),"")</f>
        <v>8.7894736842105257</v>
      </c>
      <c r="K1441" s="15">
        <f>IFERROR(IF(T_PROD[[#This Row],[PRODUÇÃO]]&gt;0,(T_PROD[[#This Row],[PRODUÇÃO]]/T_PROD[[#This Row],[EFETIVO]]),""),"")</f>
        <v>9.0769230769230766</v>
      </c>
    </row>
    <row r="1442" spans="1:11" x14ac:dyDescent="0.3">
      <c r="A1442" s="11">
        <v>46260</v>
      </c>
      <c r="B1442" s="12" t="str">
        <f>UPPER(TEXT(A1442,"MMMM"))</f>
        <v>AGOSTO</v>
      </c>
      <c r="C1442" s="12" t="s">
        <v>15</v>
      </c>
      <c r="D1442" s="12" t="s">
        <v>12</v>
      </c>
      <c r="E1442" s="13"/>
      <c r="F1442" s="13"/>
      <c r="G1442" s="12"/>
      <c r="H1442" s="14"/>
      <c r="I1442" s="12">
        <f>IFERROR(IF(T_PROD[[#This Row],[PREVISTO]]-T_PROD[[#This Row],[EFETIVO]]&lt; 0,0,T_PROD[[#This Row],[PREVISTO]]-T_PROD[[#This Row],[EFETIVO]] ),"")</f>
        <v>0</v>
      </c>
      <c r="J1442" s="15" t="str">
        <f>IFERROR(IF(T_PROD[[#This Row],[META]]&gt;0,(T_PROD[[#This Row],[META]]/T_PROD[[#This Row],[PREVISTO]]),""),"")</f>
        <v/>
      </c>
      <c r="K1442" s="15" t="str">
        <f>IFERROR(IF(T_PROD[[#This Row],[PRODUÇÃO]]&gt;0,(T_PROD[[#This Row],[PRODUÇÃO]]/T_PROD[[#This Row],[EFETIVO]]),""),"")</f>
        <v/>
      </c>
    </row>
    <row r="1443" spans="1:11" x14ac:dyDescent="0.3">
      <c r="A1443" s="11">
        <v>46260</v>
      </c>
      <c r="B1443" s="12" t="str">
        <f t="shared" ref="B1443:B1450" si="159">UPPER(TEXT(A1443,"MMMM"))</f>
        <v>AGOSTO</v>
      </c>
      <c r="C1443" s="12" t="s">
        <v>16</v>
      </c>
      <c r="D1443" s="12" t="s">
        <v>12</v>
      </c>
      <c r="E1443" s="13">
        <v>221</v>
      </c>
      <c r="F1443" s="13">
        <v>240</v>
      </c>
      <c r="G1443" s="12">
        <v>6</v>
      </c>
      <c r="H1443" s="14">
        <v>6</v>
      </c>
      <c r="I1443" s="12">
        <f>IFERROR(IF(T_PROD[[#This Row],[PREVISTO]]-T_PROD[[#This Row],[EFETIVO]]&lt; 0,0,T_PROD[[#This Row],[PREVISTO]]-T_PROD[[#This Row],[EFETIVO]] ),"")</f>
        <v>0</v>
      </c>
      <c r="J1443" s="15">
        <f>IFERROR(IF(T_PROD[[#This Row],[META]]&gt;0,(T_PROD[[#This Row],[META]]/T_PROD[[#This Row],[PREVISTO]]),""),"")</f>
        <v>36.833333333333336</v>
      </c>
      <c r="K1443" s="15">
        <f>IFERROR(IF(T_PROD[[#This Row],[PRODUÇÃO]]&gt;0,(T_PROD[[#This Row],[PRODUÇÃO]]/T_PROD[[#This Row],[EFETIVO]]),""),"")</f>
        <v>40</v>
      </c>
    </row>
    <row r="1444" spans="1:11" x14ac:dyDescent="0.3">
      <c r="A1444" s="11">
        <v>46260</v>
      </c>
      <c r="B1444" s="12" t="str">
        <f t="shared" si="159"/>
        <v>AGOSTO</v>
      </c>
      <c r="C1444" s="12" t="s">
        <v>17</v>
      </c>
      <c r="D1444" s="12" t="s">
        <v>12</v>
      </c>
      <c r="E1444" s="13">
        <v>352</v>
      </c>
      <c r="F1444" s="13">
        <v>369</v>
      </c>
      <c r="G1444" s="12">
        <v>17</v>
      </c>
      <c r="H1444" s="14">
        <v>17</v>
      </c>
      <c r="I1444" s="12">
        <f>IFERROR(IF(T_PROD[[#This Row],[PREVISTO]]-T_PROD[[#This Row],[EFETIVO]]&lt; 0,0,T_PROD[[#This Row],[PREVISTO]]-T_PROD[[#This Row],[EFETIVO]] ),"")</f>
        <v>0</v>
      </c>
      <c r="J1444" s="15">
        <f>IFERROR(IF(T_PROD[[#This Row],[META]]&gt;0,(T_PROD[[#This Row],[META]]/T_PROD[[#This Row],[PREVISTO]]),""),"")</f>
        <v>20.705882352941178</v>
      </c>
      <c r="K1444" s="15">
        <f>IFERROR(IF(T_PROD[[#This Row],[PRODUÇÃO]]&gt;0,(T_PROD[[#This Row],[PRODUÇÃO]]/T_PROD[[#This Row],[EFETIVO]]),""),"")</f>
        <v>21.705882352941178</v>
      </c>
    </row>
    <row r="1445" spans="1:11" x14ac:dyDescent="0.3">
      <c r="A1445" s="11">
        <v>46260</v>
      </c>
      <c r="B1445" s="12" t="str">
        <f t="shared" si="159"/>
        <v>AGOSTO</v>
      </c>
      <c r="C1445" s="12" t="s">
        <v>18</v>
      </c>
      <c r="D1445" s="12" t="s">
        <v>12</v>
      </c>
      <c r="E1445" s="13">
        <v>144</v>
      </c>
      <c r="F1445" s="13">
        <v>57</v>
      </c>
      <c r="G1445" s="12">
        <v>8</v>
      </c>
      <c r="H1445" s="14">
        <v>8</v>
      </c>
      <c r="I1445" s="12">
        <f>IFERROR(IF(T_PROD[[#This Row],[PREVISTO]]-T_PROD[[#This Row],[EFETIVO]]&lt; 0,0,T_PROD[[#This Row],[PREVISTO]]-T_PROD[[#This Row],[EFETIVO]] ),"")</f>
        <v>0</v>
      </c>
      <c r="J1445" s="15">
        <f>IFERROR(IF(T_PROD[[#This Row],[META]]&gt;0,(T_PROD[[#This Row],[META]]/T_PROD[[#This Row],[PREVISTO]]),""),"")</f>
        <v>18</v>
      </c>
      <c r="K1445" s="15">
        <f>IFERROR(IF(T_PROD[[#This Row],[PRODUÇÃO]]&gt;0,(T_PROD[[#This Row],[PRODUÇÃO]]/T_PROD[[#This Row],[EFETIVO]]),""),"")</f>
        <v>7.125</v>
      </c>
    </row>
    <row r="1446" spans="1:11" x14ac:dyDescent="0.3">
      <c r="A1446" s="11">
        <v>46260</v>
      </c>
      <c r="B1446" s="12" t="str">
        <f t="shared" si="159"/>
        <v>AGOSTO</v>
      </c>
      <c r="C1446" s="12" t="s">
        <v>19</v>
      </c>
      <c r="D1446" s="12" t="s">
        <v>12</v>
      </c>
      <c r="E1446" s="13"/>
      <c r="F1446" s="13"/>
      <c r="G1446" s="12"/>
      <c r="H1446" s="14"/>
      <c r="I1446" s="12">
        <f>IFERROR(IF(T_PROD[[#This Row],[PREVISTO]]-T_PROD[[#This Row],[EFETIVO]]&lt; 0,0,T_PROD[[#This Row],[PREVISTO]]-T_PROD[[#This Row],[EFETIVO]] ),"")</f>
        <v>0</v>
      </c>
      <c r="J1446" s="15" t="str">
        <f>IFERROR(IF(T_PROD[[#This Row],[META]]&gt;0,(T_PROD[[#This Row],[META]]/T_PROD[[#This Row],[PREVISTO]]),""),"")</f>
        <v/>
      </c>
      <c r="K1446" s="15" t="str">
        <f>IFERROR(IF(T_PROD[[#This Row],[PRODUÇÃO]]&gt;0,(T_PROD[[#This Row],[PRODUÇÃO]]/T_PROD[[#This Row],[EFETIVO]]),""),"")</f>
        <v/>
      </c>
    </row>
    <row r="1447" spans="1:11" x14ac:dyDescent="0.3">
      <c r="A1447" s="11">
        <v>46260</v>
      </c>
      <c r="B1447" s="12" t="str">
        <f t="shared" si="159"/>
        <v>AGOSTO</v>
      </c>
      <c r="C1447" s="12" t="s">
        <v>20</v>
      </c>
      <c r="D1447" s="12" t="s">
        <v>12</v>
      </c>
      <c r="E1447" s="13">
        <v>717</v>
      </c>
      <c r="F1447" s="13">
        <v>666</v>
      </c>
      <c r="G1447" s="12">
        <v>90</v>
      </c>
      <c r="H1447" s="14">
        <v>90</v>
      </c>
      <c r="I1447" s="12">
        <f>IFERROR(IF(T_PROD[[#This Row],[PREVISTO]]-T_PROD[[#This Row],[EFETIVO]]&lt; 0,0,T_PROD[[#This Row],[PREVISTO]]-T_PROD[[#This Row],[EFETIVO]] ),"")</f>
        <v>0</v>
      </c>
      <c r="J1447" s="15">
        <f>IFERROR(IF(T_PROD[[#This Row],[META]]&gt;0,(T_PROD[[#This Row],[META]]/T_PROD[[#This Row],[PREVISTO]]),""),"")</f>
        <v>7.9666666666666668</v>
      </c>
      <c r="K1447" s="15">
        <f>IFERROR(IF(T_PROD[[#This Row],[PRODUÇÃO]]&gt;0,(T_PROD[[#This Row],[PRODUÇÃO]]/T_PROD[[#This Row],[EFETIVO]]),""),"")</f>
        <v>7.4</v>
      </c>
    </row>
    <row r="1448" spans="1:11" x14ac:dyDescent="0.3">
      <c r="A1448" s="11">
        <v>46260</v>
      </c>
      <c r="B1448" s="12" t="str">
        <f t="shared" si="159"/>
        <v>AGOSTO</v>
      </c>
      <c r="C1448" s="12" t="s">
        <v>11</v>
      </c>
      <c r="D1448" s="12" t="s">
        <v>12</v>
      </c>
      <c r="E1448" s="13">
        <v>700</v>
      </c>
      <c r="F1448" s="13">
        <v>715</v>
      </c>
      <c r="G1448" s="12">
        <v>35</v>
      </c>
      <c r="H1448" s="14">
        <v>35</v>
      </c>
      <c r="I1448" s="12">
        <f>IFERROR(IF(T_PROD[[#This Row],[PREVISTO]]-T_PROD[[#This Row],[EFETIVO]]&lt; 0,0,T_PROD[[#This Row],[PREVISTO]]-T_PROD[[#This Row],[EFETIVO]] ),"")</f>
        <v>0</v>
      </c>
      <c r="J1448" s="15">
        <f>IFERROR(IF(T_PROD[[#This Row],[META]]&gt;0,(T_PROD[[#This Row],[META]]/T_PROD[[#This Row],[PREVISTO]]),""),"")</f>
        <v>20</v>
      </c>
      <c r="K1448" s="15">
        <f>IFERROR(IF(T_PROD[[#This Row],[PRODUÇÃO]]&gt;0,(T_PROD[[#This Row],[PRODUÇÃO]]/T_PROD[[#This Row],[EFETIVO]]),""),"")</f>
        <v>20.428571428571427</v>
      </c>
    </row>
    <row r="1449" spans="1:11" x14ac:dyDescent="0.3">
      <c r="A1449" s="11">
        <v>46260</v>
      </c>
      <c r="B1449" s="12" t="str">
        <f t="shared" si="159"/>
        <v>AGOSTO</v>
      </c>
      <c r="C1449" s="12" t="s">
        <v>32</v>
      </c>
      <c r="D1449" s="12" t="s">
        <v>12</v>
      </c>
      <c r="E1449" s="13">
        <v>66</v>
      </c>
      <c r="F1449" s="13">
        <v>71</v>
      </c>
      <c r="G1449" s="12">
        <v>6</v>
      </c>
      <c r="H1449" s="14">
        <v>6</v>
      </c>
      <c r="I1449" s="12">
        <f>IFERROR(IF(T_PROD[[#This Row],[PREVISTO]]-T_PROD[[#This Row],[EFETIVO]]&lt; 0,0,T_PROD[[#This Row],[PREVISTO]]-T_PROD[[#This Row],[EFETIVO]] ),"")</f>
        <v>0</v>
      </c>
      <c r="J1449" s="15">
        <f>IFERROR(IF(T_PROD[[#This Row],[META]]&gt;0,(T_PROD[[#This Row],[META]]/T_PROD[[#This Row],[PREVISTO]]),""),"")</f>
        <v>11</v>
      </c>
      <c r="K1449" s="15">
        <f>IFERROR(IF(T_PROD[[#This Row],[PRODUÇÃO]]&gt;0,(T_PROD[[#This Row],[PRODUÇÃO]]/T_PROD[[#This Row],[EFETIVO]]),""),"")</f>
        <v>11.833333333333334</v>
      </c>
    </row>
    <row r="1450" spans="1:11" x14ac:dyDescent="0.3">
      <c r="A1450" s="11">
        <v>46260</v>
      </c>
      <c r="B1450" s="12" t="str">
        <f t="shared" si="159"/>
        <v>AGOSTO</v>
      </c>
      <c r="C1450" s="12" t="s">
        <v>14</v>
      </c>
      <c r="D1450" s="12" t="s">
        <v>12</v>
      </c>
      <c r="E1450" s="13">
        <v>766</v>
      </c>
      <c r="F1450" s="13">
        <v>786</v>
      </c>
      <c r="G1450" s="12">
        <v>92</v>
      </c>
      <c r="H1450" s="14">
        <v>92</v>
      </c>
      <c r="I1450" s="12">
        <f>IFERROR(IF(T_PROD[[#This Row],[PREVISTO]]-T_PROD[[#This Row],[EFETIVO]]&lt; 0,0,T_PROD[[#This Row],[PREVISTO]]-T_PROD[[#This Row],[EFETIVO]] ),"")</f>
        <v>0</v>
      </c>
      <c r="J1450" s="15">
        <f>IFERROR(IF(T_PROD[[#This Row],[META]]&gt;0,(T_PROD[[#This Row],[META]]/T_PROD[[#This Row],[PREVISTO]]),""),"")</f>
        <v>8.3260869565217384</v>
      </c>
      <c r="K1450" s="15">
        <f>IFERROR(IF(T_PROD[[#This Row],[PRODUÇÃO]]&gt;0,(T_PROD[[#This Row],[PRODUÇÃO]]/T_PROD[[#This Row],[EFETIVO]]),""),"")</f>
        <v>8.5434782608695645</v>
      </c>
    </row>
    <row r="1451" spans="1:11" x14ac:dyDescent="0.3">
      <c r="A1451" s="11">
        <v>46261</v>
      </c>
      <c r="B1451" s="12" t="str">
        <f>UPPER(TEXT(A1451,"MMMM"))</f>
        <v>AGOSTO</v>
      </c>
      <c r="C1451" s="12" t="s">
        <v>15</v>
      </c>
      <c r="D1451" s="12" t="s">
        <v>12</v>
      </c>
      <c r="E1451" s="13"/>
      <c r="F1451" s="13"/>
      <c r="G1451" s="12"/>
      <c r="H1451" s="14"/>
      <c r="I1451" s="12">
        <f>IFERROR(IF(T_PROD[[#This Row],[PREVISTO]]-T_PROD[[#This Row],[EFETIVO]]&lt; 0,0,T_PROD[[#This Row],[PREVISTO]]-T_PROD[[#This Row],[EFETIVO]] ),"")</f>
        <v>0</v>
      </c>
      <c r="J1451" s="15" t="str">
        <f>IFERROR(IF(T_PROD[[#This Row],[META]]&gt;0,(T_PROD[[#This Row],[META]]/T_PROD[[#This Row],[PREVISTO]]),""),"")</f>
        <v/>
      </c>
      <c r="K1451" s="15" t="str">
        <f>IFERROR(IF(T_PROD[[#This Row],[PRODUÇÃO]]&gt;0,(T_PROD[[#This Row],[PRODUÇÃO]]/T_PROD[[#This Row],[EFETIVO]]),""),"")</f>
        <v/>
      </c>
    </row>
    <row r="1452" spans="1:11" x14ac:dyDescent="0.3">
      <c r="A1452" s="11">
        <v>46261</v>
      </c>
      <c r="B1452" s="12" t="str">
        <f t="shared" ref="B1452:B1459" si="160">UPPER(TEXT(A1452,"MMMM"))</f>
        <v>AGOSTO</v>
      </c>
      <c r="C1452" s="12" t="s">
        <v>16</v>
      </c>
      <c r="D1452" s="12" t="s">
        <v>12</v>
      </c>
      <c r="E1452" s="13"/>
      <c r="F1452" s="13"/>
      <c r="G1452" s="12"/>
      <c r="H1452" s="14"/>
      <c r="I1452" s="12">
        <f>IFERROR(IF(T_PROD[[#This Row],[PREVISTO]]-T_PROD[[#This Row],[EFETIVO]]&lt; 0,0,T_PROD[[#This Row],[PREVISTO]]-T_PROD[[#This Row],[EFETIVO]] ),"")</f>
        <v>0</v>
      </c>
      <c r="J1452" s="15" t="str">
        <f>IFERROR(IF(T_PROD[[#This Row],[META]]&gt;0,(T_PROD[[#This Row],[META]]/T_PROD[[#This Row],[PREVISTO]]),""),"")</f>
        <v/>
      </c>
      <c r="K1452" s="15" t="str">
        <f>IFERROR(IF(T_PROD[[#This Row],[PRODUÇÃO]]&gt;0,(T_PROD[[#This Row],[PRODUÇÃO]]/T_PROD[[#This Row],[EFETIVO]]),""),"")</f>
        <v/>
      </c>
    </row>
    <row r="1453" spans="1:11" x14ac:dyDescent="0.3">
      <c r="A1453" s="11">
        <v>46261</v>
      </c>
      <c r="B1453" s="12" t="str">
        <f t="shared" si="160"/>
        <v>AGOSTO</v>
      </c>
      <c r="C1453" s="12" t="s">
        <v>17</v>
      </c>
      <c r="D1453" s="12" t="s">
        <v>12</v>
      </c>
      <c r="E1453" s="13"/>
      <c r="F1453" s="13"/>
      <c r="G1453" s="12"/>
      <c r="H1453" s="14"/>
      <c r="I1453" s="12">
        <f>IFERROR(IF(T_PROD[[#This Row],[PREVISTO]]-T_PROD[[#This Row],[EFETIVO]]&lt; 0,0,T_PROD[[#This Row],[PREVISTO]]-T_PROD[[#This Row],[EFETIVO]] ),"")</f>
        <v>0</v>
      </c>
      <c r="J1453" s="15" t="str">
        <f>IFERROR(IF(T_PROD[[#This Row],[META]]&gt;0,(T_PROD[[#This Row],[META]]/T_PROD[[#This Row],[PREVISTO]]),""),"")</f>
        <v/>
      </c>
      <c r="K1453" s="15" t="str">
        <f>IFERROR(IF(T_PROD[[#This Row],[PRODUÇÃO]]&gt;0,(T_PROD[[#This Row],[PRODUÇÃO]]/T_PROD[[#This Row],[EFETIVO]]),""),"")</f>
        <v/>
      </c>
    </row>
    <row r="1454" spans="1:11" x14ac:dyDescent="0.3">
      <c r="A1454" s="11">
        <v>46261</v>
      </c>
      <c r="B1454" s="12" t="str">
        <f t="shared" si="160"/>
        <v>AGOSTO</v>
      </c>
      <c r="C1454" s="12" t="s">
        <v>18</v>
      </c>
      <c r="D1454" s="12" t="s">
        <v>12</v>
      </c>
      <c r="E1454" s="13"/>
      <c r="F1454" s="13"/>
      <c r="G1454" s="12"/>
      <c r="H1454" s="14"/>
      <c r="I1454" s="12">
        <f>IFERROR(IF(T_PROD[[#This Row],[PREVISTO]]-T_PROD[[#This Row],[EFETIVO]]&lt; 0,0,T_PROD[[#This Row],[PREVISTO]]-T_PROD[[#This Row],[EFETIVO]] ),"")</f>
        <v>0</v>
      </c>
      <c r="J1454" s="15" t="str">
        <f>IFERROR(IF(T_PROD[[#This Row],[META]]&gt;0,(T_PROD[[#This Row],[META]]/T_PROD[[#This Row],[PREVISTO]]),""),"")</f>
        <v/>
      </c>
      <c r="K1454" s="15" t="str">
        <f>IFERROR(IF(T_PROD[[#This Row],[PRODUÇÃO]]&gt;0,(T_PROD[[#This Row],[PRODUÇÃO]]/T_PROD[[#This Row],[EFETIVO]]),""),"")</f>
        <v/>
      </c>
    </row>
    <row r="1455" spans="1:11" x14ac:dyDescent="0.3">
      <c r="A1455" s="11">
        <v>46261</v>
      </c>
      <c r="B1455" s="12" t="str">
        <f t="shared" si="160"/>
        <v>AGOSTO</v>
      </c>
      <c r="C1455" s="12" t="s">
        <v>19</v>
      </c>
      <c r="D1455" s="12" t="s">
        <v>12</v>
      </c>
      <c r="E1455" s="13"/>
      <c r="F1455" s="13"/>
      <c r="G1455" s="12"/>
      <c r="H1455" s="14"/>
      <c r="I1455" s="12">
        <f>IFERROR(IF(T_PROD[[#This Row],[PREVISTO]]-T_PROD[[#This Row],[EFETIVO]]&lt; 0,0,T_PROD[[#This Row],[PREVISTO]]-T_PROD[[#This Row],[EFETIVO]] ),"")</f>
        <v>0</v>
      </c>
      <c r="J1455" s="15" t="str">
        <f>IFERROR(IF(T_PROD[[#This Row],[META]]&gt;0,(T_PROD[[#This Row],[META]]/T_PROD[[#This Row],[PREVISTO]]),""),"")</f>
        <v/>
      </c>
      <c r="K1455" s="15" t="str">
        <f>IFERROR(IF(T_PROD[[#This Row],[PRODUÇÃO]]&gt;0,(T_PROD[[#This Row],[PRODUÇÃO]]/T_PROD[[#This Row],[EFETIVO]]),""),"")</f>
        <v/>
      </c>
    </row>
    <row r="1456" spans="1:11" x14ac:dyDescent="0.3">
      <c r="A1456" s="11">
        <v>46261</v>
      </c>
      <c r="B1456" s="12" t="str">
        <f t="shared" si="160"/>
        <v>AGOSTO</v>
      </c>
      <c r="C1456" s="12" t="s">
        <v>20</v>
      </c>
      <c r="D1456" s="12" t="s">
        <v>12</v>
      </c>
      <c r="E1456" s="13"/>
      <c r="F1456" s="13"/>
      <c r="G1456" s="12"/>
      <c r="H1456" s="14"/>
      <c r="I1456" s="12">
        <f>IFERROR(IF(T_PROD[[#This Row],[PREVISTO]]-T_PROD[[#This Row],[EFETIVO]]&lt; 0,0,T_PROD[[#This Row],[PREVISTO]]-T_PROD[[#This Row],[EFETIVO]] ),"")</f>
        <v>0</v>
      </c>
      <c r="J1456" s="15" t="str">
        <f>IFERROR(IF(T_PROD[[#This Row],[META]]&gt;0,(T_PROD[[#This Row],[META]]/T_PROD[[#This Row],[PREVISTO]]),""),"")</f>
        <v/>
      </c>
      <c r="K1456" s="15" t="str">
        <f>IFERROR(IF(T_PROD[[#This Row],[PRODUÇÃO]]&gt;0,(T_PROD[[#This Row],[PRODUÇÃO]]/T_PROD[[#This Row],[EFETIVO]]),""),"")</f>
        <v/>
      </c>
    </row>
    <row r="1457" spans="1:11" x14ac:dyDescent="0.3">
      <c r="A1457" s="11">
        <v>46261</v>
      </c>
      <c r="B1457" s="12" t="str">
        <f t="shared" si="160"/>
        <v>AGOSTO</v>
      </c>
      <c r="C1457" s="12" t="s">
        <v>11</v>
      </c>
      <c r="D1457" s="12" t="s">
        <v>12</v>
      </c>
      <c r="E1457" s="13">
        <v>700</v>
      </c>
      <c r="F1457" s="13">
        <v>705</v>
      </c>
      <c r="G1457" s="12">
        <v>35</v>
      </c>
      <c r="H1457" s="14">
        <v>35</v>
      </c>
      <c r="I1457" s="12">
        <f>IFERROR(IF(T_PROD[[#This Row],[PREVISTO]]-T_PROD[[#This Row],[EFETIVO]]&lt; 0,0,T_PROD[[#This Row],[PREVISTO]]-T_PROD[[#This Row],[EFETIVO]] ),"")</f>
        <v>0</v>
      </c>
      <c r="J1457" s="15">
        <f>IFERROR(IF(T_PROD[[#This Row],[META]]&gt;0,(T_PROD[[#This Row],[META]]/T_PROD[[#This Row],[PREVISTO]]),""),"")</f>
        <v>20</v>
      </c>
      <c r="K1457" s="15">
        <f>IFERROR(IF(T_PROD[[#This Row],[PRODUÇÃO]]&gt;0,(T_PROD[[#This Row],[PRODUÇÃO]]/T_PROD[[#This Row],[EFETIVO]]),""),"")</f>
        <v>20.142857142857142</v>
      </c>
    </row>
    <row r="1458" spans="1:11" x14ac:dyDescent="0.3">
      <c r="A1458" s="11">
        <v>46261</v>
      </c>
      <c r="B1458" s="12" t="str">
        <f t="shared" si="160"/>
        <v>AGOSTO</v>
      </c>
      <c r="C1458" s="12" t="s">
        <v>32</v>
      </c>
      <c r="D1458" s="12" t="s">
        <v>12</v>
      </c>
      <c r="E1458" s="13">
        <v>66</v>
      </c>
      <c r="F1458" s="13">
        <v>73</v>
      </c>
      <c r="G1458" s="12">
        <v>6</v>
      </c>
      <c r="H1458" s="14">
        <v>6</v>
      </c>
      <c r="I1458" s="12">
        <f>IFERROR(IF(T_PROD[[#This Row],[PREVISTO]]-T_PROD[[#This Row],[EFETIVO]]&lt; 0,0,T_PROD[[#This Row],[PREVISTO]]-T_PROD[[#This Row],[EFETIVO]] ),"")</f>
        <v>0</v>
      </c>
      <c r="J1458" s="15">
        <f>IFERROR(IF(T_PROD[[#This Row],[META]]&gt;0,(T_PROD[[#This Row],[META]]/T_PROD[[#This Row],[PREVISTO]]),""),"")</f>
        <v>11</v>
      </c>
      <c r="K1458" s="15">
        <f>IFERROR(IF(T_PROD[[#This Row],[PRODUÇÃO]]&gt;0,(T_PROD[[#This Row],[PRODUÇÃO]]/T_PROD[[#This Row],[EFETIVO]]),""),"")</f>
        <v>12.166666666666666</v>
      </c>
    </row>
    <row r="1459" spans="1:11" x14ac:dyDescent="0.3">
      <c r="A1459" s="11">
        <v>46261</v>
      </c>
      <c r="B1459" s="12" t="str">
        <f t="shared" si="160"/>
        <v>AGOSTO</v>
      </c>
      <c r="C1459" s="12" t="s">
        <v>14</v>
      </c>
      <c r="D1459" s="12" t="s">
        <v>12</v>
      </c>
      <c r="E1459" s="13">
        <v>766</v>
      </c>
      <c r="F1459" s="13">
        <v>778</v>
      </c>
      <c r="G1459" s="12">
        <v>92</v>
      </c>
      <c r="H1459" s="14">
        <v>92</v>
      </c>
      <c r="I1459" s="12">
        <f>IFERROR(IF(T_PROD[[#This Row],[PREVISTO]]-T_PROD[[#This Row],[EFETIVO]]&lt; 0,0,T_PROD[[#This Row],[PREVISTO]]-T_PROD[[#This Row],[EFETIVO]] ),"")</f>
        <v>0</v>
      </c>
      <c r="J1459" s="15">
        <f>IFERROR(IF(T_PROD[[#This Row],[META]]&gt;0,(T_PROD[[#This Row],[META]]/T_PROD[[#This Row],[PREVISTO]]),""),"")</f>
        <v>8.3260869565217384</v>
      </c>
      <c r="K1459" s="15">
        <f>IFERROR(IF(T_PROD[[#This Row],[PRODUÇÃO]]&gt;0,(T_PROD[[#This Row],[PRODUÇÃO]]/T_PROD[[#This Row],[EFETIVO]]),""),"")</f>
        <v>8.4565217391304355</v>
      </c>
    </row>
    <row r="1460" spans="1:11" x14ac:dyDescent="0.3">
      <c r="A1460" s="11">
        <v>46262</v>
      </c>
      <c r="B1460" s="12" t="str">
        <f>UPPER(TEXT(A1460,"MMMM"))</f>
        <v>AGOSTO</v>
      </c>
      <c r="C1460" s="12" t="s">
        <v>15</v>
      </c>
      <c r="D1460" s="12" t="s">
        <v>12</v>
      </c>
      <c r="E1460" s="13"/>
      <c r="F1460" s="13"/>
      <c r="G1460" s="12"/>
      <c r="H1460" s="14"/>
      <c r="I1460" s="12">
        <f>IFERROR(IF(T_PROD[[#This Row],[PREVISTO]]-T_PROD[[#This Row],[EFETIVO]]&lt; 0,0,T_PROD[[#This Row],[PREVISTO]]-T_PROD[[#This Row],[EFETIVO]] ),"")</f>
        <v>0</v>
      </c>
      <c r="J1460" s="15" t="str">
        <f>IFERROR(IF(T_PROD[[#This Row],[META]]&gt;0,(T_PROD[[#This Row],[META]]/T_PROD[[#This Row],[PREVISTO]]),""),"")</f>
        <v/>
      </c>
      <c r="K1460" s="15" t="str">
        <f>IFERROR(IF(T_PROD[[#This Row],[PRODUÇÃO]]&gt;0,(T_PROD[[#This Row],[PRODUÇÃO]]/T_PROD[[#This Row],[EFETIVO]]),""),"")</f>
        <v/>
      </c>
    </row>
    <row r="1461" spans="1:11" x14ac:dyDescent="0.3">
      <c r="A1461" s="11">
        <v>46262</v>
      </c>
      <c r="B1461" s="12" t="str">
        <f t="shared" ref="B1461:B1468" si="161">UPPER(TEXT(A1461,"MMMM"))</f>
        <v>AGOSTO</v>
      </c>
      <c r="C1461" s="12" t="s">
        <v>16</v>
      </c>
      <c r="D1461" s="12" t="s">
        <v>12</v>
      </c>
      <c r="E1461" s="13"/>
      <c r="F1461" s="13"/>
      <c r="G1461" s="12"/>
      <c r="H1461" s="14"/>
      <c r="I1461" s="12">
        <f>IFERROR(IF(T_PROD[[#This Row],[PREVISTO]]-T_PROD[[#This Row],[EFETIVO]]&lt; 0,0,T_PROD[[#This Row],[PREVISTO]]-T_PROD[[#This Row],[EFETIVO]] ),"")</f>
        <v>0</v>
      </c>
      <c r="J1461" s="15" t="str">
        <f>IFERROR(IF(T_PROD[[#This Row],[META]]&gt;0,(T_PROD[[#This Row],[META]]/T_PROD[[#This Row],[PREVISTO]]),""),"")</f>
        <v/>
      </c>
      <c r="K1461" s="15" t="str">
        <f>IFERROR(IF(T_PROD[[#This Row],[PRODUÇÃO]]&gt;0,(T_PROD[[#This Row],[PRODUÇÃO]]/T_PROD[[#This Row],[EFETIVO]]),""),"")</f>
        <v/>
      </c>
    </row>
    <row r="1462" spans="1:11" x14ac:dyDescent="0.3">
      <c r="A1462" s="11">
        <v>46262</v>
      </c>
      <c r="B1462" s="12" t="str">
        <f t="shared" si="161"/>
        <v>AGOSTO</v>
      </c>
      <c r="C1462" s="12" t="s">
        <v>17</v>
      </c>
      <c r="D1462" s="12" t="s">
        <v>12</v>
      </c>
      <c r="E1462" s="13"/>
      <c r="F1462" s="13"/>
      <c r="G1462" s="12"/>
      <c r="H1462" s="14"/>
      <c r="I1462" s="12">
        <f>IFERROR(IF(T_PROD[[#This Row],[PREVISTO]]-T_PROD[[#This Row],[EFETIVO]]&lt; 0,0,T_PROD[[#This Row],[PREVISTO]]-T_PROD[[#This Row],[EFETIVO]] ),"")</f>
        <v>0</v>
      </c>
      <c r="J1462" s="15" t="str">
        <f>IFERROR(IF(T_PROD[[#This Row],[META]]&gt;0,(T_PROD[[#This Row],[META]]/T_PROD[[#This Row],[PREVISTO]]),""),"")</f>
        <v/>
      </c>
      <c r="K1462" s="15" t="str">
        <f>IFERROR(IF(T_PROD[[#This Row],[PRODUÇÃO]]&gt;0,(T_PROD[[#This Row],[PRODUÇÃO]]/T_PROD[[#This Row],[EFETIVO]]),""),"")</f>
        <v/>
      </c>
    </row>
    <row r="1463" spans="1:11" x14ac:dyDescent="0.3">
      <c r="A1463" s="11">
        <v>46262</v>
      </c>
      <c r="B1463" s="12" t="str">
        <f t="shared" si="161"/>
        <v>AGOSTO</v>
      </c>
      <c r="C1463" s="12" t="s">
        <v>18</v>
      </c>
      <c r="D1463" s="12" t="s">
        <v>12</v>
      </c>
      <c r="E1463" s="13"/>
      <c r="F1463" s="13"/>
      <c r="G1463" s="12"/>
      <c r="H1463" s="14"/>
      <c r="I1463" s="12">
        <f>IFERROR(IF(T_PROD[[#This Row],[PREVISTO]]-T_PROD[[#This Row],[EFETIVO]]&lt; 0,0,T_PROD[[#This Row],[PREVISTO]]-T_PROD[[#This Row],[EFETIVO]] ),"")</f>
        <v>0</v>
      </c>
      <c r="J1463" s="15" t="str">
        <f>IFERROR(IF(T_PROD[[#This Row],[META]]&gt;0,(T_PROD[[#This Row],[META]]/T_PROD[[#This Row],[PREVISTO]]),""),"")</f>
        <v/>
      </c>
      <c r="K1463" s="15" t="str">
        <f>IFERROR(IF(T_PROD[[#This Row],[PRODUÇÃO]]&gt;0,(T_PROD[[#This Row],[PRODUÇÃO]]/T_PROD[[#This Row],[EFETIVO]]),""),"")</f>
        <v/>
      </c>
    </row>
    <row r="1464" spans="1:11" x14ac:dyDescent="0.3">
      <c r="A1464" s="11">
        <v>46262</v>
      </c>
      <c r="B1464" s="12" t="str">
        <f t="shared" si="161"/>
        <v>AGOSTO</v>
      </c>
      <c r="C1464" s="12" t="s">
        <v>19</v>
      </c>
      <c r="D1464" s="12" t="s">
        <v>12</v>
      </c>
      <c r="E1464" s="13"/>
      <c r="F1464" s="13"/>
      <c r="G1464" s="12"/>
      <c r="H1464" s="14"/>
      <c r="I1464" s="12">
        <f>IFERROR(IF(T_PROD[[#This Row],[PREVISTO]]-T_PROD[[#This Row],[EFETIVO]]&lt; 0,0,T_PROD[[#This Row],[PREVISTO]]-T_PROD[[#This Row],[EFETIVO]] ),"")</f>
        <v>0</v>
      </c>
      <c r="J1464" s="15" t="str">
        <f>IFERROR(IF(T_PROD[[#This Row],[META]]&gt;0,(T_PROD[[#This Row],[META]]/T_PROD[[#This Row],[PREVISTO]]),""),"")</f>
        <v/>
      </c>
      <c r="K1464" s="15" t="str">
        <f>IFERROR(IF(T_PROD[[#This Row],[PRODUÇÃO]]&gt;0,(T_PROD[[#This Row],[PRODUÇÃO]]/T_PROD[[#This Row],[EFETIVO]]),""),"")</f>
        <v/>
      </c>
    </row>
    <row r="1465" spans="1:11" x14ac:dyDescent="0.3">
      <c r="A1465" s="11">
        <v>46262</v>
      </c>
      <c r="B1465" s="12" t="str">
        <f t="shared" si="161"/>
        <v>AGOSTO</v>
      </c>
      <c r="C1465" s="12" t="s">
        <v>20</v>
      </c>
      <c r="D1465" s="12" t="s">
        <v>12</v>
      </c>
      <c r="E1465" s="13"/>
      <c r="F1465" s="13"/>
      <c r="G1465" s="12"/>
      <c r="H1465" s="14"/>
      <c r="I1465" s="12">
        <f>IFERROR(IF(T_PROD[[#This Row],[PREVISTO]]-T_PROD[[#This Row],[EFETIVO]]&lt; 0,0,T_PROD[[#This Row],[PREVISTO]]-T_PROD[[#This Row],[EFETIVO]] ),"")</f>
        <v>0</v>
      </c>
      <c r="J1465" s="15" t="str">
        <f>IFERROR(IF(T_PROD[[#This Row],[META]]&gt;0,(T_PROD[[#This Row],[META]]/T_PROD[[#This Row],[PREVISTO]]),""),"")</f>
        <v/>
      </c>
      <c r="K1465" s="15" t="str">
        <f>IFERROR(IF(T_PROD[[#This Row],[PRODUÇÃO]]&gt;0,(T_PROD[[#This Row],[PRODUÇÃO]]/T_PROD[[#This Row],[EFETIVO]]),""),"")</f>
        <v/>
      </c>
    </row>
    <row r="1466" spans="1:11" x14ac:dyDescent="0.3">
      <c r="A1466" s="11">
        <v>46262</v>
      </c>
      <c r="B1466" s="12" t="str">
        <f t="shared" si="161"/>
        <v>AGOSTO</v>
      </c>
      <c r="C1466" s="12" t="s">
        <v>11</v>
      </c>
      <c r="D1466" s="12" t="s">
        <v>12</v>
      </c>
      <c r="E1466" s="13">
        <v>560</v>
      </c>
      <c r="F1466" s="13">
        <v>560</v>
      </c>
      <c r="G1466" s="12">
        <v>28</v>
      </c>
      <c r="H1466" s="14">
        <v>28</v>
      </c>
      <c r="I1466" s="12">
        <f>IFERROR(IF(T_PROD[[#This Row],[PREVISTO]]-T_PROD[[#This Row],[EFETIVO]]&lt; 0,0,T_PROD[[#This Row],[PREVISTO]]-T_PROD[[#This Row],[EFETIVO]] ),"")</f>
        <v>0</v>
      </c>
      <c r="J1466" s="15">
        <f>IFERROR(IF(T_PROD[[#This Row],[META]]&gt;0,(T_PROD[[#This Row],[META]]/T_PROD[[#This Row],[PREVISTO]]),""),"")</f>
        <v>20</v>
      </c>
      <c r="K1466" s="15">
        <f>IFERROR(IF(T_PROD[[#This Row],[PRODUÇÃO]]&gt;0,(T_PROD[[#This Row],[PRODUÇÃO]]/T_PROD[[#This Row],[EFETIVO]]),""),"")</f>
        <v>20</v>
      </c>
    </row>
    <row r="1467" spans="1:11" x14ac:dyDescent="0.3">
      <c r="A1467" s="11">
        <v>46262</v>
      </c>
      <c r="B1467" s="12" t="str">
        <f t="shared" si="161"/>
        <v>AGOSTO</v>
      </c>
      <c r="C1467" s="12" t="s">
        <v>32</v>
      </c>
      <c r="D1467" s="12" t="s">
        <v>12</v>
      </c>
      <c r="E1467" s="13">
        <v>66</v>
      </c>
      <c r="F1467" s="13">
        <v>60</v>
      </c>
      <c r="G1467" s="12">
        <v>6</v>
      </c>
      <c r="H1467" s="14">
        <v>6</v>
      </c>
      <c r="I1467" s="12">
        <f>IFERROR(IF(T_PROD[[#This Row],[PREVISTO]]-T_PROD[[#This Row],[EFETIVO]]&lt; 0,0,T_PROD[[#This Row],[PREVISTO]]-T_PROD[[#This Row],[EFETIVO]] ),"")</f>
        <v>0</v>
      </c>
      <c r="J1467" s="15">
        <f>IFERROR(IF(T_PROD[[#This Row],[META]]&gt;0,(T_PROD[[#This Row],[META]]/T_PROD[[#This Row],[PREVISTO]]),""),"")</f>
        <v>11</v>
      </c>
      <c r="K1467" s="15">
        <f>IFERROR(IF(T_PROD[[#This Row],[PRODUÇÃO]]&gt;0,(T_PROD[[#This Row],[PRODUÇÃO]]/T_PROD[[#This Row],[EFETIVO]]),""),"")</f>
        <v>10</v>
      </c>
    </row>
    <row r="1468" spans="1:11" x14ac:dyDescent="0.3">
      <c r="A1468" s="11">
        <v>46262</v>
      </c>
      <c r="B1468" s="12" t="str">
        <f t="shared" si="161"/>
        <v>AGOSTO</v>
      </c>
      <c r="C1468" s="12" t="s">
        <v>14</v>
      </c>
      <c r="D1468" s="12" t="s">
        <v>12</v>
      </c>
      <c r="E1468" s="13">
        <v>626</v>
      </c>
      <c r="F1468" s="13">
        <v>620</v>
      </c>
      <c r="G1468" s="12">
        <v>78</v>
      </c>
      <c r="H1468" s="14">
        <v>76</v>
      </c>
      <c r="I1468" s="12">
        <f>IFERROR(IF(T_PROD[[#This Row],[PREVISTO]]-T_PROD[[#This Row],[EFETIVO]]&lt; 0,0,T_PROD[[#This Row],[PREVISTO]]-T_PROD[[#This Row],[EFETIVO]] ),"")</f>
        <v>2</v>
      </c>
      <c r="J1468" s="15">
        <f>IFERROR(IF(T_PROD[[#This Row],[META]]&gt;0,(T_PROD[[#This Row],[META]]/T_PROD[[#This Row],[PREVISTO]]),""),"")</f>
        <v>8.0256410256410255</v>
      </c>
      <c r="K1468" s="15">
        <f>IFERROR(IF(T_PROD[[#This Row],[PRODUÇÃO]]&gt;0,(T_PROD[[#This Row],[PRODUÇÃO]]/T_PROD[[#This Row],[EFETIVO]]),""),"")</f>
        <v>8.1578947368421044</v>
      </c>
    </row>
    <row r="1469" spans="1:11" x14ac:dyDescent="0.3">
      <c r="A1469" s="11">
        <v>46265</v>
      </c>
      <c r="B1469" s="12" t="str">
        <f>UPPER(TEXT(A1469,"MMMM"))</f>
        <v>AGOSTO</v>
      </c>
      <c r="C1469" s="12" t="s">
        <v>15</v>
      </c>
      <c r="D1469" s="12" t="s">
        <v>12</v>
      </c>
      <c r="E1469" s="13"/>
      <c r="F1469" s="13"/>
      <c r="G1469" s="12"/>
      <c r="H1469" s="14"/>
      <c r="I1469" s="12">
        <f>IFERROR(IF(T_PROD[[#This Row],[PREVISTO]]-T_PROD[[#This Row],[EFETIVO]]&lt; 0,0,T_PROD[[#This Row],[PREVISTO]]-T_PROD[[#This Row],[EFETIVO]] ),"")</f>
        <v>0</v>
      </c>
      <c r="J1469" s="15" t="str">
        <f>IFERROR(IF(T_PROD[[#This Row],[META]]&gt;0,(T_PROD[[#This Row],[META]]/T_PROD[[#This Row],[PREVISTO]]),""),"")</f>
        <v/>
      </c>
      <c r="K1469" s="15" t="str">
        <f>IFERROR(IF(T_PROD[[#This Row],[PRODUÇÃO]]&gt;0,(T_PROD[[#This Row],[PRODUÇÃO]]/T_PROD[[#This Row],[EFETIVO]]),""),"")</f>
        <v/>
      </c>
    </row>
    <row r="1470" spans="1:11" x14ac:dyDescent="0.3">
      <c r="A1470" s="11">
        <v>46265</v>
      </c>
      <c r="B1470" s="12" t="str">
        <f t="shared" ref="B1470:B1477" si="162">UPPER(TEXT(A1470,"MMMM"))</f>
        <v>AGOSTO</v>
      </c>
      <c r="C1470" s="12" t="s">
        <v>16</v>
      </c>
      <c r="D1470" s="12" t="s">
        <v>12</v>
      </c>
      <c r="E1470" s="13"/>
      <c r="F1470" s="13"/>
      <c r="G1470" s="12"/>
      <c r="H1470" s="14"/>
      <c r="I1470" s="12">
        <f>IFERROR(IF(T_PROD[[#This Row],[PREVISTO]]-T_PROD[[#This Row],[EFETIVO]]&lt; 0,0,T_PROD[[#This Row],[PREVISTO]]-T_PROD[[#This Row],[EFETIVO]] ),"")</f>
        <v>0</v>
      </c>
      <c r="J1470" s="15" t="str">
        <f>IFERROR(IF(T_PROD[[#This Row],[META]]&gt;0,(T_PROD[[#This Row],[META]]/T_PROD[[#This Row],[PREVISTO]]),""),"")</f>
        <v/>
      </c>
      <c r="K1470" s="15" t="str">
        <f>IFERROR(IF(T_PROD[[#This Row],[PRODUÇÃO]]&gt;0,(T_PROD[[#This Row],[PRODUÇÃO]]/T_PROD[[#This Row],[EFETIVO]]),""),"")</f>
        <v/>
      </c>
    </row>
    <row r="1471" spans="1:11" x14ac:dyDescent="0.3">
      <c r="A1471" s="11">
        <v>46265</v>
      </c>
      <c r="B1471" s="12" t="str">
        <f t="shared" si="162"/>
        <v>AGOSTO</v>
      </c>
      <c r="C1471" s="12" t="s">
        <v>17</v>
      </c>
      <c r="D1471" s="12" t="s">
        <v>12</v>
      </c>
      <c r="E1471" s="13"/>
      <c r="F1471" s="13"/>
      <c r="G1471" s="12"/>
      <c r="H1471" s="14"/>
      <c r="I1471" s="12">
        <f>IFERROR(IF(T_PROD[[#This Row],[PREVISTO]]-T_PROD[[#This Row],[EFETIVO]]&lt; 0,0,T_PROD[[#This Row],[PREVISTO]]-T_PROD[[#This Row],[EFETIVO]] ),"")</f>
        <v>0</v>
      </c>
      <c r="J1471" s="15" t="str">
        <f>IFERROR(IF(T_PROD[[#This Row],[META]]&gt;0,(T_PROD[[#This Row],[META]]/T_PROD[[#This Row],[PREVISTO]]),""),"")</f>
        <v/>
      </c>
      <c r="K1471" s="15" t="str">
        <f>IFERROR(IF(T_PROD[[#This Row],[PRODUÇÃO]]&gt;0,(T_PROD[[#This Row],[PRODUÇÃO]]/T_PROD[[#This Row],[EFETIVO]]),""),"")</f>
        <v/>
      </c>
    </row>
    <row r="1472" spans="1:11" x14ac:dyDescent="0.3">
      <c r="A1472" s="11">
        <v>46265</v>
      </c>
      <c r="B1472" s="12" t="str">
        <f t="shared" si="162"/>
        <v>AGOSTO</v>
      </c>
      <c r="C1472" s="12" t="s">
        <v>18</v>
      </c>
      <c r="D1472" s="12" t="s">
        <v>12</v>
      </c>
      <c r="E1472" s="13"/>
      <c r="F1472" s="13"/>
      <c r="G1472" s="12"/>
      <c r="H1472" s="14"/>
      <c r="I1472" s="12">
        <f>IFERROR(IF(T_PROD[[#This Row],[PREVISTO]]-T_PROD[[#This Row],[EFETIVO]]&lt; 0,0,T_PROD[[#This Row],[PREVISTO]]-T_PROD[[#This Row],[EFETIVO]] ),"")</f>
        <v>0</v>
      </c>
      <c r="J1472" s="15" t="str">
        <f>IFERROR(IF(T_PROD[[#This Row],[META]]&gt;0,(T_PROD[[#This Row],[META]]/T_PROD[[#This Row],[PREVISTO]]),""),"")</f>
        <v/>
      </c>
      <c r="K1472" s="15" t="str">
        <f>IFERROR(IF(T_PROD[[#This Row],[PRODUÇÃO]]&gt;0,(T_PROD[[#This Row],[PRODUÇÃO]]/T_PROD[[#This Row],[EFETIVO]]),""),"")</f>
        <v/>
      </c>
    </row>
    <row r="1473" spans="1:11" x14ac:dyDescent="0.3">
      <c r="A1473" s="11">
        <v>46265</v>
      </c>
      <c r="B1473" s="12" t="str">
        <f t="shared" si="162"/>
        <v>AGOSTO</v>
      </c>
      <c r="C1473" s="12" t="s">
        <v>19</v>
      </c>
      <c r="D1473" s="12" t="s">
        <v>12</v>
      </c>
      <c r="E1473" s="13"/>
      <c r="F1473" s="13"/>
      <c r="G1473" s="12"/>
      <c r="H1473" s="14"/>
      <c r="I1473" s="12">
        <f>IFERROR(IF(T_PROD[[#This Row],[PREVISTO]]-T_PROD[[#This Row],[EFETIVO]]&lt; 0,0,T_PROD[[#This Row],[PREVISTO]]-T_PROD[[#This Row],[EFETIVO]] ),"")</f>
        <v>0</v>
      </c>
      <c r="J1473" s="15" t="str">
        <f>IFERROR(IF(T_PROD[[#This Row],[META]]&gt;0,(T_PROD[[#This Row],[META]]/T_PROD[[#This Row],[PREVISTO]]),""),"")</f>
        <v/>
      </c>
      <c r="K1473" s="15" t="str">
        <f>IFERROR(IF(T_PROD[[#This Row],[PRODUÇÃO]]&gt;0,(T_PROD[[#This Row],[PRODUÇÃO]]/T_PROD[[#This Row],[EFETIVO]]),""),"")</f>
        <v/>
      </c>
    </row>
    <row r="1474" spans="1:11" x14ac:dyDescent="0.3">
      <c r="A1474" s="11">
        <v>46265</v>
      </c>
      <c r="B1474" s="12" t="str">
        <f t="shared" si="162"/>
        <v>AGOSTO</v>
      </c>
      <c r="C1474" s="12" t="s">
        <v>20</v>
      </c>
      <c r="D1474" s="12" t="s">
        <v>12</v>
      </c>
      <c r="E1474" s="13"/>
      <c r="F1474" s="13"/>
      <c r="G1474" s="12"/>
      <c r="H1474" s="14"/>
      <c r="I1474" s="12">
        <f>IFERROR(IF(T_PROD[[#This Row],[PREVISTO]]-T_PROD[[#This Row],[EFETIVO]]&lt; 0,0,T_PROD[[#This Row],[PREVISTO]]-T_PROD[[#This Row],[EFETIVO]] ),"")</f>
        <v>0</v>
      </c>
      <c r="J1474" s="15" t="str">
        <f>IFERROR(IF(T_PROD[[#This Row],[META]]&gt;0,(T_PROD[[#This Row],[META]]/T_PROD[[#This Row],[PREVISTO]]),""),"")</f>
        <v/>
      </c>
      <c r="K1474" s="15" t="str">
        <f>IFERROR(IF(T_PROD[[#This Row],[PRODUÇÃO]]&gt;0,(T_PROD[[#This Row],[PRODUÇÃO]]/T_PROD[[#This Row],[EFETIVO]]),""),"")</f>
        <v/>
      </c>
    </row>
    <row r="1475" spans="1:11" x14ac:dyDescent="0.3">
      <c r="A1475" s="11">
        <v>46265</v>
      </c>
      <c r="B1475" s="12" t="str">
        <f t="shared" si="162"/>
        <v>AGOSTO</v>
      </c>
      <c r="C1475" s="12" t="s">
        <v>11</v>
      </c>
      <c r="D1475" s="12" t="s">
        <v>12</v>
      </c>
      <c r="E1475" s="13">
        <v>840</v>
      </c>
      <c r="F1475" s="13">
        <v>830</v>
      </c>
      <c r="G1475" s="12">
        <v>42</v>
      </c>
      <c r="H1475" s="14">
        <v>42</v>
      </c>
      <c r="I1475" s="12">
        <f>IFERROR(IF(T_PROD[[#This Row],[PREVISTO]]-T_PROD[[#This Row],[EFETIVO]]&lt; 0,0,T_PROD[[#This Row],[PREVISTO]]-T_PROD[[#This Row],[EFETIVO]] ),"")</f>
        <v>0</v>
      </c>
      <c r="J1475" s="15">
        <f>IFERROR(IF(T_PROD[[#This Row],[META]]&gt;0,(T_PROD[[#This Row],[META]]/T_PROD[[#This Row],[PREVISTO]]),""),"")</f>
        <v>20</v>
      </c>
      <c r="K1475" s="15">
        <f>IFERROR(IF(T_PROD[[#This Row],[PRODUÇÃO]]&gt;0,(T_PROD[[#This Row],[PRODUÇÃO]]/T_PROD[[#This Row],[EFETIVO]]),""),"")</f>
        <v>19.761904761904763</v>
      </c>
    </row>
    <row r="1476" spans="1:11" x14ac:dyDescent="0.3">
      <c r="A1476" s="11">
        <v>46265</v>
      </c>
      <c r="B1476" s="12" t="str">
        <f t="shared" si="162"/>
        <v>AGOSTO</v>
      </c>
      <c r="C1476" s="12" t="s">
        <v>32</v>
      </c>
      <c r="D1476" s="12" t="s">
        <v>12</v>
      </c>
      <c r="E1476" s="13">
        <v>66</v>
      </c>
      <c r="F1476" s="13">
        <v>71</v>
      </c>
      <c r="G1476" s="12">
        <v>6</v>
      </c>
      <c r="H1476" s="14">
        <v>6</v>
      </c>
      <c r="I1476" s="12">
        <f>IFERROR(IF(T_PROD[[#This Row],[PREVISTO]]-T_PROD[[#This Row],[EFETIVO]]&lt; 0,0,T_PROD[[#This Row],[PREVISTO]]-T_PROD[[#This Row],[EFETIVO]] ),"")</f>
        <v>0</v>
      </c>
      <c r="J1476" s="15">
        <f>IFERROR(IF(T_PROD[[#This Row],[META]]&gt;0,(T_PROD[[#This Row],[META]]/T_PROD[[#This Row],[PREVISTO]]),""),"")</f>
        <v>11</v>
      </c>
      <c r="K1476" s="15">
        <f>IFERROR(IF(T_PROD[[#This Row],[PRODUÇÃO]]&gt;0,(T_PROD[[#This Row],[PRODUÇÃO]]/T_PROD[[#This Row],[EFETIVO]]),""),"")</f>
        <v>11.833333333333334</v>
      </c>
    </row>
    <row r="1477" spans="1:11" x14ac:dyDescent="0.3">
      <c r="A1477" s="11">
        <v>46265</v>
      </c>
      <c r="B1477" s="12" t="str">
        <f t="shared" si="162"/>
        <v>AGOSTO</v>
      </c>
      <c r="C1477" s="12" t="s">
        <v>14</v>
      </c>
      <c r="D1477" s="12" t="s">
        <v>12</v>
      </c>
      <c r="E1477" s="13">
        <v>906</v>
      </c>
      <c r="F1477" s="13">
        <v>901</v>
      </c>
      <c r="G1477" s="12">
        <v>96</v>
      </c>
      <c r="H1477" s="14">
        <v>96</v>
      </c>
      <c r="I1477" s="12">
        <f>IFERROR(IF(T_PROD[[#This Row],[PREVISTO]]-T_PROD[[#This Row],[EFETIVO]]&lt; 0,0,T_PROD[[#This Row],[PREVISTO]]-T_PROD[[#This Row],[EFETIVO]] ),"")</f>
        <v>0</v>
      </c>
      <c r="J1477" s="15">
        <f>IFERROR(IF(T_PROD[[#This Row],[META]]&gt;0,(T_PROD[[#This Row],[META]]/T_PROD[[#This Row],[PREVISTO]]),""),"")</f>
        <v>9.4375</v>
      </c>
      <c r="K1477" s="15">
        <f>IFERROR(IF(T_PROD[[#This Row],[PRODUÇÃO]]&gt;0,(T_PROD[[#This Row],[PRODUÇÃO]]/T_PROD[[#This Row],[EFETIVO]]),""),"")</f>
        <v>9.3854166666666661</v>
      </c>
    </row>
    <row r="1478" spans="1:11" x14ac:dyDescent="0.3">
      <c r="A1478" s="7">
        <v>46266</v>
      </c>
      <c r="B1478" s="6" t="str">
        <f>UPPER(TEXT(A1478,"MMMM"))</f>
        <v>SETEMBRO</v>
      </c>
      <c r="C1478" s="12" t="s">
        <v>15</v>
      </c>
      <c r="D1478" s="12" t="s">
        <v>12</v>
      </c>
      <c r="E1478" s="8">
        <v>90</v>
      </c>
      <c r="F1478" s="8">
        <v>50</v>
      </c>
      <c r="G1478" s="6">
        <v>6</v>
      </c>
      <c r="H1478" s="9">
        <v>6</v>
      </c>
      <c r="I1478" s="6">
        <f>IFERROR(IF(T_PROD[[#This Row],[PREVISTO]]-T_PROD[[#This Row],[EFETIVO]]&lt; 0,0,T_PROD[[#This Row],[PREVISTO]]-T_PROD[[#This Row],[EFETIVO]] ),"")</f>
        <v>0</v>
      </c>
      <c r="J1478" s="10">
        <f>IFERROR(IF(T_PROD[[#This Row],[META]]&gt;0,(T_PROD[[#This Row],[META]]/T_PROD[[#This Row],[PREVISTO]]),""),"")</f>
        <v>15</v>
      </c>
      <c r="K1478" s="10">
        <f>IFERROR(IF(T_PROD[[#This Row],[PRODUÇÃO]]&gt;0,(T_PROD[[#This Row],[PRODUÇÃO]]/T_PROD[[#This Row],[EFETIVO]]),""),"")</f>
        <v>8.3333333333333339</v>
      </c>
    </row>
    <row r="1479" spans="1:11" x14ac:dyDescent="0.3">
      <c r="A1479" s="7">
        <v>46266</v>
      </c>
      <c r="B1479" s="6" t="str">
        <f t="shared" ref="B1479:B1486" si="163">UPPER(TEXT(A1479,"MMMM"))</f>
        <v>SETEMBRO</v>
      </c>
      <c r="C1479" s="12" t="s">
        <v>16</v>
      </c>
      <c r="D1479" s="12" t="s">
        <v>12</v>
      </c>
      <c r="E1479" s="8">
        <v>255</v>
      </c>
      <c r="F1479" s="8">
        <v>168</v>
      </c>
      <c r="G1479" s="6">
        <v>7.5</v>
      </c>
      <c r="H1479" s="9">
        <v>7.5</v>
      </c>
      <c r="I1479" s="6">
        <f>IFERROR(IF(T_PROD[[#This Row],[PREVISTO]]-T_PROD[[#This Row],[EFETIVO]]&lt; 0,0,T_PROD[[#This Row],[PREVISTO]]-T_PROD[[#This Row],[EFETIVO]] ),"")</f>
        <v>0</v>
      </c>
      <c r="J1479" s="10">
        <f>IFERROR(IF(T_PROD[[#This Row],[META]]&gt;0,(T_PROD[[#This Row],[META]]/T_PROD[[#This Row],[PREVISTO]]),""),"")</f>
        <v>34</v>
      </c>
      <c r="K1479" s="10">
        <f>IFERROR(IF(T_PROD[[#This Row],[PRODUÇÃO]]&gt;0,(T_PROD[[#This Row],[PRODUÇÃO]]/T_PROD[[#This Row],[EFETIVO]]),""),"")</f>
        <v>22.4</v>
      </c>
    </row>
    <row r="1480" spans="1:11" x14ac:dyDescent="0.3">
      <c r="A1480" s="7">
        <v>46266</v>
      </c>
      <c r="B1480" s="6" t="str">
        <f t="shared" si="163"/>
        <v>SETEMBRO</v>
      </c>
      <c r="C1480" s="12" t="s">
        <v>17</v>
      </c>
      <c r="D1480" s="12" t="s">
        <v>12</v>
      </c>
      <c r="E1480" s="8">
        <v>374</v>
      </c>
      <c r="F1480" s="8">
        <v>213</v>
      </c>
      <c r="G1480" s="6">
        <v>17</v>
      </c>
      <c r="H1480" s="9">
        <v>17</v>
      </c>
      <c r="I1480" s="6">
        <f>IFERROR(IF(T_PROD[[#This Row],[PREVISTO]]-T_PROD[[#This Row],[EFETIVO]]&lt; 0,0,T_PROD[[#This Row],[PREVISTO]]-T_PROD[[#This Row],[EFETIVO]] ),"")</f>
        <v>0</v>
      </c>
      <c r="J1480" s="10">
        <f>IFERROR(IF(T_PROD[[#This Row],[META]]&gt;0,(T_PROD[[#This Row],[META]]/T_PROD[[#This Row],[PREVISTO]]),""),"")</f>
        <v>22</v>
      </c>
      <c r="K1480" s="10">
        <f>IFERROR(IF(T_PROD[[#This Row],[PRODUÇÃO]]&gt;0,(T_PROD[[#This Row],[PRODUÇÃO]]/T_PROD[[#This Row],[EFETIVO]]),""),"")</f>
        <v>12.529411764705882</v>
      </c>
    </row>
    <row r="1481" spans="1:11" x14ac:dyDescent="0.3">
      <c r="A1481" s="7">
        <v>46266</v>
      </c>
      <c r="B1481" s="6" t="str">
        <f t="shared" si="163"/>
        <v>SETEMBRO</v>
      </c>
      <c r="C1481" s="12" t="s">
        <v>18</v>
      </c>
      <c r="D1481" s="12" t="s">
        <v>12</v>
      </c>
      <c r="E1481" s="8"/>
      <c r="F1481" s="8"/>
      <c r="G1481" s="6"/>
      <c r="H1481" s="9"/>
      <c r="I1481" s="6">
        <f>IFERROR(IF(T_PROD[[#This Row],[PREVISTO]]-T_PROD[[#This Row],[EFETIVO]]&lt; 0,0,T_PROD[[#This Row],[PREVISTO]]-T_PROD[[#This Row],[EFETIVO]] ),"")</f>
        <v>0</v>
      </c>
      <c r="J1481" s="10" t="str">
        <f>IFERROR(IF(T_PROD[[#This Row],[META]]&gt;0,(T_PROD[[#This Row],[META]]/T_PROD[[#This Row],[PREVISTO]]),""),"")</f>
        <v/>
      </c>
      <c r="K1481" s="10" t="str">
        <f>IFERROR(IF(T_PROD[[#This Row],[PRODUÇÃO]]&gt;0,(T_PROD[[#This Row],[PRODUÇÃO]]/T_PROD[[#This Row],[EFETIVO]]),""),"")</f>
        <v/>
      </c>
    </row>
    <row r="1482" spans="1:11" x14ac:dyDescent="0.3">
      <c r="A1482" s="7">
        <v>46266</v>
      </c>
      <c r="B1482" s="6" t="str">
        <f t="shared" si="163"/>
        <v>SETEMBRO</v>
      </c>
      <c r="C1482" s="12" t="s">
        <v>19</v>
      </c>
      <c r="D1482" s="12" t="s">
        <v>12</v>
      </c>
      <c r="E1482" s="8"/>
      <c r="F1482" s="8"/>
      <c r="G1482" s="6"/>
      <c r="H1482" s="9"/>
      <c r="I1482" s="6">
        <f>IFERROR(IF(T_PROD[[#This Row],[PREVISTO]]-T_PROD[[#This Row],[EFETIVO]]&lt; 0,0,T_PROD[[#This Row],[PREVISTO]]-T_PROD[[#This Row],[EFETIVO]] ),"")</f>
        <v>0</v>
      </c>
      <c r="J1482" s="10" t="str">
        <f>IFERROR(IF(T_PROD[[#This Row],[META]]&gt;0,(T_PROD[[#This Row],[META]]/T_PROD[[#This Row],[PREVISTO]]),""),"")</f>
        <v/>
      </c>
      <c r="K1482" s="10" t="str">
        <f>IFERROR(IF(T_PROD[[#This Row],[PRODUÇÃO]]&gt;0,(T_PROD[[#This Row],[PRODUÇÃO]]/T_PROD[[#This Row],[EFETIVO]]),""),"")</f>
        <v/>
      </c>
    </row>
    <row r="1483" spans="1:11" x14ac:dyDescent="0.3">
      <c r="A1483" s="7">
        <v>46266</v>
      </c>
      <c r="B1483" s="6" t="str">
        <f t="shared" si="163"/>
        <v>SETEMBRO</v>
      </c>
      <c r="C1483" s="12" t="s">
        <v>20</v>
      </c>
      <c r="D1483" s="12" t="s">
        <v>12</v>
      </c>
      <c r="E1483" s="8">
        <v>719</v>
      </c>
      <c r="F1483" s="8">
        <v>431</v>
      </c>
      <c r="G1483" s="6">
        <v>90</v>
      </c>
      <c r="H1483" s="9">
        <v>90</v>
      </c>
      <c r="I1483" s="6">
        <f>IFERROR(IF(T_PROD[[#This Row],[PREVISTO]]-T_PROD[[#This Row],[EFETIVO]]&lt; 0,0,T_PROD[[#This Row],[PREVISTO]]-T_PROD[[#This Row],[EFETIVO]] ),"")</f>
        <v>0</v>
      </c>
      <c r="J1483" s="10">
        <f>IFERROR(IF(T_PROD[[#This Row],[META]]&gt;0,(T_PROD[[#This Row],[META]]/T_PROD[[#This Row],[PREVISTO]]),""),"")</f>
        <v>7.9888888888888889</v>
      </c>
      <c r="K1483" s="10">
        <f>IFERROR(IF(T_PROD[[#This Row],[PRODUÇÃO]]&gt;0,(T_PROD[[#This Row],[PRODUÇÃO]]/T_PROD[[#This Row],[EFETIVO]]),""),"")</f>
        <v>4.7888888888888888</v>
      </c>
    </row>
    <row r="1484" spans="1:11" x14ac:dyDescent="0.3">
      <c r="A1484" s="7">
        <v>46266</v>
      </c>
      <c r="B1484" s="6" t="str">
        <f t="shared" si="163"/>
        <v>SETEMBRO</v>
      </c>
      <c r="C1484" s="12" t="s">
        <v>11</v>
      </c>
      <c r="D1484" s="12" t="s">
        <v>12</v>
      </c>
      <c r="E1484" s="8">
        <v>840</v>
      </c>
      <c r="F1484" s="8">
        <v>850</v>
      </c>
      <c r="G1484" s="6">
        <v>42</v>
      </c>
      <c r="H1484" s="9">
        <v>42</v>
      </c>
      <c r="I1484" s="6">
        <f>IFERROR(IF(T_PROD[[#This Row],[PREVISTO]]-T_PROD[[#This Row],[EFETIVO]]&lt; 0,0,T_PROD[[#This Row],[PREVISTO]]-T_PROD[[#This Row],[EFETIVO]] ),"")</f>
        <v>0</v>
      </c>
      <c r="J1484" s="10">
        <f>IFERROR(IF(T_PROD[[#This Row],[META]]&gt;0,(T_PROD[[#This Row],[META]]/T_PROD[[#This Row],[PREVISTO]]),""),"")</f>
        <v>20</v>
      </c>
      <c r="K1484" s="10">
        <f>IFERROR(IF(T_PROD[[#This Row],[PRODUÇÃO]]&gt;0,(T_PROD[[#This Row],[PRODUÇÃO]]/T_PROD[[#This Row],[EFETIVO]]),""),"")</f>
        <v>20.238095238095237</v>
      </c>
    </row>
    <row r="1485" spans="1:11" x14ac:dyDescent="0.3">
      <c r="A1485" s="7">
        <v>46266</v>
      </c>
      <c r="B1485" s="6" t="str">
        <f t="shared" si="163"/>
        <v>SETEMBRO</v>
      </c>
      <c r="C1485" s="12" t="s">
        <v>32</v>
      </c>
      <c r="D1485" s="12" t="s">
        <v>12</v>
      </c>
      <c r="E1485" s="8">
        <v>66</v>
      </c>
      <c r="F1485" s="8">
        <v>76</v>
      </c>
      <c r="G1485" s="6">
        <v>6</v>
      </c>
      <c r="H1485" s="9">
        <v>6</v>
      </c>
      <c r="I1485" s="6">
        <f>IFERROR(IF(T_PROD[[#This Row],[PREVISTO]]-T_PROD[[#This Row],[EFETIVO]]&lt; 0,0,T_PROD[[#This Row],[PREVISTO]]-T_PROD[[#This Row],[EFETIVO]] ),"")</f>
        <v>0</v>
      </c>
      <c r="J1485" s="10">
        <f>IFERROR(IF(T_PROD[[#This Row],[META]]&gt;0,(T_PROD[[#This Row],[META]]/T_PROD[[#This Row],[PREVISTO]]),""),"")</f>
        <v>11</v>
      </c>
      <c r="K1485" s="10">
        <f>IFERROR(IF(T_PROD[[#This Row],[PRODUÇÃO]]&gt;0,(T_PROD[[#This Row],[PRODUÇÃO]]/T_PROD[[#This Row],[EFETIVO]]),""),"")</f>
        <v>12.666666666666666</v>
      </c>
    </row>
    <row r="1486" spans="1:11" x14ac:dyDescent="0.3">
      <c r="A1486" s="7">
        <v>46266</v>
      </c>
      <c r="B1486" s="6" t="str">
        <f t="shared" si="163"/>
        <v>SETEMBRO</v>
      </c>
      <c r="C1486" s="12" t="s">
        <v>14</v>
      </c>
      <c r="D1486" s="12" t="s">
        <v>12</v>
      </c>
      <c r="E1486" s="8">
        <v>906</v>
      </c>
      <c r="F1486" s="8">
        <v>926</v>
      </c>
      <c r="G1486" s="6">
        <v>98</v>
      </c>
      <c r="H1486" s="9">
        <v>97</v>
      </c>
      <c r="I1486" s="6">
        <f>IFERROR(IF(T_PROD[[#This Row],[PREVISTO]]-T_PROD[[#This Row],[EFETIVO]]&lt; 0,0,T_PROD[[#This Row],[PREVISTO]]-T_PROD[[#This Row],[EFETIVO]] ),"")</f>
        <v>1</v>
      </c>
      <c r="J1486" s="10">
        <f>IFERROR(IF(T_PROD[[#This Row],[META]]&gt;0,(T_PROD[[#This Row],[META]]/T_PROD[[#This Row],[PREVISTO]]),""),"")</f>
        <v>9.2448979591836729</v>
      </c>
      <c r="K1486" s="10">
        <f>IFERROR(IF(T_PROD[[#This Row],[PRODUÇÃO]]&gt;0,(T_PROD[[#This Row],[PRODUÇÃO]]/T_PROD[[#This Row],[EFETIVO]]),""),"")</f>
        <v>9.5463917525773194</v>
      </c>
    </row>
    <row r="1487" spans="1:11" x14ac:dyDescent="0.3">
      <c r="A1487" s="7">
        <v>46267</v>
      </c>
      <c r="B1487" s="6" t="str">
        <f>UPPER(TEXT(A1487,"MMMM"))</f>
        <v>SETEMBRO</v>
      </c>
      <c r="C1487" s="12" t="s">
        <v>15</v>
      </c>
      <c r="D1487" s="12" t="s">
        <v>12</v>
      </c>
      <c r="E1487" s="8">
        <v>105</v>
      </c>
      <c r="F1487" s="8">
        <v>67</v>
      </c>
      <c r="G1487" s="6">
        <v>7</v>
      </c>
      <c r="H1487" s="9">
        <v>7</v>
      </c>
      <c r="I1487" s="6">
        <f>IFERROR(IF(T_PROD[[#This Row],[PREVISTO]]-T_PROD[[#This Row],[EFETIVO]]&lt; 0,0,T_PROD[[#This Row],[PREVISTO]]-T_PROD[[#This Row],[EFETIVO]] ),"")</f>
        <v>0</v>
      </c>
      <c r="J1487" s="10">
        <f>IFERROR(IF(T_PROD[[#This Row],[META]]&gt;0,(T_PROD[[#This Row],[META]]/T_PROD[[#This Row],[PREVISTO]]),""),"")</f>
        <v>15</v>
      </c>
      <c r="K1487" s="10">
        <f>IFERROR(IF(T_PROD[[#This Row],[PRODUÇÃO]]&gt;0,(T_PROD[[#This Row],[PRODUÇÃO]]/T_PROD[[#This Row],[EFETIVO]]),""),"")</f>
        <v>9.5714285714285712</v>
      </c>
    </row>
    <row r="1488" spans="1:11" x14ac:dyDescent="0.3">
      <c r="A1488" s="7">
        <v>46267</v>
      </c>
      <c r="B1488" s="6" t="str">
        <f t="shared" ref="B1488:B1495" si="164">UPPER(TEXT(A1488,"MMMM"))</f>
        <v>SETEMBRO</v>
      </c>
      <c r="C1488" s="12" t="s">
        <v>16</v>
      </c>
      <c r="D1488" s="12" t="s">
        <v>12</v>
      </c>
      <c r="E1488" s="8">
        <v>170</v>
      </c>
      <c r="F1488" s="8">
        <v>120</v>
      </c>
      <c r="G1488" s="6">
        <v>5</v>
      </c>
      <c r="H1488" s="9">
        <v>5</v>
      </c>
      <c r="I1488" s="6">
        <f>IFERROR(IF(T_PROD[[#This Row],[PREVISTO]]-T_PROD[[#This Row],[EFETIVO]]&lt; 0,0,T_PROD[[#This Row],[PREVISTO]]-T_PROD[[#This Row],[EFETIVO]] ),"")</f>
        <v>0</v>
      </c>
      <c r="J1488" s="10">
        <f>IFERROR(IF(T_PROD[[#This Row],[META]]&gt;0,(T_PROD[[#This Row],[META]]/T_PROD[[#This Row],[PREVISTO]]),""),"")</f>
        <v>34</v>
      </c>
      <c r="K1488" s="10">
        <f>IFERROR(IF(T_PROD[[#This Row],[PRODUÇÃO]]&gt;0,(T_PROD[[#This Row],[PRODUÇÃO]]/T_PROD[[#This Row],[EFETIVO]]),""),"")</f>
        <v>24</v>
      </c>
    </row>
    <row r="1489" spans="1:11" x14ac:dyDescent="0.3">
      <c r="A1489" s="7">
        <v>46267</v>
      </c>
      <c r="B1489" s="6" t="str">
        <f t="shared" si="164"/>
        <v>SETEMBRO</v>
      </c>
      <c r="C1489" s="12" t="s">
        <v>17</v>
      </c>
      <c r="D1489" s="12" t="s">
        <v>12</v>
      </c>
      <c r="E1489" s="8">
        <v>352</v>
      </c>
      <c r="F1489" s="8">
        <v>318</v>
      </c>
      <c r="G1489" s="6">
        <v>16</v>
      </c>
      <c r="H1489" s="9">
        <v>16</v>
      </c>
      <c r="I1489" s="6">
        <f>IFERROR(IF(T_PROD[[#This Row],[PREVISTO]]-T_PROD[[#This Row],[EFETIVO]]&lt; 0,0,T_PROD[[#This Row],[PREVISTO]]-T_PROD[[#This Row],[EFETIVO]] ),"")</f>
        <v>0</v>
      </c>
      <c r="J1489" s="10">
        <f>IFERROR(IF(T_PROD[[#This Row],[META]]&gt;0,(T_PROD[[#This Row],[META]]/T_PROD[[#This Row],[PREVISTO]]),""),"")</f>
        <v>22</v>
      </c>
      <c r="K1489" s="10">
        <f>IFERROR(IF(T_PROD[[#This Row],[PRODUÇÃO]]&gt;0,(T_PROD[[#This Row],[PRODUÇÃO]]/T_PROD[[#This Row],[EFETIVO]]),""),"")</f>
        <v>19.875</v>
      </c>
    </row>
    <row r="1490" spans="1:11" x14ac:dyDescent="0.3">
      <c r="A1490" s="7">
        <v>46267</v>
      </c>
      <c r="B1490" s="6" t="str">
        <f t="shared" si="164"/>
        <v>SETEMBRO</v>
      </c>
      <c r="C1490" s="12" t="s">
        <v>18</v>
      </c>
      <c r="D1490" s="12" t="s">
        <v>12</v>
      </c>
      <c r="E1490" s="8"/>
      <c r="F1490" s="8"/>
      <c r="G1490" s="6"/>
      <c r="H1490" s="9"/>
      <c r="I1490" s="6">
        <f>IFERROR(IF(T_PROD[[#This Row],[PREVISTO]]-T_PROD[[#This Row],[EFETIVO]]&lt; 0,0,T_PROD[[#This Row],[PREVISTO]]-T_PROD[[#This Row],[EFETIVO]] ),"")</f>
        <v>0</v>
      </c>
      <c r="J1490" s="10" t="str">
        <f>IFERROR(IF(T_PROD[[#This Row],[META]]&gt;0,(T_PROD[[#This Row],[META]]/T_PROD[[#This Row],[PREVISTO]]),""),"")</f>
        <v/>
      </c>
      <c r="K1490" s="10" t="str">
        <f>IFERROR(IF(T_PROD[[#This Row],[PRODUÇÃO]]&gt;0,(T_PROD[[#This Row],[PRODUÇÃO]]/T_PROD[[#This Row],[EFETIVO]]),""),"")</f>
        <v/>
      </c>
    </row>
    <row r="1491" spans="1:11" x14ac:dyDescent="0.3">
      <c r="A1491" s="7">
        <v>46267</v>
      </c>
      <c r="B1491" s="6" t="str">
        <f t="shared" si="164"/>
        <v>SETEMBRO</v>
      </c>
      <c r="C1491" s="12" t="s">
        <v>19</v>
      </c>
      <c r="D1491" s="12" t="s">
        <v>12</v>
      </c>
      <c r="E1491" s="8"/>
      <c r="F1491" s="8"/>
      <c r="G1491" s="6"/>
      <c r="H1491" s="9"/>
      <c r="I1491" s="6">
        <f>IFERROR(IF(T_PROD[[#This Row],[PREVISTO]]-T_PROD[[#This Row],[EFETIVO]]&lt; 0,0,T_PROD[[#This Row],[PREVISTO]]-T_PROD[[#This Row],[EFETIVO]] ),"")</f>
        <v>0</v>
      </c>
      <c r="J1491" s="10" t="str">
        <f>IFERROR(IF(T_PROD[[#This Row],[META]]&gt;0,(T_PROD[[#This Row],[META]]/T_PROD[[#This Row],[PREVISTO]]),""),"")</f>
        <v/>
      </c>
      <c r="K1491" s="10" t="str">
        <f>IFERROR(IF(T_PROD[[#This Row],[PRODUÇÃO]]&gt;0,(T_PROD[[#This Row],[PRODUÇÃO]]/T_PROD[[#This Row],[EFETIVO]]),""),"")</f>
        <v/>
      </c>
    </row>
    <row r="1492" spans="1:11" x14ac:dyDescent="0.3">
      <c r="A1492" s="7">
        <v>46267</v>
      </c>
      <c r="B1492" s="6" t="str">
        <f t="shared" si="164"/>
        <v>SETEMBRO</v>
      </c>
      <c r="C1492" s="12" t="s">
        <v>20</v>
      </c>
      <c r="D1492" s="12" t="s">
        <v>12</v>
      </c>
      <c r="E1492" s="8">
        <v>627</v>
      </c>
      <c r="F1492" s="8">
        <v>505</v>
      </c>
      <c r="G1492" s="6">
        <v>90</v>
      </c>
      <c r="H1492" s="9">
        <v>90</v>
      </c>
      <c r="I1492" s="6">
        <f>IFERROR(IF(T_PROD[[#This Row],[PREVISTO]]-T_PROD[[#This Row],[EFETIVO]]&lt; 0,0,T_PROD[[#This Row],[PREVISTO]]-T_PROD[[#This Row],[EFETIVO]] ),"")</f>
        <v>0</v>
      </c>
      <c r="J1492" s="10">
        <f>IFERROR(IF(T_PROD[[#This Row],[META]]&gt;0,(T_PROD[[#This Row],[META]]/T_PROD[[#This Row],[PREVISTO]]),""),"")</f>
        <v>6.9666666666666668</v>
      </c>
      <c r="K1492" s="10">
        <f>IFERROR(IF(T_PROD[[#This Row],[PRODUÇÃO]]&gt;0,(T_PROD[[#This Row],[PRODUÇÃO]]/T_PROD[[#This Row],[EFETIVO]]),""),"")</f>
        <v>5.6111111111111107</v>
      </c>
    </row>
    <row r="1493" spans="1:11" x14ac:dyDescent="0.3">
      <c r="A1493" s="7">
        <v>46267</v>
      </c>
      <c r="B1493" s="6" t="str">
        <f t="shared" si="164"/>
        <v>SETEMBRO</v>
      </c>
      <c r="C1493" s="12" t="s">
        <v>11</v>
      </c>
      <c r="D1493" s="12" t="s">
        <v>12</v>
      </c>
      <c r="E1493" s="8">
        <v>800</v>
      </c>
      <c r="F1493" s="8">
        <v>815</v>
      </c>
      <c r="G1493" s="6">
        <v>40</v>
      </c>
      <c r="H1493" s="9">
        <v>40</v>
      </c>
      <c r="I1493" s="6">
        <f>IFERROR(IF(T_PROD[[#This Row],[PREVISTO]]-T_PROD[[#This Row],[EFETIVO]]&lt; 0,0,T_PROD[[#This Row],[PREVISTO]]-T_PROD[[#This Row],[EFETIVO]] ),"")</f>
        <v>0</v>
      </c>
      <c r="J1493" s="10">
        <f>IFERROR(IF(T_PROD[[#This Row],[META]]&gt;0,(T_PROD[[#This Row],[META]]/T_PROD[[#This Row],[PREVISTO]]),""),"")</f>
        <v>20</v>
      </c>
      <c r="K1493" s="10">
        <f>IFERROR(IF(T_PROD[[#This Row],[PRODUÇÃO]]&gt;0,(T_PROD[[#This Row],[PRODUÇÃO]]/T_PROD[[#This Row],[EFETIVO]]),""),"")</f>
        <v>20.375</v>
      </c>
    </row>
    <row r="1494" spans="1:11" x14ac:dyDescent="0.3">
      <c r="A1494" s="7">
        <v>46267</v>
      </c>
      <c r="B1494" s="6" t="str">
        <f t="shared" si="164"/>
        <v>SETEMBRO</v>
      </c>
      <c r="C1494" s="12" t="s">
        <v>32</v>
      </c>
      <c r="D1494" s="12" t="s">
        <v>12</v>
      </c>
      <c r="E1494" s="8">
        <v>66</v>
      </c>
      <c r="F1494" s="8">
        <v>65</v>
      </c>
      <c r="G1494" s="6">
        <v>6</v>
      </c>
      <c r="H1494" s="9">
        <v>6</v>
      </c>
      <c r="I1494" s="6">
        <f>IFERROR(IF(T_PROD[[#This Row],[PREVISTO]]-T_PROD[[#This Row],[EFETIVO]]&lt; 0,0,T_PROD[[#This Row],[PREVISTO]]-T_PROD[[#This Row],[EFETIVO]] ),"")</f>
        <v>0</v>
      </c>
      <c r="J1494" s="10">
        <f>IFERROR(IF(T_PROD[[#This Row],[META]]&gt;0,(T_PROD[[#This Row],[META]]/T_PROD[[#This Row],[PREVISTO]]),""),"")</f>
        <v>11</v>
      </c>
      <c r="K1494" s="10">
        <f>IFERROR(IF(T_PROD[[#This Row],[PRODUÇÃO]]&gt;0,(T_PROD[[#This Row],[PRODUÇÃO]]/T_PROD[[#This Row],[EFETIVO]]),""),"")</f>
        <v>10.833333333333334</v>
      </c>
    </row>
    <row r="1495" spans="1:11" x14ac:dyDescent="0.3">
      <c r="A1495" s="7">
        <v>46267</v>
      </c>
      <c r="B1495" s="6" t="str">
        <f t="shared" si="164"/>
        <v>SETEMBRO</v>
      </c>
      <c r="C1495" s="12" t="s">
        <v>14</v>
      </c>
      <c r="D1495" s="12" t="s">
        <v>12</v>
      </c>
      <c r="E1495" s="8">
        <v>866</v>
      </c>
      <c r="F1495" s="8">
        <v>880</v>
      </c>
      <c r="G1495" s="6">
        <v>95</v>
      </c>
      <c r="H1495" s="9">
        <v>95</v>
      </c>
      <c r="I1495" s="6">
        <f>IFERROR(IF(T_PROD[[#This Row],[PREVISTO]]-T_PROD[[#This Row],[EFETIVO]]&lt; 0,0,T_PROD[[#This Row],[PREVISTO]]-T_PROD[[#This Row],[EFETIVO]] ),"")</f>
        <v>0</v>
      </c>
      <c r="J1495" s="10">
        <f>IFERROR(IF(T_PROD[[#This Row],[META]]&gt;0,(T_PROD[[#This Row],[META]]/T_PROD[[#This Row],[PREVISTO]]),""),"")</f>
        <v>9.1157894736842113</v>
      </c>
      <c r="K1495" s="10">
        <f>IFERROR(IF(T_PROD[[#This Row],[PRODUÇÃO]]&gt;0,(T_PROD[[#This Row],[PRODUÇÃO]]/T_PROD[[#This Row],[EFETIVO]]),""),"")</f>
        <v>9.2631578947368425</v>
      </c>
    </row>
    <row r="1496" spans="1:11" x14ac:dyDescent="0.3">
      <c r="A1496" s="28">
        <v>46268</v>
      </c>
      <c r="B1496" s="29" t="str">
        <f>UPPER(TEXT(A1496,"MMMM"))</f>
        <v>SETEMBRO</v>
      </c>
      <c r="C1496" s="12" t="s">
        <v>15</v>
      </c>
      <c r="D1496" s="12" t="s">
        <v>12</v>
      </c>
      <c r="E1496" s="30"/>
      <c r="F1496" s="30"/>
      <c r="G1496" s="29"/>
      <c r="H1496" s="31"/>
      <c r="I1496" s="29">
        <f>IFERROR(IF(T_PROD[[#This Row],[PREVISTO]]-T_PROD[[#This Row],[EFETIVO]]&lt; 0,0,T_PROD[[#This Row],[PREVISTO]]-T_PROD[[#This Row],[EFETIVO]] ),"")</f>
        <v>0</v>
      </c>
      <c r="J1496" s="32" t="str">
        <f>IFERROR(IF(T_PROD[[#This Row],[META]]&gt;0,(T_PROD[[#This Row],[META]]/T_PROD[[#This Row],[PREVISTO]]),""),"")</f>
        <v/>
      </c>
      <c r="K1496" s="32" t="str">
        <f>IFERROR(IF(T_PROD[[#This Row],[PRODUÇÃO]]&gt;0,(T_PROD[[#This Row],[PRODUÇÃO]]/T_PROD[[#This Row],[EFETIVO]]),""),"")</f>
        <v/>
      </c>
    </row>
    <row r="1497" spans="1:11" x14ac:dyDescent="0.3">
      <c r="A1497" s="28">
        <v>46268</v>
      </c>
      <c r="B1497" s="29" t="str">
        <f t="shared" ref="B1497:B1504" si="165">UPPER(TEXT(A1497,"MMMM"))</f>
        <v>SETEMBRO</v>
      </c>
      <c r="C1497" s="12" t="s">
        <v>16</v>
      </c>
      <c r="D1497" s="12" t="s">
        <v>12</v>
      </c>
      <c r="E1497" s="30"/>
      <c r="F1497" s="30"/>
      <c r="G1497" s="29"/>
      <c r="H1497" s="31"/>
      <c r="I1497" s="29">
        <f>IFERROR(IF(T_PROD[[#This Row],[PREVISTO]]-T_PROD[[#This Row],[EFETIVO]]&lt; 0,0,T_PROD[[#This Row],[PREVISTO]]-T_PROD[[#This Row],[EFETIVO]] ),"")</f>
        <v>0</v>
      </c>
      <c r="J1497" s="32" t="str">
        <f>IFERROR(IF(T_PROD[[#This Row],[META]]&gt;0,(T_PROD[[#This Row],[META]]/T_PROD[[#This Row],[PREVISTO]]),""),"")</f>
        <v/>
      </c>
      <c r="K1497" s="32" t="str">
        <f>IFERROR(IF(T_PROD[[#This Row],[PRODUÇÃO]]&gt;0,(T_PROD[[#This Row],[PRODUÇÃO]]/T_PROD[[#This Row],[EFETIVO]]),""),"")</f>
        <v/>
      </c>
    </row>
    <row r="1498" spans="1:11" x14ac:dyDescent="0.3">
      <c r="A1498" s="28">
        <v>46268</v>
      </c>
      <c r="B1498" s="29" t="str">
        <f t="shared" si="165"/>
        <v>SETEMBRO</v>
      </c>
      <c r="C1498" s="12" t="s">
        <v>17</v>
      </c>
      <c r="D1498" s="12" t="s">
        <v>12</v>
      </c>
      <c r="E1498" s="30"/>
      <c r="F1498" s="30"/>
      <c r="G1498" s="29"/>
      <c r="H1498" s="31"/>
      <c r="I1498" s="29">
        <f>IFERROR(IF(T_PROD[[#This Row],[PREVISTO]]-T_PROD[[#This Row],[EFETIVO]]&lt; 0,0,T_PROD[[#This Row],[PREVISTO]]-T_PROD[[#This Row],[EFETIVO]] ),"")</f>
        <v>0</v>
      </c>
      <c r="J1498" s="32" t="str">
        <f>IFERROR(IF(T_PROD[[#This Row],[META]]&gt;0,(T_PROD[[#This Row],[META]]/T_PROD[[#This Row],[PREVISTO]]),""),"")</f>
        <v/>
      </c>
      <c r="K1498" s="32" t="str">
        <f>IFERROR(IF(T_PROD[[#This Row],[PRODUÇÃO]]&gt;0,(T_PROD[[#This Row],[PRODUÇÃO]]/T_PROD[[#This Row],[EFETIVO]]),""),"")</f>
        <v/>
      </c>
    </row>
    <row r="1499" spans="1:11" x14ac:dyDescent="0.3">
      <c r="A1499" s="28">
        <v>46268</v>
      </c>
      <c r="B1499" s="29" t="str">
        <f t="shared" si="165"/>
        <v>SETEMBRO</v>
      </c>
      <c r="C1499" s="12" t="s">
        <v>18</v>
      </c>
      <c r="D1499" s="12" t="s">
        <v>12</v>
      </c>
      <c r="E1499" s="30"/>
      <c r="F1499" s="30"/>
      <c r="G1499" s="29"/>
      <c r="H1499" s="31"/>
      <c r="I1499" s="29">
        <f>IFERROR(IF(T_PROD[[#This Row],[PREVISTO]]-T_PROD[[#This Row],[EFETIVO]]&lt; 0,0,T_PROD[[#This Row],[PREVISTO]]-T_PROD[[#This Row],[EFETIVO]] ),"")</f>
        <v>0</v>
      </c>
      <c r="J1499" s="32" t="str">
        <f>IFERROR(IF(T_PROD[[#This Row],[META]]&gt;0,(T_PROD[[#This Row],[META]]/T_PROD[[#This Row],[PREVISTO]]),""),"")</f>
        <v/>
      </c>
      <c r="K1499" s="32" t="str">
        <f>IFERROR(IF(T_PROD[[#This Row],[PRODUÇÃO]]&gt;0,(T_PROD[[#This Row],[PRODUÇÃO]]/T_PROD[[#This Row],[EFETIVO]]),""),"")</f>
        <v/>
      </c>
    </row>
    <row r="1500" spans="1:11" x14ac:dyDescent="0.3">
      <c r="A1500" s="28">
        <v>46268</v>
      </c>
      <c r="B1500" s="29" t="str">
        <f t="shared" si="165"/>
        <v>SETEMBRO</v>
      </c>
      <c r="C1500" s="12" t="s">
        <v>19</v>
      </c>
      <c r="D1500" s="12" t="s">
        <v>12</v>
      </c>
      <c r="E1500" s="30"/>
      <c r="F1500" s="30"/>
      <c r="G1500" s="29"/>
      <c r="H1500" s="31"/>
      <c r="I1500" s="29">
        <f>IFERROR(IF(T_PROD[[#This Row],[PREVISTO]]-T_PROD[[#This Row],[EFETIVO]]&lt; 0,0,T_PROD[[#This Row],[PREVISTO]]-T_PROD[[#This Row],[EFETIVO]] ),"")</f>
        <v>0</v>
      </c>
      <c r="J1500" s="32" t="str">
        <f>IFERROR(IF(T_PROD[[#This Row],[META]]&gt;0,(T_PROD[[#This Row],[META]]/T_PROD[[#This Row],[PREVISTO]]),""),"")</f>
        <v/>
      </c>
      <c r="K1500" s="32" t="str">
        <f>IFERROR(IF(T_PROD[[#This Row],[PRODUÇÃO]]&gt;0,(T_PROD[[#This Row],[PRODUÇÃO]]/T_PROD[[#This Row],[EFETIVO]]),""),"")</f>
        <v/>
      </c>
    </row>
    <row r="1501" spans="1:11" x14ac:dyDescent="0.3">
      <c r="A1501" s="28">
        <v>46268</v>
      </c>
      <c r="B1501" s="29" t="str">
        <f t="shared" si="165"/>
        <v>SETEMBRO</v>
      </c>
      <c r="C1501" s="12" t="s">
        <v>20</v>
      </c>
      <c r="D1501" s="12" t="s">
        <v>12</v>
      </c>
      <c r="E1501" s="30"/>
      <c r="F1501" s="30"/>
      <c r="G1501" s="29"/>
      <c r="H1501" s="31"/>
      <c r="I1501" s="29">
        <f>IFERROR(IF(T_PROD[[#This Row],[PREVISTO]]-T_PROD[[#This Row],[EFETIVO]]&lt; 0,0,T_PROD[[#This Row],[PREVISTO]]-T_PROD[[#This Row],[EFETIVO]] ),"")</f>
        <v>0</v>
      </c>
      <c r="J1501" s="32" t="str">
        <f>IFERROR(IF(T_PROD[[#This Row],[META]]&gt;0,(T_PROD[[#This Row],[META]]/T_PROD[[#This Row],[PREVISTO]]),""),"")</f>
        <v/>
      </c>
      <c r="K1501" s="32" t="str">
        <f>IFERROR(IF(T_PROD[[#This Row],[PRODUÇÃO]]&gt;0,(T_PROD[[#This Row],[PRODUÇÃO]]/T_PROD[[#This Row],[EFETIVO]]),""),"")</f>
        <v/>
      </c>
    </row>
    <row r="1502" spans="1:11" x14ac:dyDescent="0.3">
      <c r="A1502" s="28">
        <v>46268</v>
      </c>
      <c r="B1502" s="29" t="str">
        <f t="shared" si="165"/>
        <v>SETEMBRO</v>
      </c>
      <c r="C1502" s="12" t="s">
        <v>11</v>
      </c>
      <c r="D1502" s="12" t="s">
        <v>12</v>
      </c>
      <c r="E1502" s="30">
        <v>800</v>
      </c>
      <c r="F1502" s="30">
        <v>760</v>
      </c>
      <c r="G1502" s="29">
        <v>40</v>
      </c>
      <c r="H1502" s="31">
        <v>40</v>
      </c>
      <c r="I1502" s="29">
        <f>IFERROR(IF(T_PROD[[#This Row],[PREVISTO]]-T_PROD[[#This Row],[EFETIVO]]&lt; 0,0,T_PROD[[#This Row],[PREVISTO]]-T_PROD[[#This Row],[EFETIVO]] ),"")</f>
        <v>0</v>
      </c>
      <c r="J1502" s="32">
        <f>IFERROR(IF(T_PROD[[#This Row],[META]]&gt;0,(T_PROD[[#This Row],[META]]/T_PROD[[#This Row],[PREVISTO]]),""),"")</f>
        <v>20</v>
      </c>
      <c r="K1502" s="32">
        <f>IFERROR(IF(T_PROD[[#This Row],[PRODUÇÃO]]&gt;0,(T_PROD[[#This Row],[PRODUÇÃO]]/T_PROD[[#This Row],[EFETIVO]]),""),"")</f>
        <v>19</v>
      </c>
    </row>
    <row r="1503" spans="1:11" x14ac:dyDescent="0.3">
      <c r="A1503" s="28">
        <v>46268</v>
      </c>
      <c r="B1503" s="29" t="str">
        <f t="shared" si="165"/>
        <v>SETEMBRO</v>
      </c>
      <c r="C1503" s="12" t="s">
        <v>32</v>
      </c>
      <c r="D1503" s="12" t="s">
        <v>12</v>
      </c>
      <c r="E1503" s="30">
        <v>66</v>
      </c>
      <c r="F1503" s="30">
        <v>60</v>
      </c>
      <c r="G1503" s="29">
        <v>6</v>
      </c>
      <c r="H1503" s="31">
        <v>6</v>
      </c>
      <c r="I1503" s="29">
        <f>IFERROR(IF(T_PROD[[#This Row],[PREVISTO]]-T_PROD[[#This Row],[EFETIVO]]&lt; 0,0,T_PROD[[#This Row],[PREVISTO]]-T_PROD[[#This Row],[EFETIVO]] ),"")</f>
        <v>0</v>
      </c>
      <c r="J1503" s="32">
        <f>IFERROR(IF(T_PROD[[#This Row],[META]]&gt;0,(T_PROD[[#This Row],[META]]/T_PROD[[#This Row],[PREVISTO]]),""),"")</f>
        <v>11</v>
      </c>
      <c r="K1503" s="32">
        <f>IFERROR(IF(T_PROD[[#This Row],[PRODUÇÃO]]&gt;0,(T_PROD[[#This Row],[PRODUÇÃO]]/T_PROD[[#This Row],[EFETIVO]]),""),"")</f>
        <v>10</v>
      </c>
    </row>
    <row r="1504" spans="1:11" x14ac:dyDescent="0.3">
      <c r="A1504" s="28">
        <v>46268</v>
      </c>
      <c r="B1504" s="29" t="str">
        <f t="shared" si="165"/>
        <v>SETEMBRO</v>
      </c>
      <c r="C1504" s="12" t="s">
        <v>14</v>
      </c>
      <c r="D1504" s="12" t="s">
        <v>12</v>
      </c>
      <c r="E1504" s="30">
        <v>866</v>
      </c>
      <c r="F1504" s="30">
        <v>720</v>
      </c>
      <c r="G1504" s="29">
        <v>95</v>
      </c>
      <c r="H1504" s="31">
        <v>93</v>
      </c>
      <c r="I1504" s="29">
        <f>IFERROR(IF(T_PROD[[#This Row],[PREVISTO]]-T_PROD[[#This Row],[EFETIVO]]&lt; 0,0,T_PROD[[#This Row],[PREVISTO]]-T_PROD[[#This Row],[EFETIVO]] ),"")</f>
        <v>2</v>
      </c>
      <c r="J1504" s="32">
        <f>IFERROR(IF(T_PROD[[#This Row],[META]]&gt;0,(T_PROD[[#This Row],[META]]/T_PROD[[#This Row],[PREVISTO]]),""),"")</f>
        <v>9.1157894736842113</v>
      </c>
      <c r="K1504" s="32">
        <f>IFERROR(IF(T_PROD[[#This Row],[PRODUÇÃO]]&gt;0,(T_PROD[[#This Row],[PRODUÇÃO]]/T_PROD[[#This Row],[EFETIVO]]),""),"")</f>
        <v>7.741935483870968</v>
      </c>
    </row>
    <row r="1505" spans="1:11" x14ac:dyDescent="0.3">
      <c r="A1505" s="28">
        <v>46269</v>
      </c>
      <c r="B1505" s="29" t="str">
        <f>UPPER(TEXT(A1505,"MMMM"))</f>
        <v>SETEMBRO</v>
      </c>
      <c r="C1505" s="12" t="s">
        <v>15</v>
      </c>
      <c r="D1505" s="12" t="s">
        <v>12</v>
      </c>
      <c r="E1505" s="30">
        <v>105</v>
      </c>
      <c r="F1505" s="30">
        <v>53</v>
      </c>
      <c r="G1505" s="29">
        <v>7</v>
      </c>
      <c r="H1505" s="31">
        <v>7</v>
      </c>
      <c r="I1505" s="29">
        <f>IFERROR(IF(T_PROD[[#This Row],[PREVISTO]]-T_PROD[[#This Row],[EFETIVO]]&lt; 0,0,T_PROD[[#This Row],[PREVISTO]]-T_PROD[[#This Row],[EFETIVO]] ),"")</f>
        <v>0</v>
      </c>
      <c r="J1505" s="32">
        <f>IFERROR(IF(T_PROD[[#This Row],[META]]&gt;0,(T_PROD[[#This Row],[META]]/T_PROD[[#This Row],[PREVISTO]]),""),"")</f>
        <v>15</v>
      </c>
      <c r="K1505" s="32">
        <f>IFERROR(IF(T_PROD[[#This Row],[PRODUÇÃO]]&gt;0,(T_PROD[[#This Row],[PRODUÇÃO]]/T_PROD[[#This Row],[EFETIVO]]),""),"")</f>
        <v>7.5714285714285712</v>
      </c>
    </row>
    <row r="1506" spans="1:11" x14ac:dyDescent="0.3">
      <c r="A1506" s="28">
        <v>46269</v>
      </c>
      <c r="B1506" s="29" t="str">
        <f t="shared" ref="B1506:B1513" si="166">UPPER(TEXT(A1506,"MMMM"))</f>
        <v>SETEMBRO</v>
      </c>
      <c r="C1506" s="12" t="s">
        <v>16</v>
      </c>
      <c r="D1506" s="12" t="s">
        <v>12</v>
      </c>
      <c r="E1506" s="30">
        <v>170</v>
      </c>
      <c r="F1506" s="30">
        <v>103</v>
      </c>
      <c r="G1506" s="29">
        <v>5</v>
      </c>
      <c r="H1506" s="31">
        <v>5</v>
      </c>
      <c r="I1506" s="29">
        <f>IFERROR(IF(T_PROD[[#This Row],[PREVISTO]]-T_PROD[[#This Row],[EFETIVO]]&lt; 0,0,T_PROD[[#This Row],[PREVISTO]]-T_PROD[[#This Row],[EFETIVO]] ),"")</f>
        <v>0</v>
      </c>
      <c r="J1506" s="32">
        <f>IFERROR(IF(T_PROD[[#This Row],[META]]&gt;0,(T_PROD[[#This Row],[META]]/T_PROD[[#This Row],[PREVISTO]]),""),"")</f>
        <v>34</v>
      </c>
      <c r="K1506" s="32">
        <f>IFERROR(IF(T_PROD[[#This Row],[PRODUÇÃO]]&gt;0,(T_PROD[[#This Row],[PRODUÇÃO]]/T_PROD[[#This Row],[EFETIVO]]),""),"")</f>
        <v>20.6</v>
      </c>
    </row>
    <row r="1507" spans="1:11" x14ac:dyDescent="0.3">
      <c r="A1507" s="28">
        <v>46269</v>
      </c>
      <c r="B1507" s="29" t="str">
        <f t="shared" si="166"/>
        <v>SETEMBRO</v>
      </c>
      <c r="C1507" s="12" t="s">
        <v>17</v>
      </c>
      <c r="D1507" s="12" t="s">
        <v>12</v>
      </c>
      <c r="E1507" s="30">
        <v>352</v>
      </c>
      <c r="F1507" s="30">
        <v>266</v>
      </c>
      <c r="G1507" s="29">
        <v>16</v>
      </c>
      <c r="H1507" s="31">
        <v>16</v>
      </c>
      <c r="I1507" s="29">
        <f>IFERROR(IF(T_PROD[[#This Row],[PREVISTO]]-T_PROD[[#This Row],[EFETIVO]]&lt; 0,0,T_PROD[[#This Row],[PREVISTO]]-T_PROD[[#This Row],[EFETIVO]] ),"")</f>
        <v>0</v>
      </c>
      <c r="J1507" s="32">
        <f>IFERROR(IF(T_PROD[[#This Row],[META]]&gt;0,(T_PROD[[#This Row],[META]]/T_PROD[[#This Row],[PREVISTO]]),""),"")</f>
        <v>22</v>
      </c>
      <c r="K1507" s="32">
        <f>IFERROR(IF(T_PROD[[#This Row],[PRODUÇÃO]]&gt;0,(T_PROD[[#This Row],[PRODUÇÃO]]/T_PROD[[#This Row],[EFETIVO]]),""),"")</f>
        <v>16.625</v>
      </c>
    </row>
    <row r="1508" spans="1:11" x14ac:dyDescent="0.3">
      <c r="A1508" s="28">
        <v>46269</v>
      </c>
      <c r="B1508" s="29" t="str">
        <f t="shared" si="166"/>
        <v>SETEMBRO</v>
      </c>
      <c r="C1508" s="12" t="s">
        <v>18</v>
      </c>
      <c r="D1508" s="12" t="s">
        <v>12</v>
      </c>
      <c r="E1508" s="30"/>
      <c r="F1508" s="30"/>
      <c r="G1508" s="29"/>
      <c r="H1508" s="31"/>
      <c r="I1508" s="29">
        <f>IFERROR(IF(T_PROD[[#This Row],[PREVISTO]]-T_PROD[[#This Row],[EFETIVO]]&lt; 0,0,T_PROD[[#This Row],[PREVISTO]]-T_PROD[[#This Row],[EFETIVO]] ),"")</f>
        <v>0</v>
      </c>
      <c r="J1508" s="32" t="str">
        <f>IFERROR(IF(T_PROD[[#This Row],[META]]&gt;0,(T_PROD[[#This Row],[META]]/T_PROD[[#This Row],[PREVISTO]]),""),"")</f>
        <v/>
      </c>
      <c r="K1508" s="32" t="str">
        <f>IFERROR(IF(T_PROD[[#This Row],[PRODUÇÃO]]&gt;0,(T_PROD[[#This Row],[PRODUÇÃO]]/T_PROD[[#This Row],[EFETIVO]]),""),"")</f>
        <v/>
      </c>
    </row>
    <row r="1509" spans="1:11" x14ac:dyDescent="0.3">
      <c r="A1509" s="28">
        <v>46269</v>
      </c>
      <c r="B1509" s="29" t="str">
        <f t="shared" si="166"/>
        <v>SETEMBRO</v>
      </c>
      <c r="C1509" s="12" t="s">
        <v>19</v>
      </c>
      <c r="D1509" s="12" t="s">
        <v>12</v>
      </c>
      <c r="E1509" s="30"/>
      <c r="F1509" s="30"/>
      <c r="G1509" s="29"/>
      <c r="H1509" s="31"/>
      <c r="I1509" s="29">
        <f>IFERROR(IF(T_PROD[[#This Row],[PREVISTO]]-T_PROD[[#This Row],[EFETIVO]]&lt; 0,0,T_PROD[[#This Row],[PREVISTO]]-T_PROD[[#This Row],[EFETIVO]] ),"")</f>
        <v>0</v>
      </c>
      <c r="J1509" s="32" t="str">
        <f>IFERROR(IF(T_PROD[[#This Row],[META]]&gt;0,(T_PROD[[#This Row],[META]]/T_PROD[[#This Row],[PREVISTO]]),""),"")</f>
        <v/>
      </c>
      <c r="K1509" s="32" t="str">
        <f>IFERROR(IF(T_PROD[[#This Row],[PRODUÇÃO]]&gt;0,(T_PROD[[#This Row],[PRODUÇÃO]]/T_PROD[[#This Row],[EFETIVO]]),""),"")</f>
        <v/>
      </c>
    </row>
    <row r="1510" spans="1:11" x14ac:dyDescent="0.3">
      <c r="A1510" s="28">
        <v>46269</v>
      </c>
      <c r="B1510" s="29" t="str">
        <f t="shared" si="166"/>
        <v>SETEMBRO</v>
      </c>
      <c r="C1510" s="12" t="s">
        <v>20</v>
      </c>
      <c r="D1510" s="12" t="s">
        <v>12</v>
      </c>
      <c r="E1510" s="30">
        <v>627</v>
      </c>
      <c r="F1510" s="30">
        <v>422</v>
      </c>
      <c r="G1510" s="29">
        <v>100</v>
      </c>
      <c r="H1510" s="31">
        <v>100</v>
      </c>
      <c r="I1510" s="29">
        <f>IFERROR(IF(T_PROD[[#This Row],[PREVISTO]]-T_PROD[[#This Row],[EFETIVO]]&lt; 0,0,T_PROD[[#This Row],[PREVISTO]]-T_PROD[[#This Row],[EFETIVO]] ),"")</f>
        <v>0</v>
      </c>
      <c r="J1510" s="32">
        <f>IFERROR(IF(T_PROD[[#This Row],[META]]&gt;0,(T_PROD[[#This Row],[META]]/T_PROD[[#This Row],[PREVISTO]]),""),"")</f>
        <v>6.27</v>
      </c>
      <c r="K1510" s="32">
        <f>IFERROR(IF(T_PROD[[#This Row],[PRODUÇÃO]]&gt;0,(T_PROD[[#This Row],[PRODUÇÃO]]/T_PROD[[#This Row],[EFETIVO]]),""),"")</f>
        <v>4.22</v>
      </c>
    </row>
    <row r="1511" spans="1:11" x14ac:dyDescent="0.3">
      <c r="A1511" s="28">
        <v>46269</v>
      </c>
      <c r="B1511" s="29" t="str">
        <f t="shared" si="166"/>
        <v>SETEMBRO</v>
      </c>
      <c r="C1511" s="12" t="s">
        <v>11</v>
      </c>
      <c r="D1511" s="12" t="s">
        <v>12</v>
      </c>
      <c r="E1511" s="30">
        <v>640</v>
      </c>
      <c r="F1511" s="30">
        <v>650</v>
      </c>
      <c r="G1511" s="29">
        <v>32</v>
      </c>
      <c r="H1511" s="31">
        <v>32</v>
      </c>
      <c r="I1511" s="29">
        <f>IFERROR(IF(T_PROD[[#This Row],[PREVISTO]]-T_PROD[[#This Row],[EFETIVO]]&lt; 0,0,T_PROD[[#This Row],[PREVISTO]]-T_PROD[[#This Row],[EFETIVO]] ),"")</f>
        <v>0</v>
      </c>
      <c r="J1511" s="32">
        <f>IFERROR(IF(T_PROD[[#This Row],[META]]&gt;0,(T_PROD[[#This Row],[META]]/T_PROD[[#This Row],[PREVISTO]]),""),"")</f>
        <v>20</v>
      </c>
      <c r="K1511" s="32">
        <f>IFERROR(IF(T_PROD[[#This Row],[PRODUÇÃO]]&gt;0,(T_PROD[[#This Row],[PRODUÇÃO]]/T_PROD[[#This Row],[EFETIVO]]),""),"")</f>
        <v>20.3125</v>
      </c>
    </row>
    <row r="1512" spans="1:11" x14ac:dyDescent="0.3">
      <c r="A1512" s="28">
        <v>46269</v>
      </c>
      <c r="B1512" s="29" t="str">
        <f t="shared" si="166"/>
        <v>SETEMBRO</v>
      </c>
      <c r="C1512" s="12" t="s">
        <v>32</v>
      </c>
      <c r="D1512" s="12" t="s">
        <v>12</v>
      </c>
      <c r="E1512" s="30">
        <v>44</v>
      </c>
      <c r="F1512" s="30">
        <v>45</v>
      </c>
      <c r="G1512" s="29">
        <v>4</v>
      </c>
      <c r="H1512" s="31">
        <v>4</v>
      </c>
      <c r="I1512" s="29">
        <f>IFERROR(IF(T_PROD[[#This Row],[PREVISTO]]-T_PROD[[#This Row],[EFETIVO]]&lt; 0,0,T_PROD[[#This Row],[PREVISTO]]-T_PROD[[#This Row],[EFETIVO]] ),"")</f>
        <v>0</v>
      </c>
      <c r="J1512" s="32">
        <f>IFERROR(IF(T_PROD[[#This Row],[META]]&gt;0,(T_PROD[[#This Row],[META]]/T_PROD[[#This Row],[PREVISTO]]),""),"")</f>
        <v>11</v>
      </c>
      <c r="K1512" s="32">
        <f>IFERROR(IF(T_PROD[[#This Row],[PRODUÇÃO]]&gt;0,(T_PROD[[#This Row],[PRODUÇÃO]]/T_PROD[[#This Row],[EFETIVO]]),""),"")</f>
        <v>11.25</v>
      </c>
    </row>
    <row r="1513" spans="1:11" x14ac:dyDescent="0.3">
      <c r="A1513" s="28">
        <v>46269</v>
      </c>
      <c r="B1513" s="29" t="str">
        <f t="shared" si="166"/>
        <v>SETEMBRO</v>
      </c>
      <c r="C1513" s="12" t="s">
        <v>14</v>
      </c>
      <c r="D1513" s="12" t="s">
        <v>12</v>
      </c>
      <c r="E1513" s="30">
        <v>684</v>
      </c>
      <c r="F1513" s="30">
        <v>695</v>
      </c>
      <c r="G1513" s="29">
        <v>80</v>
      </c>
      <c r="H1513" s="31">
        <v>79</v>
      </c>
      <c r="I1513" s="29">
        <f>IFERROR(IF(T_PROD[[#This Row],[PREVISTO]]-T_PROD[[#This Row],[EFETIVO]]&lt; 0,0,T_PROD[[#This Row],[PREVISTO]]-T_PROD[[#This Row],[EFETIVO]] ),"")</f>
        <v>1</v>
      </c>
      <c r="J1513" s="32">
        <f>IFERROR(IF(T_PROD[[#This Row],[META]]&gt;0,(T_PROD[[#This Row],[META]]/T_PROD[[#This Row],[PREVISTO]]),""),"")</f>
        <v>8.5500000000000007</v>
      </c>
      <c r="K1513" s="32">
        <f>IFERROR(IF(T_PROD[[#This Row],[PRODUÇÃO]]&gt;0,(T_PROD[[#This Row],[PRODUÇÃO]]/T_PROD[[#This Row],[EFETIVO]]),""),"")</f>
        <v>8.7974683544303804</v>
      </c>
    </row>
    <row r="1514" spans="1:11" x14ac:dyDescent="0.3">
      <c r="A1514" s="28">
        <v>46273</v>
      </c>
      <c r="B1514" s="29" t="str">
        <f>UPPER(TEXT(A1514,"MMMM"))</f>
        <v>SETEMBRO</v>
      </c>
      <c r="C1514" s="12" t="s">
        <v>15</v>
      </c>
      <c r="D1514" s="12" t="s">
        <v>12</v>
      </c>
      <c r="E1514" s="30">
        <v>90</v>
      </c>
      <c r="F1514" s="30">
        <v>59</v>
      </c>
      <c r="G1514" s="29">
        <v>6</v>
      </c>
      <c r="H1514" s="31">
        <v>6</v>
      </c>
      <c r="I1514" s="29">
        <f>IFERROR(IF(T_PROD[[#This Row],[PREVISTO]]-T_PROD[[#This Row],[EFETIVO]]&lt; 0,0,T_PROD[[#This Row],[PREVISTO]]-T_PROD[[#This Row],[EFETIVO]] ),"")</f>
        <v>0</v>
      </c>
      <c r="J1514" s="32">
        <f>IFERROR(IF(T_PROD[[#This Row],[META]]&gt;0,(T_PROD[[#This Row],[META]]/T_PROD[[#This Row],[PREVISTO]]),""),"")</f>
        <v>15</v>
      </c>
      <c r="K1514" s="32">
        <f>IFERROR(IF(T_PROD[[#This Row],[PRODUÇÃO]]&gt;0,(T_PROD[[#This Row],[PRODUÇÃO]]/T_PROD[[#This Row],[EFETIVO]]),""),"")</f>
        <v>9.8333333333333339</v>
      </c>
    </row>
    <row r="1515" spans="1:11" x14ac:dyDescent="0.3">
      <c r="A1515" s="28">
        <v>46273</v>
      </c>
      <c r="B1515" s="29" t="str">
        <f t="shared" ref="B1515:B1522" si="167">UPPER(TEXT(A1515,"MMMM"))</f>
        <v>SETEMBRO</v>
      </c>
      <c r="C1515" s="12" t="s">
        <v>16</v>
      </c>
      <c r="D1515" s="12" t="s">
        <v>12</v>
      </c>
      <c r="E1515" s="30">
        <v>272</v>
      </c>
      <c r="F1515" s="30">
        <v>220</v>
      </c>
      <c r="G1515" s="29">
        <v>8</v>
      </c>
      <c r="H1515" s="31">
        <v>8</v>
      </c>
      <c r="I1515" s="29">
        <f>IFERROR(IF(T_PROD[[#This Row],[PREVISTO]]-T_PROD[[#This Row],[EFETIVO]]&lt; 0,0,T_PROD[[#This Row],[PREVISTO]]-T_PROD[[#This Row],[EFETIVO]] ),"")</f>
        <v>0</v>
      </c>
      <c r="J1515" s="32">
        <f>IFERROR(IF(T_PROD[[#This Row],[META]]&gt;0,(T_PROD[[#This Row],[META]]/T_PROD[[#This Row],[PREVISTO]]),""),"")</f>
        <v>34</v>
      </c>
      <c r="K1515" s="32">
        <f>IFERROR(IF(T_PROD[[#This Row],[PRODUÇÃO]]&gt;0,(T_PROD[[#This Row],[PRODUÇÃO]]/T_PROD[[#This Row],[EFETIVO]]),""),"")</f>
        <v>27.5</v>
      </c>
    </row>
    <row r="1516" spans="1:11" x14ac:dyDescent="0.3">
      <c r="A1516" s="28">
        <v>46273</v>
      </c>
      <c r="B1516" s="29" t="str">
        <f t="shared" si="167"/>
        <v>SETEMBRO</v>
      </c>
      <c r="C1516" s="12" t="s">
        <v>17</v>
      </c>
      <c r="D1516" s="12" t="s">
        <v>12</v>
      </c>
      <c r="E1516" s="30">
        <v>352</v>
      </c>
      <c r="F1516" s="30">
        <v>300</v>
      </c>
      <c r="G1516" s="29">
        <v>16</v>
      </c>
      <c r="H1516" s="31">
        <v>16</v>
      </c>
      <c r="I1516" s="29">
        <f>IFERROR(IF(T_PROD[[#This Row],[PREVISTO]]-T_PROD[[#This Row],[EFETIVO]]&lt; 0,0,T_PROD[[#This Row],[PREVISTO]]-T_PROD[[#This Row],[EFETIVO]] ),"")</f>
        <v>0</v>
      </c>
      <c r="J1516" s="32">
        <f>IFERROR(IF(T_PROD[[#This Row],[META]]&gt;0,(T_PROD[[#This Row],[META]]/T_PROD[[#This Row],[PREVISTO]]),""),"")</f>
        <v>22</v>
      </c>
      <c r="K1516" s="32">
        <f>IFERROR(IF(T_PROD[[#This Row],[PRODUÇÃO]]&gt;0,(T_PROD[[#This Row],[PRODUÇÃO]]/T_PROD[[#This Row],[EFETIVO]]),""),"")</f>
        <v>18.75</v>
      </c>
    </row>
    <row r="1517" spans="1:11" x14ac:dyDescent="0.3">
      <c r="A1517" s="28">
        <v>46273</v>
      </c>
      <c r="B1517" s="29" t="str">
        <f t="shared" si="167"/>
        <v>SETEMBRO</v>
      </c>
      <c r="C1517" s="12" t="s">
        <v>18</v>
      </c>
      <c r="D1517" s="12" t="s">
        <v>12</v>
      </c>
      <c r="E1517" s="30"/>
      <c r="F1517" s="30"/>
      <c r="G1517" s="29"/>
      <c r="H1517" s="31"/>
      <c r="I1517" s="29">
        <f>IFERROR(IF(T_PROD[[#This Row],[PREVISTO]]-T_PROD[[#This Row],[EFETIVO]]&lt; 0,0,T_PROD[[#This Row],[PREVISTO]]-T_PROD[[#This Row],[EFETIVO]] ),"")</f>
        <v>0</v>
      </c>
      <c r="J1517" s="32" t="str">
        <f>IFERROR(IF(T_PROD[[#This Row],[META]]&gt;0,(T_PROD[[#This Row],[META]]/T_PROD[[#This Row],[PREVISTO]]),""),"")</f>
        <v/>
      </c>
      <c r="K1517" s="32" t="str">
        <f>IFERROR(IF(T_PROD[[#This Row],[PRODUÇÃO]]&gt;0,(T_PROD[[#This Row],[PRODUÇÃO]]/T_PROD[[#This Row],[EFETIVO]]),""),"")</f>
        <v/>
      </c>
    </row>
    <row r="1518" spans="1:11" x14ac:dyDescent="0.3">
      <c r="A1518" s="28">
        <v>46273</v>
      </c>
      <c r="B1518" s="29" t="str">
        <f t="shared" si="167"/>
        <v>SETEMBRO</v>
      </c>
      <c r="C1518" s="12" t="s">
        <v>19</v>
      </c>
      <c r="D1518" s="12" t="s">
        <v>12</v>
      </c>
      <c r="E1518" s="30"/>
      <c r="F1518" s="30"/>
      <c r="G1518" s="29"/>
      <c r="H1518" s="31"/>
      <c r="I1518" s="29">
        <f>IFERROR(IF(T_PROD[[#This Row],[PREVISTO]]-T_PROD[[#This Row],[EFETIVO]]&lt; 0,0,T_PROD[[#This Row],[PREVISTO]]-T_PROD[[#This Row],[EFETIVO]] ),"")</f>
        <v>0</v>
      </c>
      <c r="J1518" s="32" t="str">
        <f>IFERROR(IF(T_PROD[[#This Row],[META]]&gt;0,(T_PROD[[#This Row],[META]]/T_PROD[[#This Row],[PREVISTO]]),""),"")</f>
        <v/>
      </c>
      <c r="K1518" s="32" t="str">
        <f>IFERROR(IF(T_PROD[[#This Row],[PRODUÇÃO]]&gt;0,(T_PROD[[#This Row],[PRODUÇÃO]]/T_PROD[[#This Row],[EFETIVO]]),""),"")</f>
        <v/>
      </c>
    </row>
    <row r="1519" spans="1:11" x14ac:dyDescent="0.3">
      <c r="A1519" s="28">
        <v>46273</v>
      </c>
      <c r="B1519" s="29" t="str">
        <f t="shared" si="167"/>
        <v>SETEMBRO</v>
      </c>
      <c r="C1519" s="12" t="s">
        <v>20</v>
      </c>
      <c r="D1519" s="12" t="s">
        <v>12</v>
      </c>
      <c r="E1519" s="30">
        <v>714</v>
      </c>
      <c r="F1519" s="30">
        <v>579</v>
      </c>
      <c r="G1519" s="29">
        <v>100</v>
      </c>
      <c r="H1519" s="31">
        <v>100</v>
      </c>
      <c r="I1519" s="29">
        <f>IFERROR(IF(T_PROD[[#This Row],[PREVISTO]]-T_PROD[[#This Row],[EFETIVO]]&lt; 0,0,T_PROD[[#This Row],[PREVISTO]]-T_PROD[[#This Row],[EFETIVO]] ),"")</f>
        <v>0</v>
      </c>
      <c r="J1519" s="32">
        <f>IFERROR(IF(T_PROD[[#This Row],[META]]&gt;0,(T_PROD[[#This Row],[META]]/T_PROD[[#This Row],[PREVISTO]]),""),"")</f>
        <v>7.14</v>
      </c>
      <c r="K1519" s="32">
        <f>IFERROR(IF(T_PROD[[#This Row],[PRODUÇÃO]]&gt;0,(T_PROD[[#This Row],[PRODUÇÃO]]/T_PROD[[#This Row],[EFETIVO]]),""),"")</f>
        <v>5.79</v>
      </c>
    </row>
    <row r="1520" spans="1:11" x14ac:dyDescent="0.3">
      <c r="A1520" s="28">
        <v>46273</v>
      </c>
      <c r="B1520" s="29" t="str">
        <f t="shared" si="167"/>
        <v>SETEMBRO</v>
      </c>
      <c r="C1520" s="12" t="s">
        <v>11</v>
      </c>
      <c r="D1520" s="12" t="s">
        <v>12</v>
      </c>
      <c r="E1520" s="30">
        <v>820</v>
      </c>
      <c r="F1520" s="30">
        <v>800</v>
      </c>
      <c r="G1520" s="29">
        <v>41</v>
      </c>
      <c r="H1520" s="31">
        <v>41</v>
      </c>
      <c r="I1520" s="29">
        <f>IFERROR(IF(T_PROD[[#This Row],[PREVISTO]]-T_PROD[[#This Row],[EFETIVO]]&lt; 0,0,T_PROD[[#This Row],[PREVISTO]]-T_PROD[[#This Row],[EFETIVO]] ),"")</f>
        <v>0</v>
      </c>
      <c r="J1520" s="32">
        <f>IFERROR(IF(T_PROD[[#This Row],[META]]&gt;0,(T_PROD[[#This Row],[META]]/T_PROD[[#This Row],[PREVISTO]]),""),"")</f>
        <v>20</v>
      </c>
      <c r="K1520" s="32">
        <f>IFERROR(IF(T_PROD[[#This Row],[PRODUÇÃO]]&gt;0,(T_PROD[[#This Row],[PRODUÇÃO]]/T_PROD[[#This Row],[EFETIVO]]),""),"")</f>
        <v>19.512195121951219</v>
      </c>
    </row>
    <row r="1521" spans="1:11" x14ac:dyDescent="0.3">
      <c r="A1521" s="28">
        <v>46273</v>
      </c>
      <c r="B1521" s="29" t="str">
        <f t="shared" si="167"/>
        <v>SETEMBRO</v>
      </c>
      <c r="C1521" s="12" t="s">
        <v>32</v>
      </c>
      <c r="D1521" s="12" t="s">
        <v>12</v>
      </c>
      <c r="E1521" s="30"/>
      <c r="F1521" s="30"/>
      <c r="G1521" s="29"/>
      <c r="H1521" s="31"/>
      <c r="I1521" s="29">
        <f>IFERROR(IF(T_PROD[[#This Row],[PREVISTO]]-T_PROD[[#This Row],[EFETIVO]]&lt; 0,0,T_PROD[[#This Row],[PREVISTO]]-T_PROD[[#This Row],[EFETIVO]] ),"")</f>
        <v>0</v>
      </c>
      <c r="J1521" s="32" t="str">
        <f>IFERROR(IF(T_PROD[[#This Row],[META]]&gt;0,(T_PROD[[#This Row],[META]]/T_PROD[[#This Row],[PREVISTO]]),""),"")</f>
        <v/>
      </c>
      <c r="K1521" s="32" t="str">
        <f>IFERROR(IF(T_PROD[[#This Row],[PRODUÇÃO]]&gt;0,(T_PROD[[#This Row],[PRODUÇÃO]]/T_PROD[[#This Row],[EFETIVO]]),""),"")</f>
        <v/>
      </c>
    </row>
    <row r="1522" spans="1:11" x14ac:dyDescent="0.3">
      <c r="A1522" s="28">
        <v>46273</v>
      </c>
      <c r="B1522" s="29" t="str">
        <f t="shared" si="167"/>
        <v>SETEMBRO</v>
      </c>
      <c r="C1522" s="12" t="s">
        <v>14</v>
      </c>
      <c r="D1522" s="12" t="s">
        <v>12</v>
      </c>
      <c r="E1522" s="30">
        <v>820</v>
      </c>
      <c r="F1522" s="30">
        <v>800</v>
      </c>
      <c r="G1522" s="29">
        <v>98</v>
      </c>
      <c r="H1522" s="31">
        <v>97</v>
      </c>
      <c r="I1522" s="29">
        <f>IFERROR(IF(T_PROD[[#This Row],[PREVISTO]]-T_PROD[[#This Row],[EFETIVO]]&lt; 0,0,T_PROD[[#This Row],[PREVISTO]]-T_PROD[[#This Row],[EFETIVO]] ),"")</f>
        <v>1</v>
      </c>
      <c r="J1522" s="32">
        <f>IFERROR(IF(T_PROD[[#This Row],[META]]&gt;0,(T_PROD[[#This Row],[META]]/T_PROD[[#This Row],[PREVISTO]]),""),"")</f>
        <v>8.3673469387755102</v>
      </c>
      <c r="K1522" s="32">
        <f>IFERROR(IF(T_PROD[[#This Row],[PRODUÇÃO]]&gt;0,(T_PROD[[#This Row],[PRODUÇÃO]]/T_PROD[[#This Row],[EFETIVO]]),""),"")</f>
        <v>8.2474226804123703</v>
      </c>
    </row>
    <row r="1523" spans="1:11" x14ac:dyDescent="0.3">
      <c r="A1523" s="28">
        <v>46274</v>
      </c>
      <c r="B1523" s="29" t="str">
        <f>UPPER(TEXT(A1523,"MMMM"))</f>
        <v>SETEMBRO</v>
      </c>
      <c r="C1523" s="12" t="s">
        <v>15</v>
      </c>
      <c r="D1523" s="12" t="s">
        <v>12</v>
      </c>
      <c r="E1523" s="30">
        <v>90</v>
      </c>
      <c r="F1523" s="30">
        <v>50</v>
      </c>
      <c r="G1523" s="29">
        <v>6</v>
      </c>
      <c r="H1523" s="31">
        <v>6</v>
      </c>
      <c r="I1523" s="29">
        <f>IFERROR(IF(T_PROD[[#This Row],[PREVISTO]]-T_PROD[[#This Row],[EFETIVO]]&lt; 0,0,T_PROD[[#This Row],[PREVISTO]]-T_PROD[[#This Row],[EFETIVO]] ),"")</f>
        <v>0</v>
      </c>
      <c r="J1523" s="32">
        <f>IFERROR(IF(T_PROD[[#This Row],[META]]&gt;0,(T_PROD[[#This Row],[META]]/T_PROD[[#This Row],[PREVISTO]]),""),"")</f>
        <v>15</v>
      </c>
      <c r="K1523" s="32">
        <f>IFERROR(IF(T_PROD[[#This Row],[PRODUÇÃO]]&gt;0,(T_PROD[[#This Row],[PRODUÇÃO]]/T_PROD[[#This Row],[EFETIVO]]),""),"")</f>
        <v>8.3333333333333339</v>
      </c>
    </row>
    <row r="1524" spans="1:11" x14ac:dyDescent="0.3">
      <c r="A1524" s="28">
        <v>46274</v>
      </c>
      <c r="B1524" s="29" t="str">
        <f t="shared" ref="B1524:B1531" si="168">UPPER(TEXT(A1524,"MMMM"))</f>
        <v>SETEMBRO</v>
      </c>
      <c r="C1524" s="12" t="s">
        <v>16</v>
      </c>
      <c r="D1524" s="12" t="s">
        <v>12</v>
      </c>
      <c r="E1524" s="30">
        <v>272</v>
      </c>
      <c r="F1524" s="30">
        <v>221</v>
      </c>
      <c r="G1524" s="29">
        <v>8</v>
      </c>
      <c r="H1524" s="31">
        <v>8</v>
      </c>
      <c r="I1524" s="29">
        <f>IFERROR(IF(T_PROD[[#This Row],[PREVISTO]]-T_PROD[[#This Row],[EFETIVO]]&lt; 0,0,T_PROD[[#This Row],[PREVISTO]]-T_PROD[[#This Row],[EFETIVO]] ),"")</f>
        <v>0</v>
      </c>
      <c r="J1524" s="32">
        <f>IFERROR(IF(T_PROD[[#This Row],[META]]&gt;0,(T_PROD[[#This Row],[META]]/T_PROD[[#This Row],[PREVISTO]]),""),"")</f>
        <v>34</v>
      </c>
      <c r="K1524" s="32">
        <f>IFERROR(IF(T_PROD[[#This Row],[PRODUÇÃO]]&gt;0,(T_PROD[[#This Row],[PRODUÇÃO]]/T_PROD[[#This Row],[EFETIVO]]),""),"")</f>
        <v>27.625</v>
      </c>
    </row>
    <row r="1525" spans="1:11" x14ac:dyDescent="0.3">
      <c r="A1525" s="28">
        <v>46274</v>
      </c>
      <c r="B1525" s="29" t="str">
        <f t="shared" si="168"/>
        <v>SETEMBRO</v>
      </c>
      <c r="C1525" s="12" t="s">
        <v>17</v>
      </c>
      <c r="D1525" s="12" t="s">
        <v>12</v>
      </c>
      <c r="E1525" s="30">
        <v>352</v>
      </c>
      <c r="F1525" s="30">
        <v>320</v>
      </c>
      <c r="G1525" s="29">
        <v>16</v>
      </c>
      <c r="H1525" s="31">
        <v>16</v>
      </c>
      <c r="I1525" s="29">
        <f>IFERROR(IF(T_PROD[[#This Row],[PREVISTO]]-T_PROD[[#This Row],[EFETIVO]]&lt; 0,0,T_PROD[[#This Row],[PREVISTO]]-T_PROD[[#This Row],[EFETIVO]] ),"")</f>
        <v>0</v>
      </c>
      <c r="J1525" s="32">
        <f>IFERROR(IF(T_PROD[[#This Row],[META]]&gt;0,(T_PROD[[#This Row],[META]]/T_PROD[[#This Row],[PREVISTO]]),""),"")</f>
        <v>22</v>
      </c>
      <c r="K1525" s="32">
        <f>IFERROR(IF(T_PROD[[#This Row],[PRODUÇÃO]]&gt;0,(T_PROD[[#This Row],[PRODUÇÃO]]/T_PROD[[#This Row],[EFETIVO]]),""),"")</f>
        <v>20</v>
      </c>
    </row>
    <row r="1526" spans="1:11" x14ac:dyDescent="0.3">
      <c r="A1526" s="28">
        <v>46274</v>
      </c>
      <c r="B1526" s="29" t="str">
        <f t="shared" si="168"/>
        <v>SETEMBRO</v>
      </c>
      <c r="C1526" s="12" t="s">
        <v>18</v>
      </c>
      <c r="D1526" s="12" t="s">
        <v>12</v>
      </c>
      <c r="E1526" s="30"/>
      <c r="F1526" s="30"/>
      <c r="G1526" s="29"/>
      <c r="H1526" s="31"/>
      <c r="I1526" s="29">
        <f>IFERROR(IF(T_PROD[[#This Row],[PREVISTO]]-T_PROD[[#This Row],[EFETIVO]]&lt; 0,0,T_PROD[[#This Row],[PREVISTO]]-T_PROD[[#This Row],[EFETIVO]] ),"")</f>
        <v>0</v>
      </c>
      <c r="J1526" s="32" t="str">
        <f>IFERROR(IF(T_PROD[[#This Row],[META]]&gt;0,(T_PROD[[#This Row],[META]]/T_PROD[[#This Row],[PREVISTO]]),""),"")</f>
        <v/>
      </c>
      <c r="K1526" s="32" t="str">
        <f>IFERROR(IF(T_PROD[[#This Row],[PRODUÇÃO]]&gt;0,(T_PROD[[#This Row],[PRODUÇÃO]]/T_PROD[[#This Row],[EFETIVO]]),""),"")</f>
        <v/>
      </c>
    </row>
    <row r="1527" spans="1:11" x14ac:dyDescent="0.3">
      <c r="A1527" s="28">
        <v>46274</v>
      </c>
      <c r="B1527" s="29" t="str">
        <f t="shared" si="168"/>
        <v>SETEMBRO</v>
      </c>
      <c r="C1527" s="12" t="s">
        <v>19</v>
      </c>
      <c r="D1527" s="12" t="s">
        <v>12</v>
      </c>
      <c r="E1527" s="30"/>
      <c r="F1527" s="30"/>
      <c r="G1527" s="29"/>
      <c r="H1527" s="31"/>
      <c r="I1527" s="29">
        <f>IFERROR(IF(T_PROD[[#This Row],[PREVISTO]]-T_PROD[[#This Row],[EFETIVO]]&lt; 0,0,T_PROD[[#This Row],[PREVISTO]]-T_PROD[[#This Row],[EFETIVO]] ),"")</f>
        <v>0</v>
      </c>
      <c r="J1527" s="32" t="str">
        <f>IFERROR(IF(T_PROD[[#This Row],[META]]&gt;0,(T_PROD[[#This Row],[META]]/T_PROD[[#This Row],[PREVISTO]]),""),"")</f>
        <v/>
      </c>
      <c r="K1527" s="32" t="str">
        <f>IFERROR(IF(T_PROD[[#This Row],[PRODUÇÃO]]&gt;0,(T_PROD[[#This Row],[PRODUÇÃO]]/T_PROD[[#This Row],[EFETIVO]]),""),"")</f>
        <v/>
      </c>
    </row>
    <row r="1528" spans="1:11" x14ac:dyDescent="0.3">
      <c r="A1528" s="28">
        <v>46274</v>
      </c>
      <c r="B1528" s="29" t="str">
        <f t="shared" si="168"/>
        <v>SETEMBRO</v>
      </c>
      <c r="C1528" s="12" t="s">
        <v>20</v>
      </c>
      <c r="D1528" s="12" t="s">
        <v>12</v>
      </c>
      <c r="E1528" s="30">
        <v>714</v>
      </c>
      <c r="F1528" s="30">
        <v>591</v>
      </c>
      <c r="G1528" s="29">
        <v>100</v>
      </c>
      <c r="H1528" s="31">
        <v>100</v>
      </c>
      <c r="I1528" s="29">
        <f>IFERROR(IF(T_PROD[[#This Row],[PREVISTO]]-T_PROD[[#This Row],[EFETIVO]]&lt; 0,0,T_PROD[[#This Row],[PREVISTO]]-T_PROD[[#This Row],[EFETIVO]] ),"")</f>
        <v>0</v>
      </c>
      <c r="J1528" s="32">
        <f>IFERROR(IF(T_PROD[[#This Row],[META]]&gt;0,(T_PROD[[#This Row],[META]]/T_PROD[[#This Row],[PREVISTO]]),""),"")</f>
        <v>7.14</v>
      </c>
      <c r="K1528" s="32">
        <f>IFERROR(IF(T_PROD[[#This Row],[PRODUÇÃO]]&gt;0,(T_PROD[[#This Row],[PRODUÇÃO]]/T_PROD[[#This Row],[EFETIVO]]),""),"")</f>
        <v>5.91</v>
      </c>
    </row>
    <row r="1529" spans="1:11" x14ac:dyDescent="0.3">
      <c r="A1529" s="28">
        <v>46274</v>
      </c>
      <c r="B1529" s="29" t="str">
        <f t="shared" si="168"/>
        <v>SETEMBRO</v>
      </c>
      <c r="C1529" s="12" t="s">
        <v>11</v>
      </c>
      <c r="D1529" s="12" t="s">
        <v>12</v>
      </c>
      <c r="E1529" s="30">
        <v>840</v>
      </c>
      <c r="F1529" s="30">
        <v>830</v>
      </c>
      <c r="G1529" s="29">
        <v>42</v>
      </c>
      <c r="H1529" s="31">
        <v>42</v>
      </c>
      <c r="I1529" s="29">
        <f>IFERROR(IF(T_PROD[[#This Row],[PREVISTO]]-T_PROD[[#This Row],[EFETIVO]]&lt; 0,0,T_PROD[[#This Row],[PREVISTO]]-T_PROD[[#This Row],[EFETIVO]] ),"")</f>
        <v>0</v>
      </c>
      <c r="J1529" s="32">
        <f>IFERROR(IF(T_PROD[[#This Row],[META]]&gt;0,(T_PROD[[#This Row],[META]]/T_PROD[[#This Row],[PREVISTO]]),""),"")</f>
        <v>20</v>
      </c>
      <c r="K1529" s="32">
        <f>IFERROR(IF(T_PROD[[#This Row],[PRODUÇÃO]]&gt;0,(T_PROD[[#This Row],[PRODUÇÃO]]/T_PROD[[#This Row],[EFETIVO]]),""),"")</f>
        <v>19.761904761904763</v>
      </c>
    </row>
    <row r="1530" spans="1:11" x14ac:dyDescent="0.3">
      <c r="A1530" s="28">
        <v>46274</v>
      </c>
      <c r="B1530" s="29" t="str">
        <f t="shared" si="168"/>
        <v>SETEMBRO</v>
      </c>
      <c r="C1530" s="12" t="s">
        <v>32</v>
      </c>
      <c r="D1530" s="12" t="s">
        <v>12</v>
      </c>
      <c r="E1530" s="30"/>
      <c r="F1530" s="30"/>
      <c r="G1530" s="29"/>
      <c r="H1530" s="31"/>
      <c r="I1530" s="29">
        <f>IFERROR(IF(T_PROD[[#This Row],[PREVISTO]]-T_PROD[[#This Row],[EFETIVO]]&lt; 0,0,T_PROD[[#This Row],[PREVISTO]]-T_PROD[[#This Row],[EFETIVO]] ),"")</f>
        <v>0</v>
      </c>
      <c r="J1530" s="32" t="str">
        <f>IFERROR(IF(T_PROD[[#This Row],[META]]&gt;0,(T_PROD[[#This Row],[META]]/T_PROD[[#This Row],[PREVISTO]]),""),"")</f>
        <v/>
      </c>
      <c r="K1530" s="32" t="str">
        <f>IFERROR(IF(T_PROD[[#This Row],[PRODUÇÃO]]&gt;0,(T_PROD[[#This Row],[PRODUÇÃO]]/T_PROD[[#This Row],[EFETIVO]]),""),"")</f>
        <v/>
      </c>
    </row>
    <row r="1531" spans="1:11" x14ac:dyDescent="0.3">
      <c r="A1531" s="28">
        <v>46274</v>
      </c>
      <c r="B1531" s="29" t="str">
        <f t="shared" si="168"/>
        <v>SETEMBRO</v>
      </c>
      <c r="C1531" s="12" t="s">
        <v>14</v>
      </c>
      <c r="D1531" s="12" t="s">
        <v>12</v>
      </c>
      <c r="E1531" s="30">
        <v>840</v>
      </c>
      <c r="F1531" s="30">
        <v>830</v>
      </c>
      <c r="G1531" s="29">
        <v>95</v>
      </c>
      <c r="H1531" s="31">
        <v>95</v>
      </c>
      <c r="I1531" s="29">
        <f>IFERROR(IF(T_PROD[[#This Row],[PREVISTO]]-T_PROD[[#This Row],[EFETIVO]]&lt; 0,0,T_PROD[[#This Row],[PREVISTO]]-T_PROD[[#This Row],[EFETIVO]] ),"")</f>
        <v>0</v>
      </c>
      <c r="J1531" s="32">
        <f>IFERROR(IF(T_PROD[[#This Row],[META]]&gt;0,(T_PROD[[#This Row],[META]]/T_PROD[[#This Row],[PREVISTO]]),""),"")</f>
        <v>8.8421052631578956</v>
      </c>
      <c r="K1531" s="32">
        <f>IFERROR(IF(T_PROD[[#This Row],[PRODUÇÃO]]&gt;0,(T_PROD[[#This Row],[PRODUÇÃO]]/T_PROD[[#This Row],[EFETIVO]]),""),"")</f>
        <v>8.7368421052631575</v>
      </c>
    </row>
    <row r="1532" spans="1:11" x14ac:dyDescent="0.3">
      <c r="A1532" s="28">
        <v>46275</v>
      </c>
      <c r="B1532" s="29" t="str">
        <f>UPPER(TEXT(A1532,"MMMM"))</f>
        <v>SETEMBRO</v>
      </c>
      <c r="C1532" s="12" t="s">
        <v>15</v>
      </c>
      <c r="D1532" s="12" t="s">
        <v>12</v>
      </c>
      <c r="E1532" s="30">
        <v>90</v>
      </c>
      <c r="F1532" s="30">
        <v>40</v>
      </c>
      <c r="G1532" s="29">
        <v>6</v>
      </c>
      <c r="H1532" s="31">
        <v>6</v>
      </c>
      <c r="I1532" s="29">
        <f>IFERROR(IF(T_PROD[[#This Row],[PREVISTO]]-T_PROD[[#This Row],[EFETIVO]]&lt; 0,0,T_PROD[[#This Row],[PREVISTO]]-T_PROD[[#This Row],[EFETIVO]] ),"")</f>
        <v>0</v>
      </c>
      <c r="J1532" s="32">
        <f>IFERROR(IF(T_PROD[[#This Row],[META]]&gt;0,(T_PROD[[#This Row],[META]]/T_PROD[[#This Row],[PREVISTO]]),""),"")</f>
        <v>15</v>
      </c>
      <c r="K1532" s="32">
        <f>IFERROR(IF(T_PROD[[#This Row],[PRODUÇÃO]]&gt;0,(T_PROD[[#This Row],[PRODUÇÃO]]/T_PROD[[#This Row],[EFETIVO]]),""),"")</f>
        <v>6.666666666666667</v>
      </c>
    </row>
    <row r="1533" spans="1:11" x14ac:dyDescent="0.3">
      <c r="A1533" s="28">
        <v>46275</v>
      </c>
      <c r="B1533" s="29" t="str">
        <f t="shared" ref="B1533:B1540" si="169">UPPER(TEXT(A1533,"MMMM"))</f>
        <v>SETEMBRO</v>
      </c>
      <c r="C1533" s="12" t="s">
        <v>16</v>
      </c>
      <c r="D1533" s="12" t="s">
        <v>12</v>
      </c>
      <c r="E1533" s="30">
        <v>272</v>
      </c>
      <c r="F1533" s="30">
        <v>263</v>
      </c>
      <c r="G1533" s="29">
        <v>8</v>
      </c>
      <c r="H1533" s="31">
        <v>8</v>
      </c>
      <c r="I1533" s="29">
        <f>IFERROR(IF(T_PROD[[#This Row],[PREVISTO]]-T_PROD[[#This Row],[EFETIVO]]&lt; 0,0,T_PROD[[#This Row],[PREVISTO]]-T_PROD[[#This Row],[EFETIVO]] ),"")</f>
        <v>0</v>
      </c>
      <c r="J1533" s="32">
        <f>IFERROR(IF(T_PROD[[#This Row],[META]]&gt;0,(T_PROD[[#This Row],[META]]/T_PROD[[#This Row],[PREVISTO]]),""),"")</f>
        <v>34</v>
      </c>
      <c r="K1533" s="32">
        <f>IFERROR(IF(T_PROD[[#This Row],[PRODUÇÃO]]&gt;0,(T_PROD[[#This Row],[PRODUÇÃO]]/T_PROD[[#This Row],[EFETIVO]]),""),"")</f>
        <v>32.875</v>
      </c>
    </row>
    <row r="1534" spans="1:11" x14ac:dyDescent="0.3">
      <c r="A1534" s="28">
        <v>46275</v>
      </c>
      <c r="B1534" s="29" t="str">
        <f t="shared" si="169"/>
        <v>SETEMBRO</v>
      </c>
      <c r="C1534" s="12" t="s">
        <v>17</v>
      </c>
      <c r="D1534" s="12" t="s">
        <v>12</v>
      </c>
      <c r="E1534" s="30">
        <v>352</v>
      </c>
      <c r="F1534" s="30">
        <v>325</v>
      </c>
      <c r="G1534" s="29">
        <v>16</v>
      </c>
      <c r="H1534" s="31">
        <v>16</v>
      </c>
      <c r="I1534" s="29">
        <f>IFERROR(IF(T_PROD[[#This Row],[PREVISTO]]-T_PROD[[#This Row],[EFETIVO]]&lt; 0,0,T_PROD[[#This Row],[PREVISTO]]-T_PROD[[#This Row],[EFETIVO]] ),"")</f>
        <v>0</v>
      </c>
      <c r="J1534" s="32">
        <f>IFERROR(IF(T_PROD[[#This Row],[META]]&gt;0,(T_PROD[[#This Row],[META]]/T_PROD[[#This Row],[PREVISTO]]),""),"")</f>
        <v>22</v>
      </c>
      <c r="K1534" s="32">
        <f>IFERROR(IF(T_PROD[[#This Row],[PRODUÇÃO]]&gt;0,(T_PROD[[#This Row],[PRODUÇÃO]]/T_PROD[[#This Row],[EFETIVO]]),""),"")</f>
        <v>20.3125</v>
      </c>
    </row>
    <row r="1535" spans="1:11" x14ac:dyDescent="0.3">
      <c r="A1535" s="28">
        <v>46275</v>
      </c>
      <c r="B1535" s="29" t="str">
        <f t="shared" si="169"/>
        <v>SETEMBRO</v>
      </c>
      <c r="C1535" s="12" t="s">
        <v>18</v>
      </c>
      <c r="D1535" s="12" t="s">
        <v>12</v>
      </c>
      <c r="E1535" s="30"/>
      <c r="F1535" s="30"/>
      <c r="G1535" s="29"/>
      <c r="H1535" s="31"/>
      <c r="I1535" s="29">
        <f>IFERROR(IF(T_PROD[[#This Row],[PREVISTO]]-T_PROD[[#This Row],[EFETIVO]]&lt; 0,0,T_PROD[[#This Row],[PREVISTO]]-T_PROD[[#This Row],[EFETIVO]] ),"")</f>
        <v>0</v>
      </c>
      <c r="J1535" s="32" t="str">
        <f>IFERROR(IF(T_PROD[[#This Row],[META]]&gt;0,(T_PROD[[#This Row],[META]]/T_PROD[[#This Row],[PREVISTO]]),""),"")</f>
        <v/>
      </c>
      <c r="K1535" s="32" t="str">
        <f>IFERROR(IF(T_PROD[[#This Row],[PRODUÇÃO]]&gt;0,(T_PROD[[#This Row],[PRODUÇÃO]]/T_PROD[[#This Row],[EFETIVO]]),""),"")</f>
        <v/>
      </c>
    </row>
    <row r="1536" spans="1:11" x14ac:dyDescent="0.3">
      <c r="A1536" s="28">
        <v>46275</v>
      </c>
      <c r="B1536" s="29" t="str">
        <f t="shared" si="169"/>
        <v>SETEMBRO</v>
      </c>
      <c r="C1536" s="12" t="s">
        <v>19</v>
      </c>
      <c r="D1536" s="12" t="s">
        <v>12</v>
      </c>
      <c r="E1536" s="30"/>
      <c r="F1536" s="30"/>
      <c r="G1536" s="29"/>
      <c r="H1536" s="31"/>
      <c r="I1536" s="29">
        <f>IFERROR(IF(T_PROD[[#This Row],[PREVISTO]]-T_PROD[[#This Row],[EFETIVO]]&lt; 0,0,T_PROD[[#This Row],[PREVISTO]]-T_PROD[[#This Row],[EFETIVO]] ),"")</f>
        <v>0</v>
      </c>
      <c r="J1536" s="32" t="str">
        <f>IFERROR(IF(T_PROD[[#This Row],[META]]&gt;0,(T_PROD[[#This Row],[META]]/T_PROD[[#This Row],[PREVISTO]]),""),"")</f>
        <v/>
      </c>
      <c r="K1536" s="32" t="str">
        <f>IFERROR(IF(T_PROD[[#This Row],[PRODUÇÃO]]&gt;0,(T_PROD[[#This Row],[PRODUÇÃO]]/T_PROD[[#This Row],[EFETIVO]]),""),"")</f>
        <v/>
      </c>
    </row>
    <row r="1537" spans="1:11" x14ac:dyDescent="0.3">
      <c r="A1537" s="28">
        <v>46275</v>
      </c>
      <c r="B1537" s="29" t="str">
        <f t="shared" si="169"/>
        <v>SETEMBRO</v>
      </c>
      <c r="C1537" s="12" t="s">
        <v>20</v>
      </c>
      <c r="D1537" s="12" t="s">
        <v>12</v>
      </c>
      <c r="E1537" s="30">
        <v>714</v>
      </c>
      <c r="F1537" s="30">
        <v>628</v>
      </c>
      <c r="G1537" s="29">
        <v>100</v>
      </c>
      <c r="H1537" s="31">
        <v>100</v>
      </c>
      <c r="I1537" s="29">
        <f>IFERROR(IF(T_PROD[[#This Row],[PREVISTO]]-T_PROD[[#This Row],[EFETIVO]]&lt; 0,0,T_PROD[[#This Row],[PREVISTO]]-T_PROD[[#This Row],[EFETIVO]] ),"")</f>
        <v>0</v>
      </c>
      <c r="J1537" s="32">
        <f>IFERROR(IF(T_PROD[[#This Row],[META]]&gt;0,(T_PROD[[#This Row],[META]]/T_PROD[[#This Row],[PREVISTO]]),""),"")</f>
        <v>7.14</v>
      </c>
      <c r="K1537" s="32">
        <f>IFERROR(IF(T_PROD[[#This Row],[PRODUÇÃO]]&gt;0,(T_PROD[[#This Row],[PRODUÇÃO]]/T_PROD[[#This Row],[EFETIVO]]),""),"")</f>
        <v>6.28</v>
      </c>
    </row>
    <row r="1538" spans="1:11" x14ac:dyDescent="0.3">
      <c r="A1538" s="28">
        <v>46275</v>
      </c>
      <c r="B1538" s="29" t="str">
        <f t="shared" si="169"/>
        <v>SETEMBRO</v>
      </c>
      <c r="C1538" s="12" t="s">
        <v>11</v>
      </c>
      <c r="D1538" s="12" t="s">
        <v>12</v>
      </c>
      <c r="E1538" s="30">
        <v>840</v>
      </c>
      <c r="F1538" s="30">
        <v>900</v>
      </c>
      <c r="G1538" s="29">
        <v>42</v>
      </c>
      <c r="H1538" s="31">
        <v>42</v>
      </c>
      <c r="I1538" s="29">
        <f>IFERROR(IF(T_PROD[[#This Row],[PREVISTO]]-T_PROD[[#This Row],[EFETIVO]]&lt; 0,0,T_PROD[[#This Row],[PREVISTO]]-T_PROD[[#This Row],[EFETIVO]] ),"")</f>
        <v>0</v>
      </c>
      <c r="J1538" s="32">
        <f>IFERROR(IF(T_PROD[[#This Row],[META]]&gt;0,(T_PROD[[#This Row],[META]]/T_PROD[[#This Row],[PREVISTO]]),""),"")</f>
        <v>20</v>
      </c>
      <c r="K1538" s="32">
        <f>IFERROR(IF(T_PROD[[#This Row],[PRODUÇÃO]]&gt;0,(T_PROD[[#This Row],[PRODUÇÃO]]/T_PROD[[#This Row],[EFETIVO]]),""),"")</f>
        <v>21.428571428571427</v>
      </c>
    </row>
    <row r="1539" spans="1:11" x14ac:dyDescent="0.3">
      <c r="A1539" s="28">
        <v>46275</v>
      </c>
      <c r="B1539" s="29" t="str">
        <f t="shared" si="169"/>
        <v>SETEMBRO</v>
      </c>
      <c r="C1539" s="12" t="s">
        <v>32</v>
      </c>
      <c r="D1539" s="12" t="s">
        <v>12</v>
      </c>
      <c r="E1539" s="30"/>
      <c r="F1539" s="30"/>
      <c r="G1539" s="29"/>
      <c r="H1539" s="31"/>
      <c r="I1539" s="29">
        <f>IFERROR(IF(T_PROD[[#This Row],[PREVISTO]]-T_PROD[[#This Row],[EFETIVO]]&lt; 0,0,T_PROD[[#This Row],[PREVISTO]]-T_PROD[[#This Row],[EFETIVO]] ),"")</f>
        <v>0</v>
      </c>
      <c r="J1539" s="32" t="str">
        <f>IFERROR(IF(T_PROD[[#This Row],[META]]&gt;0,(T_PROD[[#This Row],[META]]/T_PROD[[#This Row],[PREVISTO]]),""),"")</f>
        <v/>
      </c>
      <c r="K1539" s="32" t="str">
        <f>IFERROR(IF(T_PROD[[#This Row],[PRODUÇÃO]]&gt;0,(T_PROD[[#This Row],[PRODUÇÃO]]/T_PROD[[#This Row],[EFETIVO]]),""),"")</f>
        <v/>
      </c>
    </row>
    <row r="1540" spans="1:11" x14ac:dyDescent="0.3">
      <c r="A1540" s="28">
        <v>46275</v>
      </c>
      <c r="B1540" s="29" t="str">
        <f t="shared" si="169"/>
        <v>SETEMBRO</v>
      </c>
      <c r="C1540" s="12" t="s">
        <v>14</v>
      </c>
      <c r="D1540" s="12" t="s">
        <v>12</v>
      </c>
      <c r="E1540" s="30">
        <v>840</v>
      </c>
      <c r="F1540" s="30">
        <v>900</v>
      </c>
      <c r="G1540" s="29">
        <v>99</v>
      </c>
      <c r="H1540" s="31">
        <v>97</v>
      </c>
      <c r="I1540" s="29">
        <f>IFERROR(IF(T_PROD[[#This Row],[PREVISTO]]-T_PROD[[#This Row],[EFETIVO]]&lt; 0,0,T_PROD[[#This Row],[PREVISTO]]-T_PROD[[#This Row],[EFETIVO]] ),"")</f>
        <v>2</v>
      </c>
      <c r="J1540" s="32">
        <f>IFERROR(IF(T_PROD[[#This Row],[META]]&gt;0,(T_PROD[[#This Row],[META]]/T_PROD[[#This Row],[PREVISTO]]),""),"")</f>
        <v>8.4848484848484844</v>
      </c>
      <c r="K1540" s="32">
        <f>IFERROR(IF(T_PROD[[#This Row],[PRODUÇÃO]]&gt;0,(T_PROD[[#This Row],[PRODUÇÃO]]/T_PROD[[#This Row],[EFETIVO]]),""),"")</f>
        <v>9.2783505154639183</v>
      </c>
    </row>
    <row r="1541" spans="1:11" x14ac:dyDescent="0.3">
      <c r="A1541" s="28">
        <v>46276</v>
      </c>
      <c r="B1541" s="29" t="str">
        <f>UPPER(TEXT(A1541,"MMMM"))</f>
        <v>SETEMBRO</v>
      </c>
      <c r="C1541" s="12" t="s">
        <v>15</v>
      </c>
      <c r="D1541" s="12" t="s">
        <v>12</v>
      </c>
      <c r="E1541" s="30">
        <v>105</v>
      </c>
      <c r="F1541" s="30">
        <v>48</v>
      </c>
      <c r="G1541" s="29">
        <v>7</v>
      </c>
      <c r="H1541" s="31">
        <v>7</v>
      </c>
      <c r="I1541" s="29">
        <f>IFERROR(IF(T_PROD[[#This Row],[PREVISTO]]-T_PROD[[#This Row],[EFETIVO]]&lt; 0,0,T_PROD[[#This Row],[PREVISTO]]-T_PROD[[#This Row],[EFETIVO]] ),"")</f>
        <v>0</v>
      </c>
      <c r="J1541" s="32">
        <f>IFERROR(IF(T_PROD[[#This Row],[META]]&gt;0,(T_PROD[[#This Row],[META]]/T_PROD[[#This Row],[PREVISTO]]),""),"")</f>
        <v>15</v>
      </c>
      <c r="K1541" s="32">
        <f>IFERROR(IF(T_PROD[[#This Row],[PRODUÇÃO]]&gt;0,(T_PROD[[#This Row],[PRODUÇÃO]]/T_PROD[[#This Row],[EFETIVO]]),""),"")</f>
        <v>6.8571428571428568</v>
      </c>
    </row>
    <row r="1542" spans="1:11" x14ac:dyDescent="0.3">
      <c r="A1542" s="28">
        <v>46276</v>
      </c>
      <c r="B1542" s="29" t="str">
        <f t="shared" ref="B1542:B1549" si="170">UPPER(TEXT(A1542,"MMMM"))</f>
        <v>SETEMBRO</v>
      </c>
      <c r="C1542" s="12" t="s">
        <v>16</v>
      </c>
      <c r="D1542" s="12" t="s">
        <v>12</v>
      </c>
      <c r="E1542" s="30">
        <v>238</v>
      </c>
      <c r="F1542" s="30">
        <v>190</v>
      </c>
      <c r="G1542" s="29">
        <v>7</v>
      </c>
      <c r="H1542" s="31">
        <v>7</v>
      </c>
      <c r="I1542" s="29">
        <f>IFERROR(IF(T_PROD[[#This Row],[PREVISTO]]-T_PROD[[#This Row],[EFETIVO]]&lt; 0,0,T_PROD[[#This Row],[PREVISTO]]-T_PROD[[#This Row],[EFETIVO]] ),"")</f>
        <v>0</v>
      </c>
      <c r="J1542" s="32">
        <f>IFERROR(IF(T_PROD[[#This Row],[META]]&gt;0,(T_PROD[[#This Row],[META]]/T_PROD[[#This Row],[PREVISTO]]),""),"")</f>
        <v>34</v>
      </c>
      <c r="K1542" s="32">
        <f>IFERROR(IF(T_PROD[[#This Row],[PRODUÇÃO]]&gt;0,(T_PROD[[#This Row],[PRODUÇÃO]]/T_PROD[[#This Row],[EFETIVO]]),""),"")</f>
        <v>27.142857142857142</v>
      </c>
    </row>
    <row r="1543" spans="1:11" x14ac:dyDescent="0.3">
      <c r="A1543" s="28">
        <v>46276</v>
      </c>
      <c r="B1543" s="29" t="str">
        <f t="shared" si="170"/>
        <v>SETEMBRO</v>
      </c>
      <c r="C1543" s="12" t="s">
        <v>17</v>
      </c>
      <c r="D1543" s="12" t="s">
        <v>12</v>
      </c>
      <c r="E1543" s="30">
        <v>352</v>
      </c>
      <c r="F1543" s="30">
        <v>265</v>
      </c>
      <c r="G1543" s="29">
        <v>16</v>
      </c>
      <c r="H1543" s="31">
        <v>16</v>
      </c>
      <c r="I1543" s="29">
        <f>IFERROR(IF(T_PROD[[#This Row],[PREVISTO]]-T_PROD[[#This Row],[EFETIVO]]&lt; 0,0,T_PROD[[#This Row],[PREVISTO]]-T_PROD[[#This Row],[EFETIVO]] ),"")</f>
        <v>0</v>
      </c>
      <c r="J1543" s="32">
        <f>IFERROR(IF(T_PROD[[#This Row],[META]]&gt;0,(T_PROD[[#This Row],[META]]/T_PROD[[#This Row],[PREVISTO]]),""),"")</f>
        <v>22</v>
      </c>
      <c r="K1543" s="32">
        <f>IFERROR(IF(T_PROD[[#This Row],[PRODUÇÃO]]&gt;0,(T_PROD[[#This Row],[PRODUÇÃO]]/T_PROD[[#This Row],[EFETIVO]]),""),"")</f>
        <v>16.5625</v>
      </c>
    </row>
    <row r="1544" spans="1:11" x14ac:dyDescent="0.3">
      <c r="A1544" s="28">
        <v>46276</v>
      </c>
      <c r="B1544" s="29" t="str">
        <f t="shared" si="170"/>
        <v>SETEMBRO</v>
      </c>
      <c r="C1544" s="12" t="s">
        <v>18</v>
      </c>
      <c r="D1544" s="12" t="s">
        <v>12</v>
      </c>
      <c r="E1544" s="30"/>
      <c r="F1544" s="30"/>
      <c r="G1544" s="29"/>
      <c r="H1544" s="31"/>
      <c r="I1544" s="29">
        <f>IFERROR(IF(T_PROD[[#This Row],[PREVISTO]]-T_PROD[[#This Row],[EFETIVO]]&lt; 0,0,T_PROD[[#This Row],[PREVISTO]]-T_PROD[[#This Row],[EFETIVO]] ),"")</f>
        <v>0</v>
      </c>
      <c r="J1544" s="32" t="str">
        <f>IFERROR(IF(T_PROD[[#This Row],[META]]&gt;0,(T_PROD[[#This Row],[META]]/T_PROD[[#This Row],[PREVISTO]]),""),"")</f>
        <v/>
      </c>
      <c r="K1544" s="32" t="str">
        <f>IFERROR(IF(T_PROD[[#This Row],[PRODUÇÃO]]&gt;0,(T_PROD[[#This Row],[PRODUÇÃO]]/T_PROD[[#This Row],[EFETIVO]]),""),"")</f>
        <v/>
      </c>
    </row>
    <row r="1545" spans="1:11" x14ac:dyDescent="0.3">
      <c r="A1545" s="28">
        <v>46276</v>
      </c>
      <c r="B1545" s="29" t="str">
        <f t="shared" si="170"/>
        <v>SETEMBRO</v>
      </c>
      <c r="C1545" s="12" t="s">
        <v>19</v>
      </c>
      <c r="D1545" s="12" t="s">
        <v>12</v>
      </c>
      <c r="E1545" s="30"/>
      <c r="F1545" s="30"/>
      <c r="G1545" s="29"/>
      <c r="H1545" s="31"/>
      <c r="I1545" s="29">
        <f>IFERROR(IF(T_PROD[[#This Row],[PREVISTO]]-T_PROD[[#This Row],[EFETIVO]]&lt; 0,0,T_PROD[[#This Row],[PREVISTO]]-T_PROD[[#This Row],[EFETIVO]] ),"")</f>
        <v>0</v>
      </c>
      <c r="J1545" s="32" t="str">
        <f>IFERROR(IF(T_PROD[[#This Row],[META]]&gt;0,(T_PROD[[#This Row],[META]]/T_PROD[[#This Row],[PREVISTO]]),""),"")</f>
        <v/>
      </c>
      <c r="K1545" s="32" t="str">
        <f>IFERROR(IF(T_PROD[[#This Row],[PRODUÇÃO]]&gt;0,(T_PROD[[#This Row],[PRODUÇÃO]]/T_PROD[[#This Row],[EFETIVO]]),""),"")</f>
        <v/>
      </c>
    </row>
    <row r="1546" spans="1:11" x14ac:dyDescent="0.3">
      <c r="A1546" s="28">
        <v>46276</v>
      </c>
      <c r="B1546" s="29" t="str">
        <f t="shared" si="170"/>
        <v>SETEMBRO</v>
      </c>
      <c r="C1546" s="12" t="s">
        <v>20</v>
      </c>
      <c r="D1546" s="12" t="s">
        <v>12</v>
      </c>
      <c r="E1546" s="30">
        <v>695</v>
      </c>
      <c r="F1546" s="30">
        <v>503</v>
      </c>
      <c r="G1546" s="29">
        <v>100</v>
      </c>
      <c r="H1546" s="31">
        <v>100</v>
      </c>
      <c r="I1546" s="29">
        <f>IFERROR(IF(T_PROD[[#This Row],[PREVISTO]]-T_PROD[[#This Row],[EFETIVO]]&lt; 0,0,T_PROD[[#This Row],[PREVISTO]]-T_PROD[[#This Row],[EFETIVO]] ),"")</f>
        <v>0</v>
      </c>
      <c r="J1546" s="32">
        <f>IFERROR(IF(T_PROD[[#This Row],[META]]&gt;0,(T_PROD[[#This Row],[META]]/T_PROD[[#This Row],[PREVISTO]]),""),"")</f>
        <v>6.95</v>
      </c>
      <c r="K1546" s="32">
        <f>IFERROR(IF(T_PROD[[#This Row],[PRODUÇÃO]]&gt;0,(T_PROD[[#This Row],[PRODUÇÃO]]/T_PROD[[#This Row],[EFETIVO]]),""),"")</f>
        <v>5.03</v>
      </c>
    </row>
    <row r="1547" spans="1:11" x14ac:dyDescent="0.3">
      <c r="A1547" s="28">
        <v>46276</v>
      </c>
      <c r="B1547" s="29" t="str">
        <f t="shared" si="170"/>
        <v>SETEMBRO</v>
      </c>
      <c r="C1547" s="12" t="s">
        <v>11</v>
      </c>
      <c r="D1547" s="12" t="s">
        <v>12</v>
      </c>
      <c r="E1547" s="30">
        <v>680</v>
      </c>
      <c r="F1547" s="30">
        <v>700</v>
      </c>
      <c r="G1547" s="29">
        <v>34</v>
      </c>
      <c r="H1547" s="31">
        <v>34</v>
      </c>
      <c r="I1547" s="29">
        <f>IFERROR(IF(T_PROD[[#This Row],[PREVISTO]]-T_PROD[[#This Row],[EFETIVO]]&lt; 0,0,T_PROD[[#This Row],[PREVISTO]]-T_PROD[[#This Row],[EFETIVO]] ),"")</f>
        <v>0</v>
      </c>
      <c r="J1547" s="32">
        <f>IFERROR(IF(T_PROD[[#This Row],[META]]&gt;0,(T_PROD[[#This Row],[META]]/T_PROD[[#This Row],[PREVISTO]]),""),"")</f>
        <v>20</v>
      </c>
      <c r="K1547" s="32">
        <f>IFERROR(IF(T_PROD[[#This Row],[PRODUÇÃO]]&gt;0,(T_PROD[[#This Row],[PRODUÇÃO]]/T_PROD[[#This Row],[EFETIVO]]),""),"")</f>
        <v>20.588235294117649</v>
      </c>
    </row>
    <row r="1548" spans="1:11" x14ac:dyDescent="0.3">
      <c r="A1548" s="28">
        <v>46276</v>
      </c>
      <c r="B1548" s="29" t="str">
        <f t="shared" si="170"/>
        <v>SETEMBRO</v>
      </c>
      <c r="C1548" s="12" t="s">
        <v>32</v>
      </c>
      <c r="D1548" s="12" t="s">
        <v>12</v>
      </c>
      <c r="E1548" s="30">
        <v>44</v>
      </c>
      <c r="F1548" s="30">
        <v>48</v>
      </c>
      <c r="G1548" s="29">
        <v>4</v>
      </c>
      <c r="H1548" s="31">
        <v>4</v>
      </c>
      <c r="I1548" s="29">
        <f>IFERROR(IF(T_PROD[[#This Row],[PREVISTO]]-T_PROD[[#This Row],[EFETIVO]]&lt; 0,0,T_PROD[[#This Row],[PREVISTO]]-T_PROD[[#This Row],[EFETIVO]] ),"")</f>
        <v>0</v>
      </c>
      <c r="J1548" s="32">
        <f>IFERROR(IF(T_PROD[[#This Row],[META]]&gt;0,(T_PROD[[#This Row],[META]]/T_PROD[[#This Row],[PREVISTO]]),""),"")</f>
        <v>11</v>
      </c>
      <c r="K1548" s="32">
        <f>IFERROR(IF(T_PROD[[#This Row],[PRODUÇÃO]]&gt;0,(T_PROD[[#This Row],[PRODUÇÃO]]/T_PROD[[#This Row],[EFETIVO]]),""),"")</f>
        <v>12</v>
      </c>
    </row>
    <row r="1549" spans="1:11" x14ac:dyDescent="0.3">
      <c r="A1549" s="28">
        <v>46276</v>
      </c>
      <c r="B1549" s="29" t="str">
        <f t="shared" si="170"/>
        <v>SETEMBRO</v>
      </c>
      <c r="C1549" s="12" t="s">
        <v>14</v>
      </c>
      <c r="D1549" s="12" t="s">
        <v>12</v>
      </c>
      <c r="E1549" s="30">
        <v>724</v>
      </c>
      <c r="F1549" s="30">
        <v>748</v>
      </c>
      <c r="G1549" s="29">
        <v>80</v>
      </c>
      <c r="H1549" s="31">
        <v>78</v>
      </c>
      <c r="I1549" s="29">
        <f>IFERROR(IF(T_PROD[[#This Row],[PREVISTO]]-T_PROD[[#This Row],[EFETIVO]]&lt; 0,0,T_PROD[[#This Row],[PREVISTO]]-T_PROD[[#This Row],[EFETIVO]] ),"")</f>
        <v>2</v>
      </c>
      <c r="J1549" s="32">
        <f>IFERROR(IF(T_PROD[[#This Row],[META]]&gt;0,(T_PROD[[#This Row],[META]]/T_PROD[[#This Row],[PREVISTO]]),""),"")</f>
        <v>9.0500000000000007</v>
      </c>
      <c r="K1549" s="32">
        <f>IFERROR(IF(T_PROD[[#This Row],[PRODUÇÃO]]&gt;0,(T_PROD[[#This Row],[PRODUÇÃO]]/T_PROD[[#This Row],[EFETIVO]]),""),"")</f>
        <v>9.5897435897435894</v>
      </c>
    </row>
    <row r="1550" spans="1:11" x14ac:dyDescent="0.3">
      <c r="A1550" s="28">
        <v>46279</v>
      </c>
      <c r="B1550" s="29" t="str">
        <f>UPPER(TEXT(A1550,"MMMM"))</f>
        <v>SETEMBRO</v>
      </c>
      <c r="C1550" s="12" t="s">
        <v>15</v>
      </c>
      <c r="D1550" s="12" t="s">
        <v>12</v>
      </c>
      <c r="E1550" s="30">
        <v>105</v>
      </c>
      <c r="F1550" s="30">
        <v>70</v>
      </c>
      <c r="G1550" s="29">
        <v>7</v>
      </c>
      <c r="H1550" s="31">
        <v>7</v>
      </c>
      <c r="I1550" s="29">
        <f>IFERROR(IF(T_PROD[[#This Row],[PREVISTO]]-T_PROD[[#This Row],[EFETIVO]]&lt; 0,0,T_PROD[[#This Row],[PREVISTO]]-T_PROD[[#This Row],[EFETIVO]] ),"")</f>
        <v>0</v>
      </c>
      <c r="J1550" s="32">
        <f>IFERROR(IF(T_PROD[[#This Row],[META]]&gt;0,(T_PROD[[#This Row],[META]]/T_PROD[[#This Row],[PREVISTO]]),""),"")</f>
        <v>15</v>
      </c>
      <c r="K1550" s="32">
        <f>IFERROR(IF(T_PROD[[#This Row],[PRODUÇÃO]]&gt;0,(T_PROD[[#This Row],[PRODUÇÃO]]/T_PROD[[#This Row],[EFETIVO]]),""),"")</f>
        <v>10</v>
      </c>
    </row>
    <row r="1551" spans="1:11" x14ac:dyDescent="0.3">
      <c r="A1551" s="28">
        <v>46279</v>
      </c>
      <c r="B1551" s="29" t="str">
        <f t="shared" ref="B1551:B1558" si="171">UPPER(TEXT(A1551,"MMMM"))</f>
        <v>SETEMBRO</v>
      </c>
      <c r="C1551" s="12" t="s">
        <v>16</v>
      </c>
      <c r="D1551" s="12" t="s">
        <v>12</v>
      </c>
      <c r="E1551" s="30">
        <v>238</v>
      </c>
      <c r="F1551" s="30">
        <v>100</v>
      </c>
      <c r="G1551" s="29">
        <v>7</v>
      </c>
      <c r="H1551" s="31">
        <v>7</v>
      </c>
      <c r="I1551" s="29">
        <f>IFERROR(IF(T_PROD[[#This Row],[PREVISTO]]-T_PROD[[#This Row],[EFETIVO]]&lt; 0,0,T_PROD[[#This Row],[PREVISTO]]-T_PROD[[#This Row],[EFETIVO]] ),"")</f>
        <v>0</v>
      </c>
      <c r="J1551" s="32">
        <f>IFERROR(IF(T_PROD[[#This Row],[META]]&gt;0,(T_PROD[[#This Row],[META]]/T_PROD[[#This Row],[PREVISTO]]),""),"")</f>
        <v>34</v>
      </c>
      <c r="K1551" s="32">
        <f>IFERROR(IF(T_PROD[[#This Row],[PRODUÇÃO]]&gt;0,(T_PROD[[#This Row],[PRODUÇÃO]]/T_PROD[[#This Row],[EFETIVO]]),""),"")</f>
        <v>14.285714285714286</v>
      </c>
    </row>
    <row r="1552" spans="1:11" x14ac:dyDescent="0.3">
      <c r="A1552" s="28">
        <v>46279</v>
      </c>
      <c r="B1552" s="29" t="str">
        <f t="shared" si="171"/>
        <v>SETEMBRO</v>
      </c>
      <c r="C1552" s="12" t="s">
        <v>17</v>
      </c>
      <c r="D1552" s="12" t="s">
        <v>12</v>
      </c>
      <c r="E1552" s="30">
        <v>352</v>
      </c>
      <c r="F1552" s="30">
        <v>336</v>
      </c>
      <c r="G1552" s="29">
        <v>16</v>
      </c>
      <c r="H1552" s="31">
        <v>16</v>
      </c>
      <c r="I1552" s="29">
        <f>IFERROR(IF(T_PROD[[#This Row],[PREVISTO]]-T_PROD[[#This Row],[EFETIVO]]&lt; 0,0,T_PROD[[#This Row],[PREVISTO]]-T_PROD[[#This Row],[EFETIVO]] ),"")</f>
        <v>0</v>
      </c>
      <c r="J1552" s="32">
        <f>IFERROR(IF(T_PROD[[#This Row],[META]]&gt;0,(T_PROD[[#This Row],[META]]/T_PROD[[#This Row],[PREVISTO]]),""),"")</f>
        <v>22</v>
      </c>
      <c r="K1552" s="32">
        <f>IFERROR(IF(T_PROD[[#This Row],[PRODUÇÃO]]&gt;0,(T_PROD[[#This Row],[PRODUÇÃO]]/T_PROD[[#This Row],[EFETIVO]]),""),"")</f>
        <v>21</v>
      </c>
    </row>
    <row r="1553" spans="1:11" x14ac:dyDescent="0.3">
      <c r="A1553" s="28">
        <v>46279</v>
      </c>
      <c r="B1553" s="29" t="str">
        <f t="shared" si="171"/>
        <v>SETEMBRO</v>
      </c>
      <c r="C1553" s="12" t="s">
        <v>18</v>
      </c>
      <c r="D1553" s="12" t="s">
        <v>12</v>
      </c>
      <c r="E1553" s="30"/>
      <c r="F1553" s="30"/>
      <c r="G1553" s="29"/>
      <c r="H1553" s="31"/>
      <c r="I1553" s="29">
        <f>IFERROR(IF(T_PROD[[#This Row],[PREVISTO]]-T_PROD[[#This Row],[EFETIVO]]&lt; 0,0,T_PROD[[#This Row],[PREVISTO]]-T_PROD[[#This Row],[EFETIVO]] ),"")</f>
        <v>0</v>
      </c>
      <c r="J1553" s="32" t="str">
        <f>IFERROR(IF(T_PROD[[#This Row],[META]]&gt;0,(T_PROD[[#This Row],[META]]/T_PROD[[#This Row],[PREVISTO]]),""),"")</f>
        <v/>
      </c>
      <c r="K1553" s="32" t="str">
        <f>IFERROR(IF(T_PROD[[#This Row],[PRODUÇÃO]]&gt;0,(T_PROD[[#This Row],[PRODUÇÃO]]/T_PROD[[#This Row],[EFETIVO]]),""),"")</f>
        <v/>
      </c>
    </row>
    <row r="1554" spans="1:11" x14ac:dyDescent="0.3">
      <c r="A1554" s="28">
        <v>46279</v>
      </c>
      <c r="B1554" s="29" t="str">
        <f t="shared" si="171"/>
        <v>SETEMBRO</v>
      </c>
      <c r="C1554" s="12" t="s">
        <v>19</v>
      </c>
      <c r="D1554" s="12" t="s">
        <v>12</v>
      </c>
      <c r="E1554" s="30"/>
      <c r="F1554" s="30"/>
      <c r="G1554" s="29"/>
      <c r="H1554" s="31"/>
      <c r="I1554" s="29">
        <f>IFERROR(IF(T_PROD[[#This Row],[PREVISTO]]-T_PROD[[#This Row],[EFETIVO]]&lt; 0,0,T_PROD[[#This Row],[PREVISTO]]-T_PROD[[#This Row],[EFETIVO]] ),"")</f>
        <v>0</v>
      </c>
      <c r="J1554" s="32" t="str">
        <f>IFERROR(IF(T_PROD[[#This Row],[META]]&gt;0,(T_PROD[[#This Row],[META]]/T_PROD[[#This Row],[PREVISTO]]),""),"")</f>
        <v/>
      </c>
      <c r="K1554" s="32" t="str">
        <f>IFERROR(IF(T_PROD[[#This Row],[PRODUÇÃO]]&gt;0,(T_PROD[[#This Row],[PRODUÇÃO]]/T_PROD[[#This Row],[EFETIVO]]),""),"")</f>
        <v/>
      </c>
    </row>
    <row r="1555" spans="1:11" x14ac:dyDescent="0.3">
      <c r="A1555" s="28">
        <v>46279</v>
      </c>
      <c r="B1555" s="29" t="str">
        <f t="shared" si="171"/>
        <v>SETEMBRO</v>
      </c>
      <c r="C1555" s="12" t="s">
        <v>20</v>
      </c>
      <c r="D1555" s="12" t="s">
        <v>12</v>
      </c>
      <c r="E1555" s="30">
        <v>695</v>
      </c>
      <c r="F1555" s="30">
        <v>505</v>
      </c>
      <c r="G1555" s="29">
        <v>100</v>
      </c>
      <c r="H1555" s="31">
        <v>100</v>
      </c>
      <c r="I1555" s="29">
        <f>IFERROR(IF(T_PROD[[#This Row],[PREVISTO]]-T_PROD[[#This Row],[EFETIVO]]&lt; 0,0,T_PROD[[#This Row],[PREVISTO]]-T_PROD[[#This Row],[EFETIVO]] ),"")</f>
        <v>0</v>
      </c>
      <c r="J1555" s="32">
        <f>IFERROR(IF(T_PROD[[#This Row],[META]]&gt;0,(T_PROD[[#This Row],[META]]/T_PROD[[#This Row],[PREVISTO]]),""),"")</f>
        <v>6.95</v>
      </c>
      <c r="K1555" s="32">
        <f>IFERROR(IF(T_PROD[[#This Row],[PRODUÇÃO]]&gt;0,(T_PROD[[#This Row],[PRODUÇÃO]]/T_PROD[[#This Row],[EFETIVO]]),""),"")</f>
        <v>5.05</v>
      </c>
    </row>
    <row r="1556" spans="1:11" x14ac:dyDescent="0.3">
      <c r="A1556" s="28">
        <v>46279</v>
      </c>
      <c r="B1556" s="29" t="str">
        <f t="shared" si="171"/>
        <v>SETEMBRO</v>
      </c>
      <c r="C1556" s="12" t="s">
        <v>11</v>
      </c>
      <c r="D1556" s="12" t="s">
        <v>12</v>
      </c>
      <c r="E1556" s="30">
        <v>800</v>
      </c>
      <c r="F1556" s="30">
        <v>740</v>
      </c>
      <c r="G1556" s="29">
        <v>40</v>
      </c>
      <c r="H1556" s="31">
        <v>40</v>
      </c>
      <c r="I1556" s="29">
        <f>IFERROR(IF(T_PROD[[#This Row],[PREVISTO]]-T_PROD[[#This Row],[EFETIVO]]&lt; 0,0,T_PROD[[#This Row],[PREVISTO]]-T_PROD[[#This Row],[EFETIVO]] ),"")</f>
        <v>0</v>
      </c>
      <c r="J1556" s="32">
        <f>IFERROR(IF(T_PROD[[#This Row],[META]]&gt;0,(T_PROD[[#This Row],[META]]/T_PROD[[#This Row],[PREVISTO]]),""),"")</f>
        <v>20</v>
      </c>
      <c r="K1556" s="32">
        <f>IFERROR(IF(T_PROD[[#This Row],[PRODUÇÃO]]&gt;0,(T_PROD[[#This Row],[PRODUÇÃO]]/T_PROD[[#This Row],[EFETIVO]]),""),"")</f>
        <v>18.5</v>
      </c>
    </row>
    <row r="1557" spans="1:11" x14ac:dyDescent="0.3">
      <c r="A1557" s="28">
        <v>46279</v>
      </c>
      <c r="B1557" s="29" t="str">
        <f t="shared" si="171"/>
        <v>SETEMBRO</v>
      </c>
      <c r="C1557" s="12" t="s">
        <v>32</v>
      </c>
      <c r="D1557" s="12" t="s">
        <v>12</v>
      </c>
      <c r="E1557" s="30">
        <v>88</v>
      </c>
      <c r="F1557" s="30">
        <v>63</v>
      </c>
      <c r="G1557" s="29">
        <v>8</v>
      </c>
      <c r="H1557" s="31">
        <v>8</v>
      </c>
      <c r="I1557" s="29">
        <f>IFERROR(IF(T_PROD[[#This Row],[PREVISTO]]-T_PROD[[#This Row],[EFETIVO]]&lt; 0,0,T_PROD[[#This Row],[PREVISTO]]-T_PROD[[#This Row],[EFETIVO]] ),"")</f>
        <v>0</v>
      </c>
      <c r="J1557" s="32">
        <f>IFERROR(IF(T_PROD[[#This Row],[META]]&gt;0,(T_PROD[[#This Row],[META]]/T_PROD[[#This Row],[PREVISTO]]),""),"")</f>
        <v>11</v>
      </c>
      <c r="K1557" s="32">
        <f>IFERROR(IF(T_PROD[[#This Row],[PRODUÇÃO]]&gt;0,(T_PROD[[#This Row],[PRODUÇÃO]]/T_PROD[[#This Row],[EFETIVO]]),""),"")</f>
        <v>7.875</v>
      </c>
    </row>
    <row r="1558" spans="1:11" x14ac:dyDescent="0.3">
      <c r="A1558" s="28">
        <v>46279</v>
      </c>
      <c r="B1558" s="29" t="str">
        <f t="shared" si="171"/>
        <v>SETEMBRO</v>
      </c>
      <c r="C1558" s="12" t="s">
        <v>14</v>
      </c>
      <c r="D1558" s="12" t="s">
        <v>12</v>
      </c>
      <c r="E1558" s="30">
        <v>888</v>
      </c>
      <c r="F1558" s="30">
        <v>803</v>
      </c>
      <c r="G1558" s="29">
        <v>98</v>
      </c>
      <c r="H1558" s="31">
        <v>96</v>
      </c>
      <c r="I1558" s="29">
        <f>IFERROR(IF(T_PROD[[#This Row],[PREVISTO]]-T_PROD[[#This Row],[EFETIVO]]&lt; 0,0,T_PROD[[#This Row],[PREVISTO]]-T_PROD[[#This Row],[EFETIVO]] ),"")</f>
        <v>2</v>
      </c>
      <c r="J1558" s="32">
        <f>IFERROR(IF(T_PROD[[#This Row],[META]]&gt;0,(T_PROD[[#This Row],[META]]/T_PROD[[#This Row],[PREVISTO]]),""),"")</f>
        <v>9.0612244897959187</v>
      </c>
      <c r="K1558" s="32">
        <f>IFERROR(IF(T_PROD[[#This Row],[PRODUÇÃO]]&gt;0,(T_PROD[[#This Row],[PRODUÇÃO]]/T_PROD[[#This Row],[EFETIVO]]),""),"")</f>
        <v>8.3645833333333339</v>
      </c>
    </row>
    <row r="1559" spans="1:11" x14ac:dyDescent="0.3">
      <c r="A1559" s="28">
        <v>46280</v>
      </c>
      <c r="B1559" s="29" t="str">
        <f>UPPER(TEXT(A1559,"MMMM"))</f>
        <v>SETEMBRO</v>
      </c>
      <c r="C1559" s="6" t="s">
        <v>15</v>
      </c>
      <c r="D1559" s="12" t="s">
        <v>12</v>
      </c>
      <c r="E1559" s="30">
        <v>60</v>
      </c>
      <c r="F1559" s="30">
        <v>31</v>
      </c>
      <c r="G1559" s="29">
        <v>4</v>
      </c>
      <c r="H1559" s="31">
        <v>4</v>
      </c>
      <c r="I1559" s="29">
        <f>IFERROR(IF(T_PROD[[#This Row],[PREVISTO]]-T_PROD[[#This Row],[EFETIVO]]&lt; 0,0,T_PROD[[#This Row],[PREVISTO]]-T_PROD[[#This Row],[EFETIVO]] ),"")</f>
        <v>0</v>
      </c>
      <c r="J1559" s="32">
        <f>IFERROR(IF(T_PROD[[#This Row],[META]]&gt;0,(T_PROD[[#This Row],[META]]/T_PROD[[#This Row],[PREVISTO]]),""),"")</f>
        <v>15</v>
      </c>
      <c r="K1559" s="32">
        <f>IFERROR(IF(T_PROD[[#This Row],[PRODUÇÃO]]&gt;0,(T_PROD[[#This Row],[PRODUÇÃO]]/T_PROD[[#This Row],[EFETIVO]]),""),"")</f>
        <v>7.75</v>
      </c>
    </row>
    <row r="1560" spans="1:11" x14ac:dyDescent="0.3">
      <c r="A1560" s="28">
        <v>46280</v>
      </c>
      <c r="B1560" s="29" t="str">
        <f t="shared" ref="B1560:B1567" si="172">UPPER(TEXT(A1560,"MMMM"))</f>
        <v>SETEMBRO</v>
      </c>
      <c r="C1560" s="12" t="s">
        <v>16</v>
      </c>
      <c r="D1560" s="12" t="s">
        <v>12</v>
      </c>
      <c r="E1560" s="30">
        <v>272</v>
      </c>
      <c r="F1560" s="30">
        <v>219</v>
      </c>
      <c r="G1560" s="29">
        <v>8</v>
      </c>
      <c r="H1560" s="31">
        <v>8</v>
      </c>
      <c r="I1560" s="29">
        <f>IFERROR(IF(T_PROD[[#This Row],[PREVISTO]]-T_PROD[[#This Row],[EFETIVO]]&lt; 0,0,T_PROD[[#This Row],[PREVISTO]]-T_PROD[[#This Row],[EFETIVO]] ),"")</f>
        <v>0</v>
      </c>
      <c r="J1560" s="32">
        <f>IFERROR(IF(T_PROD[[#This Row],[META]]&gt;0,(T_PROD[[#This Row],[META]]/T_PROD[[#This Row],[PREVISTO]]),""),"")</f>
        <v>34</v>
      </c>
      <c r="K1560" s="32">
        <f>IFERROR(IF(T_PROD[[#This Row],[PRODUÇÃO]]&gt;0,(T_PROD[[#This Row],[PRODUÇÃO]]/T_PROD[[#This Row],[EFETIVO]]),""),"")</f>
        <v>27.375</v>
      </c>
    </row>
    <row r="1561" spans="1:11" x14ac:dyDescent="0.3">
      <c r="A1561" s="28">
        <v>46280</v>
      </c>
      <c r="B1561" s="29" t="str">
        <f t="shared" si="172"/>
        <v>SETEMBRO</v>
      </c>
      <c r="C1561" s="12" t="s">
        <v>17</v>
      </c>
      <c r="D1561" s="12" t="s">
        <v>12</v>
      </c>
      <c r="E1561" s="30">
        <v>352</v>
      </c>
      <c r="F1561" s="30">
        <v>415</v>
      </c>
      <c r="G1561" s="29">
        <v>16</v>
      </c>
      <c r="H1561" s="31">
        <v>16</v>
      </c>
      <c r="I1561" s="29">
        <f>IFERROR(IF(T_PROD[[#This Row],[PREVISTO]]-T_PROD[[#This Row],[EFETIVO]]&lt; 0,0,T_PROD[[#This Row],[PREVISTO]]-T_PROD[[#This Row],[EFETIVO]] ),"")</f>
        <v>0</v>
      </c>
      <c r="J1561" s="32">
        <f>IFERROR(IF(T_PROD[[#This Row],[META]]&gt;0,(T_PROD[[#This Row],[META]]/T_PROD[[#This Row],[PREVISTO]]),""),"")</f>
        <v>22</v>
      </c>
      <c r="K1561" s="32">
        <f>IFERROR(IF(T_PROD[[#This Row],[PRODUÇÃO]]&gt;0,(T_PROD[[#This Row],[PRODUÇÃO]]/T_PROD[[#This Row],[EFETIVO]]),""),"")</f>
        <v>25.9375</v>
      </c>
    </row>
    <row r="1562" spans="1:11" x14ac:dyDescent="0.3">
      <c r="A1562" s="28">
        <v>46280</v>
      </c>
      <c r="B1562" s="29" t="str">
        <f t="shared" si="172"/>
        <v>SETEMBRO</v>
      </c>
      <c r="C1562" s="12" t="s">
        <v>18</v>
      </c>
      <c r="D1562" s="12" t="s">
        <v>12</v>
      </c>
      <c r="E1562" s="30"/>
      <c r="F1562" s="30"/>
      <c r="G1562" s="29"/>
      <c r="H1562" s="31"/>
      <c r="I1562" s="29">
        <f>IFERROR(IF(T_PROD[[#This Row],[PREVISTO]]-T_PROD[[#This Row],[EFETIVO]]&lt; 0,0,T_PROD[[#This Row],[PREVISTO]]-T_PROD[[#This Row],[EFETIVO]] ),"")</f>
        <v>0</v>
      </c>
      <c r="J1562" s="32" t="str">
        <f>IFERROR(IF(T_PROD[[#This Row],[META]]&gt;0,(T_PROD[[#This Row],[META]]/T_PROD[[#This Row],[PREVISTO]]),""),"")</f>
        <v/>
      </c>
      <c r="K1562" s="32" t="str">
        <f>IFERROR(IF(T_PROD[[#This Row],[PRODUÇÃO]]&gt;0,(T_PROD[[#This Row],[PRODUÇÃO]]/T_PROD[[#This Row],[EFETIVO]]),""),"")</f>
        <v/>
      </c>
    </row>
    <row r="1563" spans="1:11" x14ac:dyDescent="0.3">
      <c r="A1563" s="28">
        <v>46280</v>
      </c>
      <c r="B1563" s="29" t="str">
        <f t="shared" si="172"/>
        <v>SETEMBRO</v>
      </c>
      <c r="C1563" s="12" t="s">
        <v>19</v>
      </c>
      <c r="D1563" s="12" t="s">
        <v>12</v>
      </c>
      <c r="E1563" s="30"/>
      <c r="F1563" s="30"/>
      <c r="G1563" s="29"/>
      <c r="H1563" s="31"/>
      <c r="I1563" s="29">
        <f>IFERROR(IF(T_PROD[[#This Row],[PREVISTO]]-T_PROD[[#This Row],[EFETIVO]]&lt; 0,0,T_PROD[[#This Row],[PREVISTO]]-T_PROD[[#This Row],[EFETIVO]] ),"")</f>
        <v>0</v>
      </c>
      <c r="J1563" s="32" t="str">
        <f>IFERROR(IF(T_PROD[[#This Row],[META]]&gt;0,(T_PROD[[#This Row],[META]]/T_PROD[[#This Row],[PREVISTO]]),""),"")</f>
        <v/>
      </c>
      <c r="K1563" s="32" t="str">
        <f>IFERROR(IF(T_PROD[[#This Row],[PRODUÇÃO]]&gt;0,(T_PROD[[#This Row],[PRODUÇÃO]]/T_PROD[[#This Row],[EFETIVO]]),""),"")</f>
        <v/>
      </c>
    </row>
    <row r="1564" spans="1:11" x14ac:dyDescent="0.3">
      <c r="A1564" s="28">
        <v>46280</v>
      </c>
      <c r="B1564" s="29" t="str">
        <f t="shared" si="172"/>
        <v>SETEMBRO</v>
      </c>
      <c r="C1564" s="12" t="s">
        <v>20</v>
      </c>
      <c r="D1564" s="12" t="s">
        <v>12</v>
      </c>
      <c r="E1564" s="30">
        <v>684</v>
      </c>
      <c r="F1564" s="30">
        <v>665</v>
      </c>
      <c r="G1564" s="29">
        <v>100</v>
      </c>
      <c r="H1564" s="31">
        <v>100</v>
      </c>
      <c r="I1564" s="29">
        <f>IFERROR(IF(T_PROD[[#This Row],[PREVISTO]]-T_PROD[[#This Row],[EFETIVO]]&lt; 0,0,T_PROD[[#This Row],[PREVISTO]]-T_PROD[[#This Row],[EFETIVO]] ),"")</f>
        <v>0</v>
      </c>
      <c r="J1564" s="32">
        <f>IFERROR(IF(T_PROD[[#This Row],[META]]&gt;0,(T_PROD[[#This Row],[META]]/T_PROD[[#This Row],[PREVISTO]]),""),"")</f>
        <v>6.84</v>
      </c>
      <c r="K1564" s="32">
        <f>IFERROR(IF(T_PROD[[#This Row],[PRODUÇÃO]]&gt;0,(T_PROD[[#This Row],[PRODUÇÃO]]/T_PROD[[#This Row],[EFETIVO]]),""),"")</f>
        <v>6.65</v>
      </c>
    </row>
    <row r="1565" spans="1:11" x14ac:dyDescent="0.3">
      <c r="A1565" s="28">
        <v>46280</v>
      </c>
      <c r="B1565" s="29" t="str">
        <f t="shared" si="172"/>
        <v>SETEMBRO</v>
      </c>
      <c r="C1565" s="12" t="s">
        <v>11</v>
      </c>
      <c r="D1565" s="12" t="s">
        <v>12</v>
      </c>
      <c r="E1565" s="30">
        <v>760</v>
      </c>
      <c r="F1565" s="30">
        <v>780</v>
      </c>
      <c r="G1565" s="29">
        <v>38</v>
      </c>
      <c r="H1565" s="31">
        <v>37</v>
      </c>
      <c r="I1565" s="29">
        <f>IFERROR(IF(T_PROD[[#This Row],[PREVISTO]]-T_PROD[[#This Row],[EFETIVO]]&lt; 0,0,T_PROD[[#This Row],[PREVISTO]]-T_PROD[[#This Row],[EFETIVO]] ),"")</f>
        <v>1</v>
      </c>
      <c r="J1565" s="32">
        <f>IFERROR(IF(T_PROD[[#This Row],[META]]&gt;0,(T_PROD[[#This Row],[META]]/T_PROD[[#This Row],[PREVISTO]]),""),"")</f>
        <v>20</v>
      </c>
      <c r="K1565" s="32">
        <f>IFERROR(IF(T_PROD[[#This Row],[PRODUÇÃO]]&gt;0,(T_PROD[[#This Row],[PRODUÇÃO]]/T_PROD[[#This Row],[EFETIVO]]),""),"")</f>
        <v>21.081081081081081</v>
      </c>
    </row>
    <row r="1566" spans="1:11" x14ac:dyDescent="0.3">
      <c r="A1566" s="28">
        <v>46280</v>
      </c>
      <c r="B1566" s="29" t="str">
        <f t="shared" si="172"/>
        <v>SETEMBRO</v>
      </c>
      <c r="C1566" s="12" t="s">
        <v>32</v>
      </c>
      <c r="D1566" s="12" t="s">
        <v>12</v>
      </c>
      <c r="E1566" s="30">
        <v>77</v>
      </c>
      <c r="F1566" s="30">
        <v>77</v>
      </c>
      <c r="G1566" s="29">
        <v>7</v>
      </c>
      <c r="H1566" s="31">
        <v>7</v>
      </c>
      <c r="I1566" s="29">
        <f>IFERROR(IF(T_PROD[[#This Row],[PREVISTO]]-T_PROD[[#This Row],[EFETIVO]]&lt; 0,0,T_PROD[[#This Row],[PREVISTO]]-T_PROD[[#This Row],[EFETIVO]] ),"")</f>
        <v>0</v>
      </c>
      <c r="J1566" s="32">
        <f>IFERROR(IF(T_PROD[[#This Row],[META]]&gt;0,(T_PROD[[#This Row],[META]]/T_PROD[[#This Row],[PREVISTO]]),""),"")</f>
        <v>11</v>
      </c>
      <c r="K1566" s="32">
        <f>IFERROR(IF(T_PROD[[#This Row],[PRODUÇÃO]]&gt;0,(T_PROD[[#This Row],[PRODUÇÃO]]/T_PROD[[#This Row],[EFETIVO]]),""),"")</f>
        <v>11</v>
      </c>
    </row>
    <row r="1567" spans="1:11" x14ac:dyDescent="0.3">
      <c r="A1567" s="28">
        <v>46280</v>
      </c>
      <c r="B1567" s="29" t="str">
        <f t="shared" si="172"/>
        <v>SETEMBRO</v>
      </c>
      <c r="C1567" s="12" t="s">
        <v>14</v>
      </c>
      <c r="D1567" s="12" t="s">
        <v>12</v>
      </c>
      <c r="E1567" s="30">
        <v>837</v>
      </c>
      <c r="F1567" s="30">
        <v>857</v>
      </c>
      <c r="G1567" s="29">
        <v>98</v>
      </c>
      <c r="H1567" s="31">
        <v>96</v>
      </c>
      <c r="I1567" s="29">
        <f>IFERROR(IF(T_PROD[[#This Row],[PREVISTO]]-T_PROD[[#This Row],[EFETIVO]]&lt; 0,0,T_PROD[[#This Row],[PREVISTO]]-T_PROD[[#This Row],[EFETIVO]] ),"")</f>
        <v>2</v>
      </c>
      <c r="J1567" s="32">
        <f>IFERROR(IF(T_PROD[[#This Row],[META]]&gt;0,(T_PROD[[#This Row],[META]]/T_PROD[[#This Row],[PREVISTO]]),""),"")</f>
        <v>8.5408163265306118</v>
      </c>
      <c r="K1567" s="32">
        <f>IFERROR(IF(T_PROD[[#This Row],[PRODUÇÃO]]&gt;0,(T_PROD[[#This Row],[PRODUÇÃO]]/T_PROD[[#This Row],[EFETIVO]]),""),"")</f>
        <v>8.9270833333333339</v>
      </c>
    </row>
    <row r="1568" spans="1:11" x14ac:dyDescent="0.3">
      <c r="A1568" s="28">
        <v>46281</v>
      </c>
      <c r="B1568" s="29" t="str">
        <f>UPPER(TEXT(A1568,"MMMM"))</f>
        <v>SETEMBRO</v>
      </c>
      <c r="C1568" s="6" t="s">
        <v>15</v>
      </c>
      <c r="D1568" s="12" t="s">
        <v>12</v>
      </c>
      <c r="E1568" s="30">
        <v>90</v>
      </c>
      <c r="F1568" s="30">
        <v>55</v>
      </c>
      <c r="G1568" s="29">
        <v>6</v>
      </c>
      <c r="H1568" s="31">
        <v>6</v>
      </c>
      <c r="I1568" s="29">
        <f>IFERROR(IF(T_PROD[[#This Row],[PREVISTO]]-T_PROD[[#This Row],[EFETIVO]]&lt; 0,0,T_PROD[[#This Row],[PREVISTO]]-T_PROD[[#This Row],[EFETIVO]] ),"")</f>
        <v>0</v>
      </c>
      <c r="J1568" s="32">
        <f>IFERROR(IF(T_PROD[[#This Row],[META]]&gt;0,(T_PROD[[#This Row],[META]]/T_PROD[[#This Row],[PREVISTO]]),""),"")</f>
        <v>15</v>
      </c>
      <c r="K1568" s="32">
        <f>IFERROR(IF(T_PROD[[#This Row],[PRODUÇÃO]]&gt;0,(T_PROD[[#This Row],[PRODUÇÃO]]/T_PROD[[#This Row],[EFETIVO]]),""),"")</f>
        <v>9.1666666666666661</v>
      </c>
    </row>
    <row r="1569" spans="1:11" x14ac:dyDescent="0.3">
      <c r="A1569" s="28">
        <v>46281</v>
      </c>
      <c r="B1569" s="29" t="str">
        <f t="shared" ref="B1569:B1576" si="173">UPPER(TEXT(A1569,"MMMM"))</f>
        <v>SETEMBRO</v>
      </c>
      <c r="C1569" s="12" t="s">
        <v>16</v>
      </c>
      <c r="D1569" s="12" t="s">
        <v>12</v>
      </c>
      <c r="E1569" s="30">
        <v>272</v>
      </c>
      <c r="F1569" s="30">
        <v>261</v>
      </c>
      <c r="G1569" s="29">
        <v>8</v>
      </c>
      <c r="H1569" s="31">
        <v>8</v>
      </c>
      <c r="I1569" s="29">
        <f>IFERROR(IF(T_PROD[[#This Row],[PREVISTO]]-T_PROD[[#This Row],[EFETIVO]]&lt; 0,0,T_PROD[[#This Row],[PREVISTO]]-T_PROD[[#This Row],[EFETIVO]] ),"")</f>
        <v>0</v>
      </c>
      <c r="J1569" s="32">
        <f>IFERROR(IF(T_PROD[[#This Row],[META]]&gt;0,(T_PROD[[#This Row],[META]]/T_PROD[[#This Row],[PREVISTO]]),""),"")</f>
        <v>34</v>
      </c>
      <c r="K1569" s="32">
        <f>IFERROR(IF(T_PROD[[#This Row],[PRODUÇÃO]]&gt;0,(T_PROD[[#This Row],[PRODUÇÃO]]/T_PROD[[#This Row],[EFETIVO]]),""),"")</f>
        <v>32.625</v>
      </c>
    </row>
    <row r="1570" spans="1:11" x14ac:dyDescent="0.3">
      <c r="A1570" s="28">
        <v>46281</v>
      </c>
      <c r="B1570" s="29" t="str">
        <f t="shared" si="173"/>
        <v>SETEMBRO</v>
      </c>
      <c r="C1570" s="12" t="s">
        <v>17</v>
      </c>
      <c r="D1570" s="12" t="s">
        <v>12</v>
      </c>
      <c r="E1570" s="30">
        <v>330</v>
      </c>
      <c r="F1570" s="30">
        <v>361</v>
      </c>
      <c r="G1570" s="29">
        <v>15</v>
      </c>
      <c r="H1570" s="31">
        <v>15</v>
      </c>
      <c r="I1570" s="29">
        <f>IFERROR(IF(T_PROD[[#This Row],[PREVISTO]]-T_PROD[[#This Row],[EFETIVO]]&lt; 0,0,T_PROD[[#This Row],[PREVISTO]]-T_PROD[[#This Row],[EFETIVO]] ),"")</f>
        <v>0</v>
      </c>
      <c r="J1570" s="32">
        <f>IFERROR(IF(T_PROD[[#This Row],[META]]&gt;0,(T_PROD[[#This Row],[META]]/T_PROD[[#This Row],[PREVISTO]]),""),"")</f>
        <v>22</v>
      </c>
      <c r="K1570" s="32">
        <f>IFERROR(IF(T_PROD[[#This Row],[PRODUÇÃO]]&gt;0,(T_PROD[[#This Row],[PRODUÇÃO]]/T_PROD[[#This Row],[EFETIVO]]),""),"")</f>
        <v>24.066666666666666</v>
      </c>
    </row>
    <row r="1571" spans="1:11" x14ac:dyDescent="0.3">
      <c r="A1571" s="28">
        <v>46281</v>
      </c>
      <c r="B1571" s="29" t="str">
        <f t="shared" si="173"/>
        <v>SETEMBRO</v>
      </c>
      <c r="C1571" s="12" t="s">
        <v>18</v>
      </c>
      <c r="D1571" s="12" t="s">
        <v>12</v>
      </c>
      <c r="E1571" s="30"/>
      <c r="F1571" s="30"/>
      <c r="G1571" s="29"/>
      <c r="H1571" s="31"/>
      <c r="I1571" s="29">
        <f>IFERROR(IF(T_PROD[[#This Row],[PREVISTO]]-T_PROD[[#This Row],[EFETIVO]]&lt; 0,0,T_PROD[[#This Row],[PREVISTO]]-T_PROD[[#This Row],[EFETIVO]] ),"")</f>
        <v>0</v>
      </c>
      <c r="J1571" s="32" t="str">
        <f>IFERROR(IF(T_PROD[[#This Row],[META]]&gt;0,(T_PROD[[#This Row],[META]]/T_PROD[[#This Row],[PREVISTO]]),""),"")</f>
        <v/>
      </c>
      <c r="K1571" s="32" t="str">
        <f>IFERROR(IF(T_PROD[[#This Row],[PRODUÇÃO]]&gt;0,(T_PROD[[#This Row],[PRODUÇÃO]]/T_PROD[[#This Row],[EFETIVO]]),""),"")</f>
        <v/>
      </c>
    </row>
    <row r="1572" spans="1:11" x14ac:dyDescent="0.3">
      <c r="A1572" s="28">
        <v>46281</v>
      </c>
      <c r="B1572" s="29" t="str">
        <f t="shared" si="173"/>
        <v>SETEMBRO</v>
      </c>
      <c r="C1572" s="12" t="s">
        <v>19</v>
      </c>
      <c r="D1572" s="12" t="s">
        <v>12</v>
      </c>
      <c r="E1572" s="30"/>
      <c r="F1572" s="30"/>
      <c r="G1572" s="29"/>
      <c r="H1572" s="31"/>
      <c r="I1572" s="29">
        <f>IFERROR(IF(T_PROD[[#This Row],[PREVISTO]]-T_PROD[[#This Row],[EFETIVO]]&lt; 0,0,T_PROD[[#This Row],[PREVISTO]]-T_PROD[[#This Row],[EFETIVO]] ),"")</f>
        <v>0</v>
      </c>
      <c r="J1572" s="32" t="str">
        <f>IFERROR(IF(T_PROD[[#This Row],[META]]&gt;0,(T_PROD[[#This Row],[META]]/T_PROD[[#This Row],[PREVISTO]]),""),"")</f>
        <v/>
      </c>
      <c r="K1572" s="32" t="str">
        <f>IFERROR(IF(T_PROD[[#This Row],[PRODUÇÃO]]&gt;0,(T_PROD[[#This Row],[PRODUÇÃO]]/T_PROD[[#This Row],[EFETIVO]]),""),"")</f>
        <v/>
      </c>
    </row>
    <row r="1573" spans="1:11" x14ac:dyDescent="0.3">
      <c r="A1573" s="28">
        <v>46281</v>
      </c>
      <c r="B1573" s="29" t="str">
        <f t="shared" si="173"/>
        <v>SETEMBRO</v>
      </c>
      <c r="C1573" s="12" t="s">
        <v>20</v>
      </c>
      <c r="D1573" s="12" t="s">
        <v>12</v>
      </c>
      <c r="E1573" s="30">
        <v>692</v>
      </c>
      <c r="F1573" s="30">
        <v>677</v>
      </c>
      <c r="G1573" s="29">
        <v>100</v>
      </c>
      <c r="H1573" s="31">
        <v>98</v>
      </c>
      <c r="I1573" s="29">
        <f>IFERROR(IF(T_PROD[[#This Row],[PREVISTO]]-T_PROD[[#This Row],[EFETIVO]]&lt; 0,0,T_PROD[[#This Row],[PREVISTO]]-T_PROD[[#This Row],[EFETIVO]] ),"")</f>
        <v>2</v>
      </c>
      <c r="J1573" s="32">
        <f>IFERROR(IF(T_PROD[[#This Row],[META]]&gt;0,(T_PROD[[#This Row],[META]]/T_PROD[[#This Row],[PREVISTO]]),""),"")</f>
        <v>6.92</v>
      </c>
      <c r="K1573" s="32">
        <f>IFERROR(IF(T_PROD[[#This Row],[PRODUÇÃO]]&gt;0,(T_PROD[[#This Row],[PRODUÇÃO]]/T_PROD[[#This Row],[EFETIVO]]),""),"")</f>
        <v>6.908163265306122</v>
      </c>
    </row>
    <row r="1574" spans="1:11" x14ac:dyDescent="0.3">
      <c r="A1574" s="28">
        <v>46281</v>
      </c>
      <c r="B1574" s="29" t="str">
        <f t="shared" si="173"/>
        <v>SETEMBRO</v>
      </c>
      <c r="C1574" s="12" t="s">
        <v>11</v>
      </c>
      <c r="D1574" s="12" t="s">
        <v>12</v>
      </c>
      <c r="E1574" s="30">
        <v>760</v>
      </c>
      <c r="F1574" s="30">
        <v>590</v>
      </c>
      <c r="G1574" s="29">
        <v>38</v>
      </c>
      <c r="H1574" s="31">
        <v>38</v>
      </c>
      <c r="I1574" s="29">
        <f>IFERROR(IF(T_PROD[[#This Row],[PREVISTO]]-T_PROD[[#This Row],[EFETIVO]]&lt; 0,0,T_PROD[[#This Row],[PREVISTO]]-T_PROD[[#This Row],[EFETIVO]] ),"")</f>
        <v>0</v>
      </c>
      <c r="J1574" s="32">
        <f>IFERROR(IF(T_PROD[[#This Row],[META]]&gt;0,(T_PROD[[#This Row],[META]]/T_PROD[[#This Row],[PREVISTO]]),""),"")</f>
        <v>20</v>
      </c>
      <c r="K1574" s="32">
        <f>IFERROR(IF(T_PROD[[#This Row],[PRODUÇÃO]]&gt;0,(T_PROD[[#This Row],[PRODUÇÃO]]/T_PROD[[#This Row],[EFETIVO]]),""),"")</f>
        <v>15.526315789473685</v>
      </c>
    </row>
    <row r="1575" spans="1:11" x14ac:dyDescent="0.3">
      <c r="A1575" s="28">
        <v>46281</v>
      </c>
      <c r="B1575" s="29" t="str">
        <f t="shared" si="173"/>
        <v>SETEMBRO</v>
      </c>
      <c r="C1575" s="12" t="s">
        <v>32</v>
      </c>
      <c r="D1575" s="12" t="s">
        <v>12</v>
      </c>
      <c r="E1575" s="30">
        <v>99</v>
      </c>
      <c r="F1575" s="30">
        <v>105</v>
      </c>
      <c r="G1575" s="29">
        <v>9</v>
      </c>
      <c r="H1575" s="31">
        <v>9</v>
      </c>
      <c r="I1575" s="29">
        <f>IFERROR(IF(T_PROD[[#This Row],[PREVISTO]]-T_PROD[[#This Row],[EFETIVO]]&lt; 0,0,T_PROD[[#This Row],[PREVISTO]]-T_PROD[[#This Row],[EFETIVO]] ),"")</f>
        <v>0</v>
      </c>
      <c r="J1575" s="32">
        <f>IFERROR(IF(T_PROD[[#This Row],[META]]&gt;0,(T_PROD[[#This Row],[META]]/T_PROD[[#This Row],[PREVISTO]]),""),"")</f>
        <v>11</v>
      </c>
      <c r="K1575" s="32">
        <f>IFERROR(IF(T_PROD[[#This Row],[PRODUÇÃO]]&gt;0,(T_PROD[[#This Row],[PRODUÇÃO]]/T_PROD[[#This Row],[EFETIVO]]),""),"")</f>
        <v>11.666666666666666</v>
      </c>
    </row>
    <row r="1576" spans="1:11" x14ac:dyDescent="0.3">
      <c r="A1576" s="28">
        <v>46281</v>
      </c>
      <c r="B1576" s="29" t="str">
        <f t="shared" si="173"/>
        <v>SETEMBRO</v>
      </c>
      <c r="C1576" s="12" t="s">
        <v>14</v>
      </c>
      <c r="D1576" s="12" t="s">
        <v>12</v>
      </c>
      <c r="E1576" s="30">
        <v>859</v>
      </c>
      <c r="F1576" s="30">
        <v>695</v>
      </c>
      <c r="G1576" s="29">
        <v>95</v>
      </c>
      <c r="H1576" s="31">
        <v>93</v>
      </c>
      <c r="I1576" s="29">
        <f>IFERROR(IF(T_PROD[[#This Row],[PREVISTO]]-T_PROD[[#This Row],[EFETIVO]]&lt; 0,0,T_PROD[[#This Row],[PREVISTO]]-T_PROD[[#This Row],[EFETIVO]] ),"")</f>
        <v>2</v>
      </c>
      <c r="J1576" s="32">
        <f>IFERROR(IF(T_PROD[[#This Row],[META]]&gt;0,(T_PROD[[#This Row],[META]]/T_PROD[[#This Row],[PREVISTO]]),""),"")</f>
        <v>9.0421052631578949</v>
      </c>
      <c r="K1576" s="32">
        <f>IFERROR(IF(T_PROD[[#This Row],[PRODUÇÃO]]&gt;0,(T_PROD[[#This Row],[PRODUÇÃO]]/T_PROD[[#This Row],[EFETIVO]]),""),"")</f>
        <v>7.4731182795698921</v>
      </c>
    </row>
    <row r="1577" spans="1:11" x14ac:dyDescent="0.3">
      <c r="A1577" s="28">
        <v>46282</v>
      </c>
      <c r="B1577" s="29" t="str">
        <f>UPPER(TEXT(A1577,"MMMM"))</f>
        <v>SETEMBRO</v>
      </c>
      <c r="C1577" s="6" t="s">
        <v>15</v>
      </c>
      <c r="D1577" s="12" t="s">
        <v>12</v>
      </c>
      <c r="E1577" s="30">
        <v>82.5</v>
      </c>
      <c r="F1577" s="30">
        <v>56</v>
      </c>
      <c r="G1577" s="29">
        <v>5.5</v>
      </c>
      <c r="H1577" s="31">
        <v>5.5</v>
      </c>
      <c r="I1577" s="29">
        <f>IFERROR(IF(T_PROD[[#This Row],[PREVISTO]]-T_PROD[[#This Row],[EFETIVO]]&lt; 0,0,T_PROD[[#This Row],[PREVISTO]]-T_PROD[[#This Row],[EFETIVO]] ),"")</f>
        <v>0</v>
      </c>
      <c r="J1577" s="32">
        <f>IFERROR(IF(T_PROD[[#This Row],[META]]&gt;0,(T_PROD[[#This Row],[META]]/T_PROD[[#This Row],[PREVISTO]]),""),"")</f>
        <v>15</v>
      </c>
      <c r="K1577" s="32">
        <f>IFERROR(IF(T_PROD[[#This Row],[PRODUÇÃO]]&gt;0,(T_PROD[[#This Row],[PRODUÇÃO]]/T_PROD[[#This Row],[EFETIVO]]),""),"")</f>
        <v>10.181818181818182</v>
      </c>
    </row>
    <row r="1578" spans="1:11" x14ac:dyDescent="0.3">
      <c r="A1578" s="28">
        <v>46282</v>
      </c>
      <c r="B1578" s="29" t="str">
        <f t="shared" ref="B1578:B1585" si="174">UPPER(TEXT(A1578,"MMMM"))</f>
        <v>SETEMBRO</v>
      </c>
      <c r="C1578" s="12" t="s">
        <v>16</v>
      </c>
      <c r="D1578" s="12" t="s">
        <v>12</v>
      </c>
      <c r="E1578" s="30">
        <v>255</v>
      </c>
      <c r="F1578" s="30">
        <v>246</v>
      </c>
      <c r="G1578" s="29">
        <v>7.5</v>
      </c>
      <c r="H1578" s="31">
        <v>7.5</v>
      </c>
      <c r="I1578" s="29">
        <f>IFERROR(IF(T_PROD[[#This Row],[PREVISTO]]-T_PROD[[#This Row],[EFETIVO]]&lt; 0,0,T_PROD[[#This Row],[PREVISTO]]-T_PROD[[#This Row],[EFETIVO]] ),"")</f>
        <v>0</v>
      </c>
      <c r="J1578" s="32">
        <f>IFERROR(IF(T_PROD[[#This Row],[META]]&gt;0,(T_PROD[[#This Row],[META]]/T_PROD[[#This Row],[PREVISTO]]),""),"")</f>
        <v>34</v>
      </c>
      <c r="K1578" s="32">
        <f>IFERROR(IF(T_PROD[[#This Row],[PRODUÇÃO]]&gt;0,(T_PROD[[#This Row],[PRODUÇÃO]]/T_PROD[[#This Row],[EFETIVO]]),""),"")</f>
        <v>32.799999999999997</v>
      </c>
    </row>
    <row r="1579" spans="1:11" x14ac:dyDescent="0.3">
      <c r="A1579" s="28">
        <v>46282</v>
      </c>
      <c r="B1579" s="29" t="str">
        <f t="shared" si="174"/>
        <v>SETEMBRO</v>
      </c>
      <c r="C1579" s="12" t="s">
        <v>17</v>
      </c>
      <c r="D1579" s="12" t="s">
        <v>12</v>
      </c>
      <c r="E1579" s="30">
        <v>352</v>
      </c>
      <c r="F1579" s="30">
        <v>319</v>
      </c>
      <c r="G1579" s="29">
        <v>16</v>
      </c>
      <c r="H1579" s="31">
        <v>16</v>
      </c>
      <c r="I1579" s="29">
        <f>IFERROR(IF(T_PROD[[#This Row],[PREVISTO]]-T_PROD[[#This Row],[EFETIVO]]&lt; 0,0,T_PROD[[#This Row],[PREVISTO]]-T_PROD[[#This Row],[EFETIVO]] ),"")</f>
        <v>0</v>
      </c>
      <c r="J1579" s="32">
        <f>IFERROR(IF(T_PROD[[#This Row],[META]]&gt;0,(T_PROD[[#This Row],[META]]/T_PROD[[#This Row],[PREVISTO]]),""),"")</f>
        <v>22</v>
      </c>
      <c r="K1579" s="32">
        <f>IFERROR(IF(T_PROD[[#This Row],[PRODUÇÃO]]&gt;0,(T_PROD[[#This Row],[PRODUÇÃO]]/T_PROD[[#This Row],[EFETIVO]]),""),"")</f>
        <v>19.9375</v>
      </c>
    </row>
    <row r="1580" spans="1:11" x14ac:dyDescent="0.3">
      <c r="A1580" s="28">
        <v>46282</v>
      </c>
      <c r="B1580" s="29" t="str">
        <f t="shared" si="174"/>
        <v>SETEMBRO</v>
      </c>
      <c r="C1580" s="12" t="s">
        <v>18</v>
      </c>
      <c r="D1580" s="12" t="s">
        <v>12</v>
      </c>
      <c r="E1580" s="30"/>
      <c r="F1580" s="30"/>
      <c r="G1580" s="29"/>
      <c r="H1580" s="31"/>
      <c r="I1580" s="29">
        <f>IFERROR(IF(T_PROD[[#This Row],[PREVISTO]]-T_PROD[[#This Row],[EFETIVO]]&lt; 0,0,T_PROD[[#This Row],[PREVISTO]]-T_PROD[[#This Row],[EFETIVO]] ),"")</f>
        <v>0</v>
      </c>
      <c r="J1580" s="32" t="str">
        <f>IFERROR(IF(T_PROD[[#This Row],[META]]&gt;0,(T_PROD[[#This Row],[META]]/T_PROD[[#This Row],[PREVISTO]]),""),"")</f>
        <v/>
      </c>
      <c r="K1580" s="32" t="str">
        <f>IFERROR(IF(T_PROD[[#This Row],[PRODUÇÃO]]&gt;0,(T_PROD[[#This Row],[PRODUÇÃO]]/T_PROD[[#This Row],[EFETIVO]]),""),"")</f>
        <v/>
      </c>
    </row>
    <row r="1581" spans="1:11" x14ac:dyDescent="0.3">
      <c r="A1581" s="28">
        <v>46282</v>
      </c>
      <c r="B1581" s="29" t="str">
        <f t="shared" si="174"/>
        <v>SETEMBRO</v>
      </c>
      <c r="C1581" s="12" t="s">
        <v>19</v>
      </c>
      <c r="D1581" s="12" t="s">
        <v>12</v>
      </c>
      <c r="E1581" s="30"/>
      <c r="F1581" s="30"/>
      <c r="G1581" s="29"/>
      <c r="H1581" s="31"/>
      <c r="I1581" s="29">
        <f>IFERROR(IF(T_PROD[[#This Row],[PREVISTO]]-T_PROD[[#This Row],[EFETIVO]]&lt; 0,0,T_PROD[[#This Row],[PREVISTO]]-T_PROD[[#This Row],[EFETIVO]] ),"")</f>
        <v>0</v>
      </c>
      <c r="J1581" s="32" t="str">
        <f>IFERROR(IF(T_PROD[[#This Row],[META]]&gt;0,(T_PROD[[#This Row],[META]]/T_PROD[[#This Row],[PREVISTO]]),""),"")</f>
        <v/>
      </c>
      <c r="K1581" s="32" t="str">
        <f>IFERROR(IF(T_PROD[[#This Row],[PRODUÇÃO]]&gt;0,(T_PROD[[#This Row],[PRODUÇÃO]]/T_PROD[[#This Row],[EFETIVO]]),""),"")</f>
        <v/>
      </c>
    </row>
    <row r="1582" spans="1:11" x14ac:dyDescent="0.3">
      <c r="A1582" s="28">
        <v>46282</v>
      </c>
      <c r="B1582" s="29" t="str">
        <f t="shared" si="174"/>
        <v>SETEMBRO</v>
      </c>
      <c r="C1582" s="12" t="s">
        <v>20</v>
      </c>
      <c r="D1582" s="12" t="s">
        <v>12</v>
      </c>
      <c r="E1582" s="30">
        <v>690</v>
      </c>
      <c r="F1582" s="30">
        <v>621</v>
      </c>
      <c r="G1582" s="29">
        <v>100</v>
      </c>
      <c r="H1582" s="31">
        <v>100</v>
      </c>
      <c r="I1582" s="29">
        <f>IFERROR(IF(T_PROD[[#This Row],[PREVISTO]]-T_PROD[[#This Row],[EFETIVO]]&lt; 0,0,T_PROD[[#This Row],[PREVISTO]]-T_PROD[[#This Row],[EFETIVO]] ),"")</f>
        <v>0</v>
      </c>
      <c r="J1582" s="32">
        <f>IFERROR(IF(T_PROD[[#This Row],[META]]&gt;0,(T_PROD[[#This Row],[META]]/T_PROD[[#This Row],[PREVISTO]]),""),"")</f>
        <v>6.9</v>
      </c>
      <c r="K1582" s="32">
        <f>IFERROR(IF(T_PROD[[#This Row],[PRODUÇÃO]]&gt;0,(T_PROD[[#This Row],[PRODUÇÃO]]/T_PROD[[#This Row],[EFETIVO]]),""),"")</f>
        <v>6.21</v>
      </c>
    </row>
    <row r="1583" spans="1:11" x14ac:dyDescent="0.3">
      <c r="A1583" s="28">
        <v>46282</v>
      </c>
      <c r="B1583" s="29" t="str">
        <f t="shared" si="174"/>
        <v>SETEMBRO</v>
      </c>
      <c r="C1583" s="12" t="s">
        <v>11</v>
      </c>
      <c r="D1583" s="12" t="s">
        <v>12</v>
      </c>
      <c r="E1583" s="30">
        <v>800</v>
      </c>
      <c r="F1583" s="30">
        <v>850</v>
      </c>
      <c r="G1583" s="29">
        <v>40</v>
      </c>
      <c r="H1583" s="31">
        <v>40</v>
      </c>
      <c r="I1583" s="29">
        <f>IFERROR(IF(T_PROD[[#This Row],[PREVISTO]]-T_PROD[[#This Row],[EFETIVO]]&lt; 0,0,T_PROD[[#This Row],[PREVISTO]]-T_PROD[[#This Row],[EFETIVO]] ),"")</f>
        <v>0</v>
      </c>
      <c r="J1583" s="32">
        <f>IFERROR(IF(T_PROD[[#This Row],[META]]&gt;0,(T_PROD[[#This Row],[META]]/T_PROD[[#This Row],[PREVISTO]]),""),"")</f>
        <v>20</v>
      </c>
      <c r="K1583" s="32">
        <f>IFERROR(IF(T_PROD[[#This Row],[PRODUÇÃO]]&gt;0,(T_PROD[[#This Row],[PRODUÇÃO]]/T_PROD[[#This Row],[EFETIVO]]),""),"")</f>
        <v>21.25</v>
      </c>
    </row>
    <row r="1584" spans="1:11" x14ac:dyDescent="0.3">
      <c r="A1584" s="28">
        <v>46282</v>
      </c>
      <c r="B1584" s="29" t="str">
        <f t="shared" si="174"/>
        <v>SETEMBRO</v>
      </c>
      <c r="C1584" s="12" t="s">
        <v>32</v>
      </c>
      <c r="D1584" s="12" t="s">
        <v>12</v>
      </c>
      <c r="E1584" s="30">
        <v>77</v>
      </c>
      <c r="F1584" s="30">
        <v>80</v>
      </c>
      <c r="G1584" s="29">
        <v>7</v>
      </c>
      <c r="H1584" s="31">
        <v>7</v>
      </c>
      <c r="I1584" s="29">
        <f>IFERROR(IF(T_PROD[[#This Row],[PREVISTO]]-T_PROD[[#This Row],[EFETIVO]]&lt; 0,0,T_PROD[[#This Row],[PREVISTO]]-T_PROD[[#This Row],[EFETIVO]] ),"")</f>
        <v>0</v>
      </c>
      <c r="J1584" s="32">
        <f>IFERROR(IF(T_PROD[[#This Row],[META]]&gt;0,(T_PROD[[#This Row],[META]]/T_PROD[[#This Row],[PREVISTO]]),""),"")</f>
        <v>11</v>
      </c>
      <c r="K1584" s="32">
        <f>IFERROR(IF(T_PROD[[#This Row],[PRODUÇÃO]]&gt;0,(T_PROD[[#This Row],[PRODUÇÃO]]/T_PROD[[#This Row],[EFETIVO]]),""),"")</f>
        <v>11.428571428571429</v>
      </c>
    </row>
    <row r="1585" spans="1:11" x14ac:dyDescent="0.3">
      <c r="A1585" s="28">
        <v>46282</v>
      </c>
      <c r="B1585" s="29" t="str">
        <f t="shared" si="174"/>
        <v>SETEMBRO</v>
      </c>
      <c r="C1585" s="12" t="s">
        <v>14</v>
      </c>
      <c r="D1585" s="12" t="s">
        <v>12</v>
      </c>
      <c r="E1585" s="30">
        <v>877</v>
      </c>
      <c r="F1585" s="30">
        <v>930</v>
      </c>
      <c r="G1585" s="29">
        <v>100</v>
      </c>
      <c r="H1585" s="31">
        <v>100</v>
      </c>
      <c r="I1585" s="29">
        <f>IFERROR(IF(T_PROD[[#This Row],[PREVISTO]]-T_PROD[[#This Row],[EFETIVO]]&lt; 0,0,T_PROD[[#This Row],[PREVISTO]]-T_PROD[[#This Row],[EFETIVO]] ),"")</f>
        <v>0</v>
      </c>
      <c r="J1585" s="32">
        <f>IFERROR(IF(T_PROD[[#This Row],[META]]&gt;0,(T_PROD[[#This Row],[META]]/T_PROD[[#This Row],[PREVISTO]]),""),"")</f>
        <v>8.77</v>
      </c>
      <c r="K1585" s="32">
        <f>IFERROR(IF(T_PROD[[#This Row],[PRODUÇÃO]]&gt;0,(T_PROD[[#This Row],[PRODUÇÃO]]/T_PROD[[#This Row],[EFETIVO]]),""),"")</f>
        <v>9.3000000000000007</v>
      </c>
    </row>
    <row r="1586" spans="1:11" x14ac:dyDescent="0.3">
      <c r="A1586" s="28">
        <v>46283</v>
      </c>
      <c r="B1586" s="29" t="str">
        <f>UPPER(TEXT(A1586,"MMMM"))</f>
        <v>SETEMBRO</v>
      </c>
      <c r="C1586" s="6" t="s">
        <v>15</v>
      </c>
      <c r="D1586" s="12" t="s">
        <v>12</v>
      </c>
      <c r="E1586" s="30"/>
      <c r="F1586" s="30"/>
      <c r="G1586" s="29"/>
      <c r="H1586" s="31"/>
      <c r="I1586" s="29">
        <f>IFERROR(IF(T_PROD[[#This Row],[PREVISTO]]-T_PROD[[#This Row],[EFETIVO]]&lt; 0,0,T_PROD[[#This Row],[PREVISTO]]-T_PROD[[#This Row],[EFETIVO]] ),"")</f>
        <v>0</v>
      </c>
      <c r="J1586" s="32" t="str">
        <f>IFERROR(IF(T_PROD[[#This Row],[META]]&gt;0,(T_PROD[[#This Row],[META]]/T_PROD[[#This Row],[PREVISTO]]),""),"")</f>
        <v/>
      </c>
      <c r="K1586" s="32" t="str">
        <f>IFERROR(IF(T_PROD[[#This Row],[PRODUÇÃO]]&gt;0,(T_PROD[[#This Row],[PRODUÇÃO]]/T_PROD[[#This Row],[EFETIVO]]),""),"")</f>
        <v/>
      </c>
    </row>
    <row r="1587" spans="1:11" x14ac:dyDescent="0.3">
      <c r="A1587" s="28">
        <v>46283</v>
      </c>
      <c r="B1587" s="29" t="str">
        <f t="shared" ref="B1587:B1594" si="175">UPPER(TEXT(A1587,"MMMM"))</f>
        <v>SETEMBRO</v>
      </c>
      <c r="C1587" s="12" t="s">
        <v>16</v>
      </c>
      <c r="D1587" s="12" t="s">
        <v>12</v>
      </c>
      <c r="E1587" s="30"/>
      <c r="F1587" s="30"/>
      <c r="G1587" s="29"/>
      <c r="H1587" s="31"/>
      <c r="I1587" s="29">
        <f>IFERROR(IF(T_PROD[[#This Row],[PREVISTO]]-T_PROD[[#This Row],[EFETIVO]]&lt; 0,0,T_PROD[[#This Row],[PREVISTO]]-T_PROD[[#This Row],[EFETIVO]] ),"")</f>
        <v>0</v>
      </c>
      <c r="J1587" s="32" t="str">
        <f>IFERROR(IF(T_PROD[[#This Row],[META]]&gt;0,(T_PROD[[#This Row],[META]]/T_PROD[[#This Row],[PREVISTO]]),""),"")</f>
        <v/>
      </c>
      <c r="K1587" s="32" t="str">
        <f>IFERROR(IF(T_PROD[[#This Row],[PRODUÇÃO]]&gt;0,(T_PROD[[#This Row],[PRODUÇÃO]]/T_PROD[[#This Row],[EFETIVO]]),""),"")</f>
        <v/>
      </c>
    </row>
    <row r="1588" spans="1:11" x14ac:dyDescent="0.3">
      <c r="A1588" s="28">
        <v>46283</v>
      </c>
      <c r="B1588" s="29" t="str">
        <f t="shared" si="175"/>
        <v>SETEMBRO</v>
      </c>
      <c r="C1588" s="12" t="s">
        <v>17</v>
      </c>
      <c r="D1588" s="12" t="s">
        <v>12</v>
      </c>
      <c r="E1588" s="30"/>
      <c r="F1588" s="30"/>
      <c r="G1588" s="29"/>
      <c r="H1588" s="31"/>
      <c r="I1588" s="29">
        <f>IFERROR(IF(T_PROD[[#This Row],[PREVISTO]]-T_PROD[[#This Row],[EFETIVO]]&lt; 0,0,T_PROD[[#This Row],[PREVISTO]]-T_PROD[[#This Row],[EFETIVO]] ),"")</f>
        <v>0</v>
      </c>
      <c r="J1588" s="32" t="str">
        <f>IFERROR(IF(T_PROD[[#This Row],[META]]&gt;0,(T_PROD[[#This Row],[META]]/T_PROD[[#This Row],[PREVISTO]]),""),"")</f>
        <v/>
      </c>
      <c r="K1588" s="32" t="str">
        <f>IFERROR(IF(T_PROD[[#This Row],[PRODUÇÃO]]&gt;0,(T_PROD[[#This Row],[PRODUÇÃO]]/T_PROD[[#This Row],[EFETIVO]]),""),"")</f>
        <v/>
      </c>
    </row>
    <row r="1589" spans="1:11" x14ac:dyDescent="0.3">
      <c r="A1589" s="28">
        <v>46283</v>
      </c>
      <c r="B1589" s="29" t="str">
        <f t="shared" si="175"/>
        <v>SETEMBRO</v>
      </c>
      <c r="C1589" s="12" t="s">
        <v>18</v>
      </c>
      <c r="D1589" s="12" t="s">
        <v>12</v>
      </c>
      <c r="E1589" s="30"/>
      <c r="F1589" s="30"/>
      <c r="G1589" s="29"/>
      <c r="H1589" s="31"/>
      <c r="I1589" s="29">
        <f>IFERROR(IF(T_PROD[[#This Row],[PREVISTO]]-T_PROD[[#This Row],[EFETIVO]]&lt; 0,0,T_PROD[[#This Row],[PREVISTO]]-T_PROD[[#This Row],[EFETIVO]] ),"")</f>
        <v>0</v>
      </c>
      <c r="J1589" s="32" t="str">
        <f>IFERROR(IF(T_PROD[[#This Row],[META]]&gt;0,(T_PROD[[#This Row],[META]]/T_PROD[[#This Row],[PREVISTO]]),""),"")</f>
        <v/>
      </c>
      <c r="K1589" s="32" t="str">
        <f>IFERROR(IF(T_PROD[[#This Row],[PRODUÇÃO]]&gt;0,(T_PROD[[#This Row],[PRODUÇÃO]]/T_PROD[[#This Row],[EFETIVO]]),""),"")</f>
        <v/>
      </c>
    </row>
    <row r="1590" spans="1:11" x14ac:dyDescent="0.3">
      <c r="A1590" s="28">
        <v>46283</v>
      </c>
      <c r="B1590" s="29" t="str">
        <f t="shared" si="175"/>
        <v>SETEMBRO</v>
      </c>
      <c r="C1590" s="12" t="s">
        <v>19</v>
      </c>
      <c r="D1590" s="12" t="s">
        <v>12</v>
      </c>
      <c r="E1590" s="30"/>
      <c r="F1590" s="30"/>
      <c r="G1590" s="29"/>
      <c r="H1590" s="31"/>
      <c r="I1590" s="29">
        <f>IFERROR(IF(T_PROD[[#This Row],[PREVISTO]]-T_PROD[[#This Row],[EFETIVO]]&lt; 0,0,T_PROD[[#This Row],[PREVISTO]]-T_PROD[[#This Row],[EFETIVO]] ),"")</f>
        <v>0</v>
      </c>
      <c r="J1590" s="32" t="str">
        <f>IFERROR(IF(T_PROD[[#This Row],[META]]&gt;0,(T_PROD[[#This Row],[META]]/T_PROD[[#This Row],[PREVISTO]]),""),"")</f>
        <v/>
      </c>
      <c r="K1590" s="32" t="str">
        <f>IFERROR(IF(T_PROD[[#This Row],[PRODUÇÃO]]&gt;0,(T_PROD[[#This Row],[PRODUÇÃO]]/T_PROD[[#This Row],[EFETIVO]]),""),"")</f>
        <v/>
      </c>
    </row>
    <row r="1591" spans="1:11" x14ac:dyDescent="0.3">
      <c r="A1591" s="28">
        <v>46283</v>
      </c>
      <c r="B1591" s="29" t="str">
        <f t="shared" si="175"/>
        <v>SETEMBRO</v>
      </c>
      <c r="C1591" s="12" t="s">
        <v>20</v>
      </c>
      <c r="D1591" s="12" t="s">
        <v>12</v>
      </c>
      <c r="E1591" s="30"/>
      <c r="F1591" s="30"/>
      <c r="G1591" s="29"/>
      <c r="H1591" s="31"/>
      <c r="I1591" s="29">
        <f>IFERROR(IF(T_PROD[[#This Row],[PREVISTO]]-T_PROD[[#This Row],[EFETIVO]]&lt; 0,0,T_PROD[[#This Row],[PREVISTO]]-T_PROD[[#This Row],[EFETIVO]] ),"")</f>
        <v>0</v>
      </c>
      <c r="J1591" s="32" t="str">
        <f>IFERROR(IF(T_PROD[[#This Row],[META]]&gt;0,(T_PROD[[#This Row],[META]]/T_PROD[[#This Row],[PREVISTO]]),""),"")</f>
        <v/>
      </c>
      <c r="K1591" s="32" t="str">
        <f>IFERROR(IF(T_PROD[[#This Row],[PRODUÇÃO]]&gt;0,(T_PROD[[#This Row],[PRODUÇÃO]]/T_PROD[[#This Row],[EFETIVO]]),""),"")</f>
        <v/>
      </c>
    </row>
    <row r="1592" spans="1:11" x14ac:dyDescent="0.3">
      <c r="A1592" s="28">
        <v>46283</v>
      </c>
      <c r="B1592" s="29" t="str">
        <f t="shared" si="175"/>
        <v>SETEMBRO</v>
      </c>
      <c r="C1592" s="12" t="s">
        <v>11</v>
      </c>
      <c r="D1592" s="12" t="s">
        <v>12</v>
      </c>
      <c r="E1592" s="30">
        <v>640</v>
      </c>
      <c r="F1592" s="30">
        <v>635</v>
      </c>
      <c r="G1592" s="29">
        <v>32</v>
      </c>
      <c r="H1592" s="31">
        <v>32</v>
      </c>
      <c r="I1592" s="29">
        <f>IFERROR(IF(T_PROD[[#This Row],[PREVISTO]]-T_PROD[[#This Row],[EFETIVO]]&lt; 0,0,T_PROD[[#This Row],[PREVISTO]]-T_PROD[[#This Row],[EFETIVO]] ),"")</f>
        <v>0</v>
      </c>
      <c r="J1592" s="32">
        <f>IFERROR(IF(T_PROD[[#This Row],[META]]&gt;0,(T_PROD[[#This Row],[META]]/T_PROD[[#This Row],[PREVISTO]]),""),"")</f>
        <v>20</v>
      </c>
      <c r="K1592" s="32">
        <f>IFERROR(IF(T_PROD[[#This Row],[PRODUÇÃO]]&gt;0,(T_PROD[[#This Row],[PRODUÇÃO]]/T_PROD[[#This Row],[EFETIVO]]),""),"")</f>
        <v>19.84375</v>
      </c>
    </row>
    <row r="1593" spans="1:11" x14ac:dyDescent="0.3">
      <c r="A1593" s="28">
        <v>46283</v>
      </c>
      <c r="B1593" s="29" t="str">
        <f t="shared" si="175"/>
        <v>SETEMBRO</v>
      </c>
      <c r="C1593" s="12" t="s">
        <v>32</v>
      </c>
      <c r="D1593" s="12" t="s">
        <v>12</v>
      </c>
      <c r="E1593" s="30">
        <v>55</v>
      </c>
      <c r="F1593" s="30">
        <v>46</v>
      </c>
      <c r="G1593" s="29">
        <v>5</v>
      </c>
      <c r="H1593" s="31">
        <v>5</v>
      </c>
      <c r="I1593" s="29">
        <f>IFERROR(IF(T_PROD[[#This Row],[PREVISTO]]-T_PROD[[#This Row],[EFETIVO]]&lt; 0,0,T_PROD[[#This Row],[PREVISTO]]-T_PROD[[#This Row],[EFETIVO]] ),"")</f>
        <v>0</v>
      </c>
      <c r="J1593" s="32">
        <f>IFERROR(IF(T_PROD[[#This Row],[META]]&gt;0,(T_PROD[[#This Row],[META]]/T_PROD[[#This Row],[PREVISTO]]),""),"")</f>
        <v>11</v>
      </c>
      <c r="K1593" s="32">
        <f>IFERROR(IF(T_PROD[[#This Row],[PRODUÇÃO]]&gt;0,(T_PROD[[#This Row],[PRODUÇÃO]]/T_PROD[[#This Row],[EFETIVO]]),""),"")</f>
        <v>9.1999999999999993</v>
      </c>
    </row>
    <row r="1594" spans="1:11" x14ac:dyDescent="0.3">
      <c r="A1594" s="28">
        <v>46283</v>
      </c>
      <c r="B1594" s="29" t="str">
        <f t="shared" si="175"/>
        <v>SETEMBRO</v>
      </c>
      <c r="C1594" s="12" t="s">
        <v>14</v>
      </c>
      <c r="D1594" s="12" t="s">
        <v>12</v>
      </c>
      <c r="E1594" s="30">
        <v>695</v>
      </c>
      <c r="F1594" s="30">
        <v>681</v>
      </c>
      <c r="G1594" s="29">
        <v>80</v>
      </c>
      <c r="H1594" s="31">
        <v>79</v>
      </c>
      <c r="I1594" s="29">
        <f>IFERROR(IF(T_PROD[[#This Row],[PREVISTO]]-T_PROD[[#This Row],[EFETIVO]]&lt; 0,0,T_PROD[[#This Row],[PREVISTO]]-T_PROD[[#This Row],[EFETIVO]] ),"")</f>
        <v>1</v>
      </c>
      <c r="J1594" s="32">
        <f>IFERROR(IF(T_PROD[[#This Row],[META]]&gt;0,(T_PROD[[#This Row],[META]]/T_PROD[[#This Row],[PREVISTO]]),""),"")</f>
        <v>8.6875</v>
      </c>
      <c r="K1594" s="32">
        <f>IFERROR(IF(T_PROD[[#This Row],[PRODUÇÃO]]&gt;0,(T_PROD[[#This Row],[PRODUÇÃO]]/T_PROD[[#This Row],[EFETIVO]]),""),"")</f>
        <v>8.6202531645569618</v>
      </c>
    </row>
    <row r="1595" spans="1:11" x14ac:dyDescent="0.3">
      <c r="A1595" s="28">
        <v>46286</v>
      </c>
      <c r="B1595" s="29" t="str">
        <f>UPPER(TEXT(A1595,"MMMM"))</f>
        <v>SETEMBRO</v>
      </c>
      <c r="C1595" s="6" t="s">
        <v>15</v>
      </c>
      <c r="D1595" s="12" t="s">
        <v>12</v>
      </c>
      <c r="E1595" s="30">
        <v>105</v>
      </c>
      <c r="F1595" s="30">
        <v>45</v>
      </c>
      <c r="G1595" s="29">
        <v>7</v>
      </c>
      <c r="H1595" s="31">
        <v>7</v>
      </c>
      <c r="I1595" s="29">
        <f>IFERROR(IF(T_PROD[[#This Row],[PREVISTO]]-T_PROD[[#This Row],[EFETIVO]]&lt; 0,0,T_PROD[[#This Row],[PREVISTO]]-T_PROD[[#This Row],[EFETIVO]] ),"")</f>
        <v>0</v>
      </c>
      <c r="J1595" s="32">
        <f>IFERROR(IF(T_PROD[[#This Row],[META]]&gt;0,(T_PROD[[#This Row],[META]]/T_PROD[[#This Row],[PREVISTO]]),""),"")</f>
        <v>15</v>
      </c>
      <c r="K1595" s="32">
        <f>IFERROR(IF(T_PROD[[#This Row],[PRODUÇÃO]]&gt;0,(T_PROD[[#This Row],[PRODUÇÃO]]/T_PROD[[#This Row],[EFETIVO]]),""),"")</f>
        <v>6.4285714285714288</v>
      </c>
    </row>
    <row r="1596" spans="1:11" x14ac:dyDescent="0.3">
      <c r="A1596" s="28">
        <v>46286</v>
      </c>
      <c r="B1596" s="29" t="str">
        <f t="shared" ref="B1596:B1603" si="176">UPPER(TEXT(A1596,"MMMM"))</f>
        <v>SETEMBRO</v>
      </c>
      <c r="C1596" s="12" t="s">
        <v>16</v>
      </c>
      <c r="D1596" s="12" t="s">
        <v>12</v>
      </c>
      <c r="E1596" s="30">
        <v>102</v>
      </c>
      <c r="F1596" s="30">
        <v>115</v>
      </c>
      <c r="G1596" s="29">
        <v>3</v>
      </c>
      <c r="H1596" s="31">
        <v>3</v>
      </c>
      <c r="I1596" s="29">
        <f>IFERROR(IF(T_PROD[[#This Row],[PREVISTO]]-T_PROD[[#This Row],[EFETIVO]]&lt; 0,0,T_PROD[[#This Row],[PREVISTO]]-T_PROD[[#This Row],[EFETIVO]] ),"")</f>
        <v>0</v>
      </c>
      <c r="J1596" s="32">
        <f>IFERROR(IF(T_PROD[[#This Row],[META]]&gt;0,(T_PROD[[#This Row],[META]]/T_PROD[[#This Row],[PREVISTO]]),""),"")</f>
        <v>34</v>
      </c>
      <c r="K1596" s="32">
        <f>IFERROR(IF(T_PROD[[#This Row],[PRODUÇÃO]]&gt;0,(T_PROD[[#This Row],[PRODUÇÃO]]/T_PROD[[#This Row],[EFETIVO]]),""),"")</f>
        <v>38.333333333333336</v>
      </c>
    </row>
    <row r="1597" spans="1:11" x14ac:dyDescent="0.3">
      <c r="A1597" s="28">
        <v>46286</v>
      </c>
      <c r="B1597" s="29" t="str">
        <f t="shared" si="176"/>
        <v>SETEMBRO</v>
      </c>
      <c r="C1597" s="12" t="s">
        <v>17</v>
      </c>
      <c r="D1597" s="12" t="s">
        <v>12</v>
      </c>
      <c r="E1597" s="30">
        <v>352</v>
      </c>
      <c r="F1597" s="30">
        <v>368</v>
      </c>
      <c r="G1597" s="29">
        <v>16</v>
      </c>
      <c r="H1597" s="9" t="s">
        <v>45</v>
      </c>
      <c r="I1597" s="29" t="str">
        <f>IFERROR(IF(T_PROD[[#This Row],[PREVISTO]]-T_PROD[[#This Row],[EFETIVO]]&lt; 0,0,T_PROD[[#This Row],[PREVISTO]]-T_PROD[[#This Row],[EFETIVO]] ),"")</f>
        <v/>
      </c>
      <c r="J1597" s="32">
        <f>IFERROR(IF(T_PROD[[#This Row],[META]]&gt;0,(T_PROD[[#This Row],[META]]/T_PROD[[#This Row],[PREVISTO]]),""),"")</f>
        <v>22</v>
      </c>
      <c r="K1597" s="32" t="str">
        <f>IFERROR(IF(T_PROD[[#This Row],[PRODUÇÃO]]&gt;0,(T_PROD[[#This Row],[PRODUÇÃO]]/T_PROD[[#This Row],[EFETIVO]]),""),"")</f>
        <v/>
      </c>
    </row>
    <row r="1598" spans="1:11" x14ac:dyDescent="0.3">
      <c r="A1598" s="28">
        <v>46286</v>
      </c>
      <c r="B1598" s="29" t="str">
        <f t="shared" si="176"/>
        <v>SETEMBRO</v>
      </c>
      <c r="C1598" s="12" t="s">
        <v>18</v>
      </c>
      <c r="D1598" s="12" t="s">
        <v>12</v>
      </c>
      <c r="E1598" s="30"/>
      <c r="F1598" s="30"/>
      <c r="G1598" s="29"/>
      <c r="H1598" s="31"/>
      <c r="I1598" s="29">
        <f>IFERROR(IF(T_PROD[[#This Row],[PREVISTO]]-T_PROD[[#This Row],[EFETIVO]]&lt; 0,0,T_PROD[[#This Row],[PREVISTO]]-T_PROD[[#This Row],[EFETIVO]] ),"")</f>
        <v>0</v>
      </c>
      <c r="J1598" s="32" t="str">
        <f>IFERROR(IF(T_PROD[[#This Row],[META]]&gt;0,(T_PROD[[#This Row],[META]]/T_PROD[[#This Row],[PREVISTO]]),""),"")</f>
        <v/>
      </c>
      <c r="K1598" s="32" t="str">
        <f>IFERROR(IF(T_PROD[[#This Row],[PRODUÇÃO]]&gt;0,(T_PROD[[#This Row],[PRODUÇÃO]]/T_PROD[[#This Row],[EFETIVO]]),""),"")</f>
        <v/>
      </c>
    </row>
    <row r="1599" spans="1:11" x14ac:dyDescent="0.3">
      <c r="A1599" s="28">
        <v>46286</v>
      </c>
      <c r="B1599" s="29" t="str">
        <f t="shared" si="176"/>
        <v>SETEMBRO</v>
      </c>
      <c r="C1599" s="12" t="s">
        <v>19</v>
      </c>
      <c r="D1599" s="12" t="s">
        <v>12</v>
      </c>
      <c r="E1599" s="30"/>
      <c r="F1599" s="30"/>
      <c r="G1599" s="29"/>
      <c r="H1599" s="31"/>
      <c r="I1599" s="29">
        <f>IFERROR(IF(T_PROD[[#This Row],[PREVISTO]]-T_PROD[[#This Row],[EFETIVO]]&lt; 0,0,T_PROD[[#This Row],[PREVISTO]]-T_PROD[[#This Row],[EFETIVO]] ),"")</f>
        <v>0</v>
      </c>
      <c r="J1599" s="32" t="str">
        <f>IFERROR(IF(T_PROD[[#This Row],[META]]&gt;0,(T_PROD[[#This Row],[META]]/T_PROD[[#This Row],[PREVISTO]]),""),"")</f>
        <v/>
      </c>
      <c r="K1599" s="32" t="str">
        <f>IFERROR(IF(T_PROD[[#This Row],[PRODUÇÃO]]&gt;0,(T_PROD[[#This Row],[PRODUÇÃO]]/T_PROD[[#This Row],[EFETIVO]]),""),"")</f>
        <v/>
      </c>
    </row>
    <row r="1600" spans="1:11" x14ac:dyDescent="0.3">
      <c r="A1600" s="28">
        <v>46286</v>
      </c>
      <c r="B1600" s="29" t="str">
        <f t="shared" si="176"/>
        <v>SETEMBRO</v>
      </c>
      <c r="C1600" s="12" t="s">
        <v>20</v>
      </c>
      <c r="D1600" s="12" t="s">
        <v>12</v>
      </c>
      <c r="E1600" s="30">
        <v>559</v>
      </c>
      <c r="F1600" s="30">
        <v>528</v>
      </c>
      <c r="G1600" s="29">
        <v>100</v>
      </c>
      <c r="H1600" s="31">
        <v>100</v>
      </c>
      <c r="I1600" s="29">
        <f>IFERROR(IF(T_PROD[[#This Row],[PREVISTO]]-T_PROD[[#This Row],[EFETIVO]]&lt; 0,0,T_PROD[[#This Row],[PREVISTO]]-T_PROD[[#This Row],[EFETIVO]] ),"")</f>
        <v>0</v>
      </c>
      <c r="J1600" s="32">
        <f>IFERROR(IF(T_PROD[[#This Row],[META]]&gt;0,(T_PROD[[#This Row],[META]]/T_PROD[[#This Row],[PREVISTO]]),""),"")</f>
        <v>5.59</v>
      </c>
      <c r="K1600" s="32">
        <f>IFERROR(IF(T_PROD[[#This Row],[PRODUÇÃO]]&gt;0,(T_PROD[[#This Row],[PRODUÇÃO]]/T_PROD[[#This Row],[EFETIVO]]),""),"")</f>
        <v>5.28</v>
      </c>
    </row>
    <row r="1601" spans="1:11" x14ac:dyDescent="0.3">
      <c r="A1601" s="28">
        <v>46286</v>
      </c>
      <c r="B1601" s="29" t="str">
        <f t="shared" si="176"/>
        <v>SETEMBRO</v>
      </c>
      <c r="C1601" s="12" t="s">
        <v>11</v>
      </c>
      <c r="D1601" s="12" t="s">
        <v>12</v>
      </c>
      <c r="E1601" s="30">
        <v>800</v>
      </c>
      <c r="F1601" s="30">
        <v>850</v>
      </c>
      <c r="G1601" s="29">
        <v>40</v>
      </c>
      <c r="H1601" s="31">
        <v>40</v>
      </c>
      <c r="I1601" s="29">
        <f>IFERROR(IF(T_PROD[[#This Row],[PREVISTO]]-T_PROD[[#This Row],[EFETIVO]]&lt; 0,0,T_PROD[[#This Row],[PREVISTO]]-T_PROD[[#This Row],[EFETIVO]] ),"")</f>
        <v>0</v>
      </c>
      <c r="J1601" s="32">
        <f>IFERROR(IF(T_PROD[[#This Row],[META]]&gt;0,(T_PROD[[#This Row],[META]]/T_PROD[[#This Row],[PREVISTO]]),""),"")</f>
        <v>20</v>
      </c>
      <c r="K1601" s="32">
        <f>IFERROR(IF(T_PROD[[#This Row],[PRODUÇÃO]]&gt;0,(T_PROD[[#This Row],[PRODUÇÃO]]/T_PROD[[#This Row],[EFETIVO]]),""),"")</f>
        <v>21.25</v>
      </c>
    </row>
    <row r="1602" spans="1:11" x14ac:dyDescent="0.3">
      <c r="A1602" s="28">
        <v>46286</v>
      </c>
      <c r="B1602" s="29" t="str">
        <f t="shared" si="176"/>
        <v>SETEMBRO</v>
      </c>
      <c r="C1602" s="12" t="s">
        <v>32</v>
      </c>
      <c r="D1602" s="12" t="s">
        <v>12</v>
      </c>
      <c r="E1602" s="30">
        <v>88</v>
      </c>
      <c r="F1602" s="30">
        <v>98</v>
      </c>
      <c r="G1602" s="29">
        <v>8</v>
      </c>
      <c r="H1602" s="31">
        <v>8</v>
      </c>
      <c r="I1602" s="29">
        <f>IFERROR(IF(T_PROD[[#This Row],[PREVISTO]]-T_PROD[[#This Row],[EFETIVO]]&lt; 0,0,T_PROD[[#This Row],[PREVISTO]]-T_PROD[[#This Row],[EFETIVO]] ),"")</f>
        <v>0</v>
      </c>
      <c r="J1602" s="32">
        <f>IFERROR(IF(T_PROD[[#This Row],[META]]&gt;0,(T_PROD[[#This Row],[META]]/T_PROD[[#This Row],[PREVISTO]]),""),"")</f>
        <v>11</v>
      </c>
      <c r="K1602" s="32">
        <f>IFERROR(IF(T_PROD[[#This Row],[PRODUÇÃO]]&gt;0,(T_PROD[[#This Row],[PRODUÇÃO]]/T_PROD[[#This Row],[EFETIVO]]),""),"")</f>
        <v>12.25</v>
      </c>
    </row>
    <row r="1603" spans="1:11" x14ac:dyDescent="0.3">
      <c r="A1603" s="28">
        <v>46286</v>
      </c>
      <c r="B1603" s="29" t="str">
        <f t="shared" si="176"/>
        <v>SETEMBRO</v>
      </c>
      <c r="C1603" s="12" t="s">
        <v>14</v>
      </c>
      <c r="D1603" s="12" t="s">
        <v>12</v>
      </c>
      <c r="E1603" s="30">
        <v>888</v>
      </c>
      <c r="F1603" s="30">
        <v>948</v>
      </c>
      <c r="G1603" s="29">
        <v>101</v>
      </c>
      <c r="H1603" s="31">
        <v>100</v>
      </c>
      <c r="I1603" s="29">
        <f>IFERROR(IF(T_PROD[[#This Row],[PREVISTO]]-T_PROD[[#This Row],[EFETIVO]]&lt; 0,0,T_PROD[[#This Row],[PREVISTO]]-T_PROD[[#This Row],[EFETIVO]] ),"")</f>
        <v>1</v>
      </c>
      <c r="J1603" s="32">
        <f>IFERROR(IF(T_PROD[[#This Row],[META]]&gt;0,(T_PROD[[#This Row],[META]]/T_PROD[[#This Row],[PREVISTO]]),""),"")</f>
        <v>8.7920792079207928</v>
      </c>
      <c r="K1603" s="32">
        <f>IFERROR(IF(T_PROD[[#This Row],[PRODUÇÃO]]&gt;0,(T_PROD[[#This Row],[PRODUÇÃO]]/T_PROD[[#This Row],[EFETIVO]]),""),"")</f>
        <v>9.48</v>
      </c>
    </row>
    <row r="1604" spans="1:11" x14ac:dyDescent="0.3">
      <c r="A1604" s="28">
        <v>46287</v>
      </c>
      <c r="B1604" s="29" t="str">
        <f>UPPER(TEXT(A1604,"MMMM"))</f>
        <v>SETEMBRO</v>
      </c>
      <c r="C1604" s="6" t="s">
        <v>15</v>
      </c>
      <c r="D1604" s="12" t="s">
        <v>12</v>
      </c>
      <c r="E1604" s="30">
        <v>105</v>
      </c>
      <c r="F1604" s="30">
        <v>57</v>
      </c>
      <c r="G1604" s="29">
        <v>7</v>
      </c>
      <c r="H1604" s="31">
        <v>7</v>
      </c>
      <c r="I1604" s="29">
        <f>IFERROR(IF(T_PROD[[#This Row],[PREVISTO]]-T_PROD[[#This Row],[EFETIVO]]&lt; 0,0,T_PROD[[#This Row],[PREVISTO]]-T_PROD[[#This Row],[EFETIVO]] ),"")</f>
        <v>0</v>
      </c>
      <c r="J1604" s="32">
        <f>IFERROR(IF(T_PROD[[#This Row],[META]]&gt;0,(T_PROD[[#This Row],[META]]/T_PROD[[#This Row],[PREVISTO]]),""),"")</f>
        <v>15</v>
      </c>
      <c r="K1604" s="32">
        <f>IFERROR(IF(T_PROD[[#This Row],[PRODUÇÃO]]&gt;0,(T_PROD[[#This Row],[PRODUÇÃO]]/T_PROD[[#This Row],[EFETIVO]]),""),"")</f>
        <v>8.1428571428571423</v>
      </c>
    </row>
    <row r="1605" spans="1:11" x14ac:dyDescent="0.3">
      <c r="A1605" s="28">
        <v>46287</v>
      </c>
      <c r="B1605" s="29" t="str">
        <f t="shared" ref="B1605:B1612" si="177">UPPER(TEXT(A1605,"MMMM"))</f>
        <v>SETEMBRO</v>
      </c>
      <c r="C1605" s="12" t="s">
        <v>16</v>
      </c>
      <c r="D1605" s="12" t="s">
        <v>12</v>
      </c>
      <c r="E1605" s="30">
        <v>102</v>
      </c>
      <c r="F1605" s="30">
        <v>197</v>
      </c>
      <c r="G1605" s="29">
        <v>3</v>
      </c>
      <c r="H1605" s="31">
        <v>3</v>
      </c>
      <c r="I1605" s="29">
        <f>IFERROR(IF(T_PROD[[#This Row],[PREVISTO]]-T_PROD[[#This Row],[EFETIVO]]&lt; 0,0,T_PROD[[#This Row],[PREVISTO]]-T_PROD[[#This Row],[EFETIVO]] ),"")</f>
        <v>0</v>
      </c>
      <c r="J1605" s="32">
        <f>IFERROR(IF(T_PROD[[#This Row],[META]]&gt;0,(T_PROD[[#This Row],[META]]/T_PROD[[#This Row],[PREVISTO]]),""),"")</f>
        <v>34</v>
      </c>
      <c r="K1605" s="32">
        <f>IFERROR(IF(T_PROD[[#This Row],[PRODUÇÃO]]&gt;0,(T_PROD[[#This Row],[PRODUÇÃO]]/T_PROD[[#This Row],[EFETIVO]]),""),"")</f>
        <v>65.666666666666671</v>
      </c>
    </row>
    <row r="1606" spans="1:11" x14ac:dyDescent="0.3">
      <c r="A1606" s="28">
        <v>46287</v>
      </c>
      <c r="B1606" s="29" t="str">
        <f t="shared" si="177"/>
        <v>SETEMBRO</v>
      </c>
      <c r="C1606" s="12" t="s">
        <v>17</v>
      </c>
      <c r="D1606" s="12" t="s">
        <v>12</v>
      </c>
      <c r="E1606" s="30">
        <v>352</v>
      </c>
      <c r="F1606" s="30">
        <v>248</v>
      </c>
      <c r="G1606" s="29">
        <v>16</v>
      </c>
      <c r="H1606" s="31">
        <v>16</v>
      </c>
      <c r="I1606" s="29">
        <f>IFERROR(IF(T_PROD[[#This Row],[PREVISTO]]-T_PROD[[#This Row],[EFETIVO]]&lt; 0,0,T_PROD[[#This Row],[PREVISTO]]-T_PROD[[#This Row],[EFETIVO]] ),"")</f>
        <v>0</v>
      </c>
      <c r="J1606" s="32">
        <f>IFERROR(IF(T_PROD[[#This Row],[META]]&gt;0,(T_PROD[[#This Row],[META]]/T_PROD[[#This Row],[PREVISTO]]),""),"")</f>
        <v>22</v>
      </c>
      <c r="K1606" s="32">
        <f>IFERROR(IF(T_PROD[[#This Row],[PRODUÇÃO]]&gt;0,(T_PROD[[#This Row],[PRODUÇÃO]]/T_PROD[[#This Row],[EFETIVO]]),""),"")</f>
        <v>15.5</v>
      </c>
    </row>
    <row r="1607" spans="1:11" x14ac:dyDescent="0.3">
      <c r="A1607" s="28">
        <v>46287</v>
      </c>
      <c r="B1607" s="29" t="str">
        <f t="shared" si="177"/>
        <v>SETEMBRO</v>
      </c>
      <c r="C1607" s="12" t="s">
        <v>18</v>
      </c>
      <c r="D1607" s="12" t="s">
        <v>12</v>
      </c>
      <c r="E1607" s="30"/>
      <c r="F1607" s="30"/>
      <c r="G1607" s="29"/>
      <c r="H1607" s="31"/>
      <c r="I1607" s="29">
        <f>IFERROR(IF(T_PROD[[#This Row],[PREVISTO]]-T_PROD[[#This Row],[EFETIVO]]&lt; 0,0,T_PROD[[#This Row],[PREVISTO]]-T_PROD[[#This Row],[EFETIVO]] ),"")</f>
        <v>0</v>
      </c>
      <c r="J1607" s="32" t="str">
        <f>IFERROR(IF(T_PROD[[#This Row],[META]]&gt;0,(T_PROD[[#This Row],[META]]/T_PROD[[#This Row],[PREVISTO]]),""),"")</f>
        <v/>
      </c>
      <c r="K1607" s="32" t="str">
        <f>IFERROR(IF(T_PROD[[#This Row],[PRODUÇÃO]]&gt;0,(T_PROD[[#This Row],[PRODUÇÃO]]/T_PROD[[#This Row],[EFETIVO]]),""),"")</f>
        <v/>
      </c>
    </row>
    <row r="1608" spans="1:11" x14ac:dyDescent="0.3">
      <c r="A1608" s="28">
        <v>46287</v>
      </c>
      <c r="B1608" s="29" t="str">
        <f t="shared" si="177"/>
        <v>SETEMBRO</v>
      </c>
      <c r="C1608" s="12" t="s">
        <v>19</v>
      </c>
      <c r="D1608" s="12" t="s">
        <v>12</v>
      </c>
      <c r="E1608" s="30"/>
      <c r="F1608" s="30"/>
      <c r="G1608" s="29"/>
      <c r="H1608" s="31"/>
      <c r="I1608" s="29">
        <f>IFERROR(IF(T_PROD[[#This Row],[PREVISTO]]-T_PROD[[#This Row],[EFETIVO]]&lt; 0,0,T_PROD[[#This Row],[PREVISTO]]-T_PROD[[#This Row],[EFETIVO]] ),"")</f>
        <v>0</v>
      </c>
      <c r="J1608" s="32" t="str">
        <f>IFERROR(IF(T_PROD[[#This Row],[META]]&gt;0,(T_PROD[[#This Row],[META]]/T_PROD[[#This Row],[PREVISTO]]),""),"")</f>
        <v/>
      </c>
      <c r="K1608" s="32" t="str">
        <f>IFERROR(IF(T_PROD[[#This Row],[PRODUÇÃO]]&gt;0,(T_PROD[[#This Row],[PRODUÇÃO]]/T_PROD[[#This Row],[EFETIVO]]),""),"")</f>
        <v/>
      </c>
    </row>
    <row r="1609" spans="1:11" x14ac:dyDescent="0.3">
      <c r="A1609" s="28">
        <v>46287</v>
      </c>
      <c r="B1609" s="29" t="str">
        <f t="shared" si="177"/>
        <v>SETEMBRO</v>
      </c>
      <c r="C1609" s="12" t="s">
        <v>20</v>
      </c>
      <c r="D1609" s="12" t="s">
        <v>12</v>
      </c>
      <c r="E1609" s="30">
        <v>559</v>
      </c>
      <c r="F1609" s="30">
        <v>502</v>
      </c>
      <c r="G1609" s="29">
        <v>100</v>
      </c>
      <c r="H1609" s="31">
        <v>100</v>
      </c>
      <c r="I1609" s="29">
        <f>IFERROR(IF(T_PROD[[#This Row],[PREVISTO]]-T_PROD[[#This Row],[EFETIVO]]&lt; 0,0,T_PROD[[#This Row],[PREVISTO]]-T_PROD[[#This Row],[EFETIVO]] ),"")</f>
        <v>0</v>
      </c>
      <c r="J1609" s="32">
        <f>IFERROR(IF(T_PROD[[#This Row],[META]]&gt;0,(T_PROD[[#This Row],[META]]/T_PROD[[#This Row],[PREVISTO]]),""),"")</f>
        <v>5.59</v>
      </c>
      <c r="K1609" s="32">
        <f>IFERROR(IF(T_PROD[[#This Row],[PRODUÇÃO]]&gt;0,(T_PROD[[#This Row],[PRODUÇÃO]]/T_PROD[[#This Row],[EFETIVO]]),""),"")</f>
        <v>5.0199999999999996</v>
      </c>
    </row>
    <row r="1610" spans="1:11" x14ac:dyDescent="0.3">
      <c r="A1610" s="28">
        <v>46287</v>
      </c>
      <c r="B1610" s="29" t="str">
        <f t="shared" si="177"/>
        <v>SETEMBRO</v>
      </c>
      <c r="C1610" s="12" t="s">
        <v>11</v>
      </c>
      <c r="D1610" s="12" t="s">
        <v>12</v>
      </c>
      <c r="E1610" s="30">
        <v>760</v>
      </c>
      <c r="F1610" s="30">
        <v>720</v>
      </c>
      <c r="G1610" s="29">
        <v>38</v>
      </c>
      <c r="H1610" s="31">
        <v>38</v>
      </c>
      <c r="I1610" s="29">
        <f>IFERROR(IF(T_PROD[[#This Row],[PREVISTO]]-T_PROD[[#This Row],[EFETIVO]]&lt; 0,0,T_PROD[[#This Row],[PREVISTO]]-T_PROD[[#This Row],[EFETIVO]] ),"")</f>
        <v>0</v>
      </c>
      <c r="J1610" s="32">
        <f>IFERROR(IF(T_PROD[[#This Row],[META]]&gt;0,(T_PROD[[#This Row],[META]]/T_PROD[[#This Row],[PREVISTO]]),""),"")</f>
        <v>20</v>
      </c>
      <c r="K1610" s="32">
        <f>IFERROR(IF(T_PROD[[#This Row],[PRODUÇÃO]]&gt;0,(T_PROD[[#This Row],[PRODUÇÃO]]/T_PROD[[#This Row],[EFETIVO]]),""),"")</f>
        <v>18.94736842105263</v>
      </c>
    </row>
    <row r="1611" spans="1:11" x14ac:dyDescent="0.3">
      <c r="A1611" s="28">
        <v>46287</v>
      </c>
      <c r="B1611" s="29" t="str">
        <f t="shared" si="177"/>
        <v>SETEMBRO</v>
      </c>
      <c r="C1611" s="12" t="s">
        <v>32</v>
      </c>
      <c r="D1611" s="12" t="s">
        <v>12</v>
      </c>
      <c r="E1611" s="30">
        <v>111</v>
      </c>
      <c r="F1611" s="30">
        <v>100</v>
      </c>
      <c r="G1611" s="29">
        <v>10</v>
      </c>
      <c r="H1611" s="31">
        <v>10</v>
      </c>
      <c r="I1611" s="29">
        <f>IFERROR(IF(T_PROD[[#This Row],[PREVISTO]]-T_PROD[[#This Row],[EFETIVO]]&lt; 0,0,T_PROD[[#This Row],[PREVISTO]]-T_PROD[[#This Row],[EFETIVO]] ),"")</f>
        <v>0</v>
      </c>
      <c r="J1611" s="32">
        <f>IFERROR(IF(T_PROD[[#This Row],[META]]&gt;0,(T_PROD[[#This Row],[META]]/T_PROD[[#This Row],[PREVISTO]]),""),"")</f>
        <v>11.1</v>
      </c>
      <c r="K1611" s="32">
        <f>IFERROR(IF(T_PROD[[#This Row],[PRODUÇÃO]]&gt;0,(T_PROD[[#This Row],[PRODUÇÃO]]/T_PROD[[#This Row],[EFETIVO]]),""),"")</f>
        <v>10</v>
      </c>
    </row>
    <row r="1612" spans="1:11" x14ac:dyDescent="0.3">
      <c r="A1612" s="28">
        <v>46287</v>
      </c>
      <c r="B1612" s="29" t="str">
        <f t="shared" si="177"/>
        <v>SETEMBRO</v>
      </c>
      <c r="C1612" s="12" t="s">
        <v>14</v>
      </c>
      <c r="D1612" s="12" t="s">
        <v>12</v>
      </c>
      <c r="E1612" s="30">
        <v>871</v>
      </c>
      <c r="F1612" s="30">
        <v>820.3</v>
      </c>
      <c r="G1612" s="29">
        <v>98</v>
      </c>
      <c r="H1612" s="31">
        <v>96</v>
      </c>
      <c r="I1612" s="29">
        <f>IFERROR(IF(T_PROD[[#This Row],[PREVISTO]]-T_PROD[[#This Row],[EFETIVO]]&lt; 0,0,T_PROD[[#This Row],[PREVISTO]]-T_PROD[[#This Row],[EFETIVO]] ),"")</f>
        <v>2</v>
      </c>
      <c r="J1612" s="32">
        <f>IFERROR(IF(T_PROD[[#This Row],[META]]&gt;0,(T_PROD[[#This Row],[META]]/T_PROD[[#This Row],[PREVISTO]]),""),"")</f>
        <v>8.887755102040817</v>
      </c>
      <c r="K1612" s="32">
        <f>IFERROR(IF(T_PROD[[#This Row],[PRODUÇÃO]]&gt;0,(T_PROD[[#This Row],[PRODUÇÃO]]/T_PROD[[#This Row],[EFETIVO]]),""),"")</f>
        <v>8.5447916666666668</v>
      </c>
    </row>
    <row r="1613" spans="1:11" x14ac:dyDescent="0.3">
      <c r="A1613" s="28">
        <v>46288</v>
      </c>
      <c r="B1613" s="29" t="str">
        <f>UPPER(TEXT(A1613,"MMMM"))</f>
        <v>SETEMBRO</v>
      </c>
      <c r="C1613" s="6" t="s">
        <v>15</v>
      </c>
      <c r="D1613" s="12" t="s">
        <v>12</v>
      </c>
      <c r="E1613" s="30">
        <v>75</v>
      </c>
      <c r="F1613" s="30">
        <v>41</v>
      </c>
      <c r="G1613" s="29">
        <v>5</v>
      </c>
      <c r="H1613" s="31">
        <v>5</v>
      </c>
      <c r="I1613" s="29">
        <f>IFERROR(IF(T_PROD[[#This Row],[PREVISTO]]-T_PROD[[#This Row],[EFETIVO]]&lt; 0,0,T_PROD[[#This Row],[PREVISTO]]-T_PROD[[#This Row],[EFETIVO]] ),"")</f>
        <v>0</v>
      </c>
      <c r="J1613" s="32">
        <f>IFERROR(IF(T_PROD[[#This Row],[META]]&gt;0,(T_PROD[[#This Row],[META]]/T_PROD[[#This Row],[PREVISTO]]),""),"")</f>
        <v>15</v>
      </c>
      <c r="K1613" s="32">
        <f>IFERROR(IF(T_PROD[[#This Row],[PRODUÇÃO]]&gt;0,(T_PROD[[#This Row],[PRODUÇÃO]]/T_PROD[[#This Row],[EFETIVO]]),""),"")</f>
        <v>8.1999999999999993</v>
      </c>
    </row>
    <row r="1614" spans="1:11" x14ac:dyDescent="0.3">
      <c r="A1614" s="28">
        <v>46288</v>
      </c>
      <c r="B1614" s="29" t="str">
        <f t="shared" ref="B1614:B1621" si="178">UPPER(TEXT(A1614,"MMMM"))</f>
        <v>SETEMBRO</v>
      </c>
      <c r="C1614" s="12" t="s">
        <v>16</v>
      </c>
      <c r="D1614" s="12" t="s">
        <v>12</v>
      </c>
      <c r="E1614" s="30">
        <v>204</v>
      </c>
      <c r="F1614" s="30">
        <v>170</v>
      </c>
      <c r="G1614" s="29">
        <v>6</v>
      </c>
      <c r="H1614" s="31">
        <v>6</v>
      </c>
      <c r="I1614" s="29">
        <f>IFERROR(IF(T_PROD[[#This Row],[PREVISTO]]-T_PROD[[#This Row],[EFETIVO]]&lt; 0,0,T_PROD[[#This Row],[PREVISTO]]-T_PROD[[#This Row],[EFETIVO]] ),"")</f>
        <v>0</v>
      </c>
      <c r="J1614" s="32">
        <f>IFERROR(IF(T_PROD[[#This Row],[META]]&gt;0,(T_PROD[[#This Row],[META]]/T_PROD[[#This Row],[PREVISTO]]),""),"")</f>
        <v>34</v>
      </c>
      <c r="K1614" s="32">
        <f>IFERROR(IF(T_PROD[[#This Row],[PRODUÇÃO]]&gt;0,(T_PROD[[#This Row],[PRODUÇÃO]]/T_PROD[[#This Row],[EFETIVO]]),""),"")</f>
        <v>28.333333333333332</v>
      </c>
    </row>
    <row r="1615" spans="1:11" x14ac:dyDescent="0.3">
      <c r="A1615" s="28">
        <v>46288</v>
      </c>
      <c r="B1615" s="29" t="str">
        <f t="shared" si="178"/>
        <v>SETEMBRO</v>
      </c>
      <c r="C1615" s="12" t="s">
        <v>17</v>
      </c>
      <c r="D1615" s="12" t="s">
        <v>12</v>
      </c>
      <c r="E1615" s="30">
        <v>352</v>
      </c>
      <c r="F1615" s="30">
        <v>365</v>
      </c>
      <c r="G1615" s="29">
        <v>16</v>
      </c>
      <c r="H1615" s="31">
        <v>16</v>
      </c>
      <c r="I1615" s="29">
        <f>IFERROR(IF(T_PROD[[#This Row],[PREVISTO]]-T_PROD[[#This Row],[EFETIVO]]&lt; 0,0,T_PROD[[#This Row],[PREVISTO]]-T_PROD[[#This Row],[EFETIVO]] ),"")</f>
        <v>0</v>
      </c>
      <c r="J1615" s="32">
        <f>IFERROR(IF(T_PROD[[#This Row],[META]]&gt;0,(T_PROD[[#This Row],[META]]/T_PROD[[#This Row],[PREVISTO]]),""),"")</f>
        <v>22</v>
      </c>
      <c r="K1615" s="32">
        <f>IFERROR(IF(T_PROD[[#This Row],[PRODUÇÃO]]&gt;0,(T_PROD[[#This Row],[PRODUÇÃO]]/T_PROD[[#This Row],[EFETIVO]]),""),"")</f>
        <v>22.8125</v>
      </c>
    </row>
    <row r="1616" spans="1:11" x14ac:dyDescent="0.3">
      <c r="A1616" s="28">
        <v>46288</v>
      </c>
      <c r="B1616" s="29" t="str">
        <f t="shared" si="178"/>
        <v>SETEMBRO</v>
      </c>
      <c r="C1616" s="12" t="s">
        <v>18</v>
      </c>
      <c r="D1616" s="12" t="s">
        <v>12</v>
      </c>
      <c r="E1616" s="30"/>
      <c r="F1616" s="30"/>
      <c r="G1616" s="29"/>
      <c r="H1616" s="31"/>
      <c r="I1616" s="29">
        <f>IFERROR(IF(T_PROD[[#This Row],[PREVISTO]]-T_PROD[[#This Row],[EFETIVO]]&lt; 0,0,T_PROD[[#This Row],[PREVISTO]]-T_PROD[[#This Row],[EFETIVO]] ),"")</f>
        <v>0</v>
      </c>
      <c r="J1616" s="32" t="str">
        <f>IFERROR(IF(T_PROD[[#This Row],[META]]&gt;0,(T_PROD[[#This Row],[META]]/T_PROD[[#This Row],[PREVISTO]]),""),"")</f>
        <v/>
      </c>
      <c r="K1616" s="32" t="str">
        <f>IFERROR(IF(T_PROD[[#This Row],[PRODUÇÃO]]&gt;0,(T_PROD[[#This Row],[PRODUÇÃO]]/T_PROD[[#This Row],[EFETIVO]]),""),"")</f>
        <v/>
      </c>
    </row>
    <row r="1617" spans="1:11" x14ac:dyDescent="0.3">
      <c r="A1617" s="28">
        <v>46288</v>
      </c>
      <c r="B1617" s="29" t="str">
        <f t="shared" si="178"/>
        <v>SETEMBRO</v>
      </c>
      <c r="C1617" s="12" t="s">
        <v>19</v>
      </c>
      <c r="D1617" s="12" t="s">
        <v>12</v>
      </c>
      <c r="E1617" s="30"/>
      <c r="F1617" s="30"/>
      <c r="G1617" s="29"/>
      <c r="H1617" s="31"/>
      <c r="I1617" s="29">
        <f>IFERROR(IF(T_PROD[[#This Row],[PREVISTO]]-T_PROD[[#This Row],[EFETIVO]]&lt; 0,0,T_PROD[[#This Row],[PREVISTO]]-T_PROD[[#This Row],[EFETIVO]] ),"")</f>
        <v>0</v>
      </c>
      <c r="J1617" s="32" t="str">
        <f>IFERROR(IF(T_PROD[[#This Row],[META]]&gt;0,(T_PROD[[#This Row],[META]]/T_PROD[[#This Row],[PREVISTO]]),""),"")</f>
        <v/>
      </c>
      <c r="K1617" s="32" t="str">
        <f>IFERROR(IF(T_PROD[[#This Row],[PRODUÇÃO]]&gt;0,(T_PROD[[#This Row],[PRODUÇÃO]]/T_PROD[[#This Row],[EFETIVO]]),""),"")</f>
        <v/>
      </c>
    </row>
    <row r="1618" spans="1:11" x14ac:dyDescent="0.3">
      <c r="A1618" s="28">
        <v>46288</v>
      </c>
      <c r="B1618" s="29" t="str">
        <f t="shared" si="178"/>
        <v>SETEMBRO</v>
      </c>
      <c r="C1618" s="12" t="s">
        <v>20</v>
      </c>
      <c r="D1618" s="12" t="s">
        <v>12</v>
      </c>
      <c r="E1618" s="30">
        <v>631</v>
      </c>
      <c r="F1618" s="30">
        <v>576</v>
      </c>
      <c r="G1618" s="29">
        <v>100</v>
      </c>
      <c r="H1618" s="31">
        <v>100</v>
      </c>
      <c r="I1618" s="29">
        <f>IFERROR(IF(T_PROD[[#This Row],[PREVISTO]]-T_PROD[[#This Row],[EFETIVO]]&lt; 0,0,T_PROD[[#This Row],[PREVISTO]]-T_PROD[[#This Row],[EFETIVO]] ),"")</f>
        <v>0</v>
      </c>
      <c r="J1618" s="32">
        <f>IFERROR(IF(T_PROD[[#This Row],[META]]&gt;0,(T_PROD[[#This Row],[META]]/T_PROD[[#This Row],[PREVISTO]]),""),"")</f>
        <v>6.31</v>
      </c>
      <c r="K1618" s="32">
        <f>IFERROR(IF(T_PROD[[#This Row],[PRODUÇÃO]]&gt;0,(T_PROD[[#This Row],[PRODUÇÃO]]/T_PROD[[#This Row],[EFETIVO]]),""),"")</f>
        <v>5.76</v>
      </c>
    </row>
    <row r="1619" spans="1:11" x14ac:dyDescent="0.3">
      <c r="A1619" s="28">
        <v>46288</v>
      </c>
      <c r="B1619" s="29" t="str">
        <f t="shared" si="178"/>
        <v>SETEMBRO</v>
      </c>
      <c r="C1619" s="12" t="s">
        <v>11</v>
      </c>
      <c r="D1619" s="12" t="s">
        <v>12</v>
      </c>
      <c r="E1619" s="30">
        <v>800</v>
      </c>
      <c r="F1619" s="30">
        <v>750</v>
      </c>
      <c r="G1619" s="29">
        <v>40</v>
      </c>
      <c r="H1619" s="31">
        <v>40</v>
      </c>
      <c r="I1619" s="29">
        <f>IFERROR(IF(T_PROD[[#This Row],[PREVISTO]]-T_PROD[[#This Row],[EFETIVO]]&lt; 0,0,T_PROD[[#This Row],[PREVISTO]]-T_PROD[[#This Row],[EFETIVO]] ),"")</f>
        <v>0</v>
      </c>
      <c r="J1619" s="32">
        <f>IFERROR(IF(T_PROD[[#This Row],[META]]&gt;0,(T_PROD[[#This Row],[META]]/T_PROD[[#This Row],[PREVISTO]]),""),"")</f>
        <v>20</v>
      </c>
      <c r="K1619" s="32">
        <f>IFERROR(IF(T_PROD[[#This Row],[PRODUÇÃO]]&gt;0,(T_PROD[[#This Row],[PRODUÇÃO]]/T_PROD[[#This Row],[EFETIVO]]),""),"")</f>
        <v>18.75</v>
      </c>
    </row>
    <row r="1620" spans="1:11" x14ac:dyDescent="0.3">
      <c r="A1620" s="28">
        <v>46288</v>
      </c>
      <c r="B1620" s="29" t="str">
        <f t="shared" si="178"/>
        <v>SETEMBRO</v>
      </c>
      <c r="C1620" s="12" t="s">
        <v>32</v>
      </c>
      <c r="D1620" s="12" t="s">
        <v>12</v>
      </c>
      <c r="E1620" s="30">
        <v>77</v>
      </c>
      <c r="F1620" s="30">
        <v>81</v>
      </c>
      <c r="G1620" s="29">
        <v>7</v>
      </c>
      <c r="H1620" s="31">
        <v>7</v>
      </c>
      <c r="I1620" s="29">
        <f>IFERROR(IF(T_PROD[[#This Row],[PREVISTO]]-T_PROD[[#This Row],[EFETIVO]]&lt; 0,0,T_PROD[[#This Row],[PREVISTO]]-T_PROD[[#This Row],[EFETIVO]] ),"")</f>
        <v>0</v>
      </c>
      <c r="J1620" s="32">
        <f>IFERROR(IF(T_PROD[[#This Row],[META]]&gt;0,(T_PROD[[#This Row],[META]]/T_PROD[[#This Row],[PREVISTO]]),""),"")</f>
        <v>11</v>
      </c>
      <c r="K1620" s="32">
        <f>IFERROR(IF(T_PROD[[#This Row],[PRODUÇÃO]]&gt;0,(T_PROD[[#This Row],[PRODUÇÃO]]/T_PROD[[#This Row],[EFETIVO]]),""),"")</f>
        <v>11.571428571428571</v>
      </c>
    </row>
    <row r="1621" spans="1:11" x14ac:dyDescent="0.3">
      <c r="A1621" s="28">
        <v>46288</v>
      </c>
      <c r="B1621" s="29" t="str">
        <f t="shared" si="178"/>
        <v>SETEMBRO</v>
      </c>
      <c r="C1621" s="12" t="s">
        <v>14</v>
      </c>
      <c r="D1621" s="12" t="s">
        <v>12</v>
      </c>
      <c r="E1621" s="30">
        <v>877</v>
      </c>
      <c r="F1621" s="30">
        <v>831</v>
      </c>
      <c r="G1621" s="29">
        <v>98</v>
      </c>
      <c r="H1621" s="31">
        <v>97</v>
      </c>
      <c r="I1621" s="29">
        <f>IFERROR(IF(T_PROD[[#This Row],[PREVISTO]]-T_PROD[[#This Row],[EFETIVO]]&lt; 0,0,T_PROD[[#This Row],[PREVISTO]]-T_PROD[[#This Row],[EFETIVO]] ),"")</f>
        <v>1</v>
      </c>
      <c r="J1621" s="32">
        <f>IFERROR(IF(T_PROD[[#This Row],[META]]&gt;0,(T_PROD[[#This Row],[META]]/T_PROD[[#This Row],[PREVISTO]]),""),"")</f>
        <v>8.9489795918367339</v>
      </c>
      <c r="K1621" s="32">
        <f>IFERROR(IF(T_PROD[[#This Row],[PRODUÇÃO]]&gt;0,(T_PROD[[#This Row],[PRODUÇÃO]]/T_PROD[[#This Row],[EFETIVO]]),""),"")</f>
        <v>8.5670103092783503</v>
      </c>
    </row>
    <row r="1622" spans="1:11" x14ac:dyDescent="0.3">
      <c r="A1622" s="28">
        <v>46289</v>
      </c>
      <c r="B1622" s="29" t="str">
        <f>UPPER(TEXT(A1622,"MMMM"))</f>
        <v>SETEMBRO</v>
      </c>
      <c r="C1622" s="6" t="s">
        <v>15</v>
      </c>
      <c r="D1622" s="12" t="s">
        <v>12</v>
      </c>
      <c r="E1622" s="30">
        <v>90</v>
      </c>
      <c r="F1622" s="30">
        <v>29</v>
      </c>
      <c r="G1622" s="29">
        <v>6</v>
      </c>
      <c r="H1622" s="31">
        <v>6</v>
      </c>
      <c r="I1622" s="29">
        <f>IFERROR(IF(T_PROD[[#This Row],[PREVISTO]]-T_PROD[[#This Row],[EFETIVO]]&lt; 0,0,T_PROD[[#This Row],[PREVISTO]]-T_PROD[[#This Row],[EFETIVO]] ),"")</f>
        <v>0</v>
      </c>
      <c r="J1622" s="32">
        <f>IFERROR(IF(T_PROD[[#This Row],[META]]&gt;0,(T_PROD[[#This Row],[META]]/T_PROD[[#This Row],[PREVISTO]]),""),"")</f>
        <v>15</v>
      </c>
      <c r="K1622" s="32">
        <f>IFERROR(IF(T_PROD[[#This Row],[PRODUÇÃO]]&gt;0,(T_PROD[[#This Row],[PRODUÇÃO]]/T_PROD[[#This Row],[EFETIVO]]),""),"")</f>
        <v>4.833333333333333</v>
      </c>
    </row>
    <row r="1623" spans="1:11" x14ac:dyDescent="0.3">
      <c r="A1623" s="28">
        <v>46289</v>
      </c>
      <c r="B1623" s="29" t="str">
        <f t="shared" ref="B1623:B1630" si="179">UPPER(TEXT(A1623,"MMMM"))</f>
        <v>SETEMBRO</v>
      </c>
      <c r="C1623" s="12" t="s">
        <v>16</v>
      </c>
      <c r="D1623" s="12" t="s">
        <v>12</v>
      </c>
      <c r="E1623" s="30">
        <v>68</v>
      </c>
      <c r="F1623" s="30">
        <v>93</v>
      </c>
      <c r="G1623" s="29">
        <v>2</v>
      </c>
      <c r="H1623" s="31">
        <v>2</v>
      </c>
      <c r="I1623" s="29">
        <f>IFERROR(IF(T_PROD[[#This Row],[PREVISTO]]-T_PROD[[#This Row],[EFETIVO]]&lt; 0,0,T_PROD[[#This Row],[PREVISTO]]-T_PROD[[#This Row],[EFETIVO]] ),"")</f>
        <v>0</v>
      </c>
      <c r="J1623" s="32">
        <f>IFERROR(IF(T_PROD[[#This Row],[META]]&gt;0,(T_PROD[[#This Row],[META]]/T_PROD[[#This Row],[PREVISTO]]),""),"")</f>
        <v>34</v>
      </c>
      <c r="K1623" s="32">
        <f>IFERROR(IF(T_PROD[[#This Row],[PRODUÇÃO]]&gt;0,(T_PROD[[#This Row],[PRODUÇÃO]]/T_PROD[[#This Row],[EFETIVO]]),""),"")</f>
        <v>46.5</v>
      </c>
    </row>
    <row r="1624" spans="1:11" x14ac:dyDescent="0.3">
      <c r="A1624" s="28">
        <v>46289</v>
      </c>
      <c r="B1624" s="29" t="str">
        <f t="shared" si="179"/>
        <v>SETEMBRO</v>
      </c>
      <c r="C1624" s="12" t="s">
        <v>17</v>
      </c>
      <c r="D1624" s="12" t="s">
        <v>12</v>
      </c>
      <c r="E1624" s="30">
        <v>352</v>
      </c>
      <c r="F1624" s="30">
        <v>307</v>
      </c>
      <c r="G1624" s="29">
        <v>16</v>
      </c>
      <c r="H1624" s="31">
        <v>16</v>
      </c>
      <c r="I1624" s="29">
        <f>IFERROR(IF(T_PROD[[#This Row],[PREVISTO]]-T_PROD[[#This Row],[EFETIVO]]&lt; 0,0,T_PROD[[#This Row],[PREVISTO]]-T_PROD[[#This Row],[EFETIVO]] ),"")</f>
        <v>0</v>
      </c>
      <c r="J1624" s="32">
        <f>IFERROR(IF(T_PROD[[#This Row],[META]]&gt;0,(T_PROD[[#This Row],[META]]/T_PROD[[#This Row],[PREVISTO]]),""),"")</f>
        <v>22</v>
      </c>
      <c r="K1624" s="32">
        <f>IFERROR(IF(T_PROD[[#This Row],[PRODUÇÃO]]&gt;0,(T_PROD[[#This Row],[PRODUÇÃO]]/T_PROD[[#This Row],[EFETIVO]]),""),"")</f>
        <v>19.1875</v>
      </c>
    </row>
    <row r="1625" spans="1:11" x14ac:dyDescent="0.3">
      <c r="A1625" s="28">
        <v>46289</v>
      </c>
      <c r="B1625" s="29" t="str">
        <f t="shared" si="179"/>
        <v>SETEMBRO</v>
      </c>
      <c r="C1625" s="12" t="s">
        <v>18</v>
      </c>
      <c r="D1625" s="12" t="s">
        <v>12</v>
      </c>
      <c r="E1625" s="30"/>
      <c r="F1625" s="30"/>
      <c r="G1625" s="29"/>
      <c r="H1625" s="31"/>
      <c r="I1625" s="29">
        <f>IFERROR(IF(T_PROD[[#This Row],[PREVISTO]]-T_PROD[[#This Row],[EFETIVO]]&lt; 0,0,T_PROD[[#This Row],[PREVISTO]]-T_PROD[[#This Row],[EFETIVO]] ),"")</f>
        <v>0</v>
      </c>
      <c r="J1625" s="32" t="str">
        <f>IFERROR(IF(T_PROD[[#This Row],[META]]&gt;0,(T_PROD[[#This Row],[META]]/T_PROD[[#This Row],[PREVISTO]]),""),"")</f>
        <v/>
      </c>
      <c r="K1625" s="32" t="str">
        <f>IFERROR(IF(T_PROD[[#This Row],[PRODUÇÃO]]&gt;0,(T_PROD[[#This Row],[PRODUÇÃO]]/T_PROD[[#This Row],[EFETIVO]]),""),"")</f>
        <v/>
      </c>
    </row>
    <row r="1626" spans="1:11" x14ac:dyDescent="0.3">
      <c r="A1626" s="28">
        <v>46289</v>
      </c>
      <c r="B1626" s="29" t="str">
        <f t="shared" si="179"/>
        <v>SETEMBRO</v>
      </c>
      <c r="C1626" s="12" t="s">
        <v>19</v>
      </c>
      <c r="D1626" s="12" t="s">
        <v>12</v>
      </c>
      <c r="E1626" s="30"/>
      <c r="F1626" s="30"/>
      <c r="G1626" s="29"/>
      <c r="H1626" s="31"/>
      <c r="I1626" s="29">
        <f>IFERROR(IF(T_PROD[[#This Row],[PREVISTO]]-T_PROD[[#This Row],[EFETIVO]]&lt; 0,0,T_PROD[[#This Row],[PREVISTO]]-T_PROD[[#This Row],[EFETIVO]] ),"")</f>
        <v>0</v>
      </c>
      <c r="J1626" s="32" t="str">
        <f>IFERROR(IF(T_PROD[[#This Row],[META]]&gt;0,(T_PROD[[#This Row],[META]]/T_PROD[[#This Row],[PREVISTO]]),""),"")</f>
        <v/>
      </c>
      <c r="K1626" s="32" t="str">
        <f>IFERROR(IF(T_PROD[[#This Row],[PRODUÇÃO]]&gt;0,(T_PROD[[#This Row],[PRODUÇÃO]]/T_PROD[[#This Row],[EFETIVO]]),""),"")</f>
        <v/>
      </c>
    </row>
    <row r="1627" spans="1:11" x14ac:dyDescent="0.3">
      <c r="A1627" s="28">
        <v>46289</v>
      </c>
      <c r="B1627" s="29" t="str">
        <f t="shared" si="179"/>
        <v>SETEMBRO</v>
      </c>
      <c r="C1627" s="12" t="s">
        <v>20</v>
      </c>
      <c r="D1627" s="12" t="s">
        <v>12</v>
      </c>
      <c r="E1627" s="30">
        <v>510</v>
      </c>
      <c r="F1627" s="30">
        <v>429</v>
      </c>
      <c r="G1627" s="29">
        <v>100</v>
      </c>
      <c r="H1627" s="31">
        <v>100</v>
      </c>
      <c r="I1627" s="29">
        <f>IFERROR(IF(T_PROD[[#This Row],[PREVISTO]]-T_PROD[[#This Row],[EFETIVO]]&lt; 0,0,T_PROD[[#This Row],[PREVISTO]]-T_PROD[[#This Row],[EFETIVO]] ),"")</f>
        <v>0</v>
      </c>
      <c r="J1627" s="32">
        <f>IFERROR(IF(T_PROD[[#This Row],[META]]&gt;0,(T_PROD[[#This Row],[META]]/T_PROD[[#This Row],[PREVISTO]]),""),"")</f>
        <v>5.0999999999999996</v>
      </c>
      <c r="K1627" s="32">
        <f>IFERROR(IF(T_PROD[[#This Row],[PRODUÇÃO]]&gt;0,(T_PROD[[#This Row],[PRODUÇÃO]]/T_PROD[[#This Row],[EFETIVO]]),""),"")</f>
        <v>4.29</v>
      </c>
    </row>
    <row r="1628" spans="1:11" x14ac:dyDescent="0.3">
      <c r="A1628" s="28">
        <v>46289</v>
      </c>
      <c r="B1628" s="29" t="str">
        <f t="shared" si="179"/>
        <v>SETEMBRO</v>
      </c>
      <c r="C1628" s="12" t="s">
        <v>11</v>
      </c>
      <c r="D1628" s="12" t="s">
        <v>12</v>
      </c>
      <c r="E1628" s="30">
        <v>880</v>
      </c>
      <c r="F1628" s="30">
        <v>923</v>
      </c>
      <c r="G1628" s="29">
        <v>44</v>
      </c>
      <c r="H1628" s="31">
        <v>44</v>
      </c>
      <c r="I1628" s="29">
        <f>IFERROR(IF(T_PROD[[#This Row],[PREVISTO]]-T_PROD[[#This Row],[EFETIVO]]&lt; 0,0,T_PROD[[#This Row],[PREVISTO]]-T_PROD[[#This Row],[EFETIVO]] ),"")</f>
        <v>0</v>
      </c>
      <c r="J1628" s="32">
        <f>IFERROR(IF(T_PROD[[#This Row],[META]]&gt;0,(T_PROD[[#This Row],[META]]/T_PROD[[#This Row],[PREVISTO]]),""),"")</f>
        <v>20</v>
      </c>
      <c r="K1628" s="32">
        <f>IFERROR(IF(T_PROD[[#This Row],[PRODUÇÃO]]&gt;0,(T_PROD[[#This Row],[PRODUÇÃO]]/T_PROD[[#This Row],[EFETIVO]]),""),"")</f>
        <v>20.977272727272727</v>
      </c>
    </row>
    <row r="1629" spans="1:11" x14ac:dyDescent="0.3">
      <c r="A1629" s="28">
        <v>46289</v>
      </c>
      <c r="B1629" s="29" t="str">
        <f t="shared" si="179"/>
        <v>SETEMBRO</v>
      </c>
      <c r="C1629" s="12" t="s">
        <v>32</v>
      </c>
      <c r="D1629" s="12" t="s">
        <v>12</v>
      </c>
      <c r="E1629" s="30">
        <v>77</v>
      </c>
      <c r="F1629" s="30">
        <v>77</v>
      </c>
      <c r="G1629" s="29">
        <v>7</v>
      </c>
      <c r="H1629" s="31">
        <v>7</v>
      </c>
      <c r="I1629" s="29">
        <f>IFERROR(IF(T_PROD[[#This Row],[PREVISTO]]-T_PROD[[#This Row],[EFETIVO]]&lt; 0,0,T_PROD[[#This Row],[PREVISTO]]-T_PROD[[#This Row],[EFETIVO]] ),"")</f>
        <v>0</v>
      </c>
      <c r="J1629" s="32">
        <f>IFERROR(IF(T_PROD[[#This Row],[META]]&gt;0,(T_PROD[[#This Row],[META]]/T_PROD[[#This Row],[PREVISTO]]),""),"")</f>
        <v>11</v>
      </c>
      <c r="K1629" s="32">
        <f>IFERROR(IF(T_PROD[[#This Row],[PRODUÇÃO]]&gt;0,(T_PROD[[#This Row],[PRODUÇÃO]]/T_PROD[[#This Row],[EFETIVO]]),""),"")</f>
        <v>11</v>
      </c>
    </row>
    <row r="1630" spans="1:11" x14ac:dyDescent="0.3">
      <c r="A1630" s="28">
        <v>46289</v>
      </c>
      <c r="B1630" s="29" t="str">
        <f t="shared" si="179"/>
        <v>SETEMBRO</v>
      </c>
      <c r="C1630" s="12" t="s">
        <v>14</v>
      </c>
      <c r="D1630" s="12" t="s">
        <v>12</v>
      </c>
      <c r="E1630" s="30">
        <v>957</v>
      </c>
      <c r="F1630" s="30">
        <v>1000</v>
      </c>
      <c r="G1630" s="29">
        <v>100</v>
      </c>
      <c r="H1630" s="31">
        <v>99</v>
      </c>
      <c r="I1630" s="29">
        <f>IFERROR(IF(T_PROD[[#This Row],[PREVISTO]]-T_PROD[[#This Row],[EFETIVO]]&lt; 0,0,T_PROD[[#This Row],[PREVISTO]]-T_PROD[[#This Row],[EFETIVO]] ),"")</f>
        <v>1</v>
      </c>
      <c r="J1630" s="32">
        <f>IFERROR(IF(T_PROD[[#This Row],[META]]&gt;0,(T_PROD[[#This Row],[META]]/T_PROD[[#This Row],[PREVISTO]]),""),"")</f>
        <v>9.57</v>
      </c>
      <c r="K1630" s="32">
        <f>IFERROR(IF(T_PROD[[#This Row],[PRODUÇÃO]]&gt;0,(T_PROD[[#This Row],[PRODUÇÃO]]/T_PROD[[#This Row],[EFETIVO]]),""),"")</f>
        <v>10.1010101010101</v>
      </c>
    </row>
    <row r="1631" spans="1:11" x14ac:dyDescent="0.3">
      <c r="A1631" s="28">
        <v>46290</v>
      </c>
      <c r="B1631" s="29" t="str">
        <f>UPPER(TEXT(A1631,"MMMM"))</f>
        <v>SETEMBRO</v>
      </c>
      <c r="C1631" s="6" t="s">
        <v>15</v>
      </c>
      <c r="D1631" s="12" t="s">
        <v>12</v>
      </c>
      <c r="E1631" s="30">
        <v>75</v>
      </c>
      <c r="F1631" s="30">
        <v>21</v>
      </c>
      <c r="G1631" s="29">
        <v>5</v>
      </c>
      <c r="H1631" s="31">
        <v>5</v>
      </c>
      <c r="I1631" s="29">
        <f>IFERROR(IF(T_PROD[[#This Row],[PREVISTO]]-T_PROD[[#This Row],[EFETIVO]]&lt; 0,0,T_PROD[[#This Row],[PREVISTO]]-T_PROD[[#This Row],[EFETIVO]] ),"")</f>
        <v>0</v>
      </c>
      <c r="J1631" s="32">
        <f>IFERROR(IF(T_PROD[[#This Row],[META]]&gt;0,(T_PROD[[#This Row],[META]]/T_PROD[[#This Row],[PREVISTO]]),""),"")</f>
        <v>15</v>
      </c>
      <c r="K1631" s="32">
        <f>IFERROR(IF(T_PROD[[#This Row],[PRODUÇÃO]]&gt;0,(T_PROD[[#This Row],[PRODUÇÃO]]/T_PROD[[#This Row],[EFETIVO]]),""),"")</f>
        <v>4.2</v>
      </c>
    </row>
    <row r="1632" spans="1:11" x14ac:dyDescent="0.3">
      <c r="A1632" s="28">
        <v>46290</v>
      </c>
      <c r="B1632" s="29" t="str">
        <f t="shared" ref="B1632:B1639" si="180">UPPER(TEXT(A1632,"MMMM"))</f>
        <v>SETEMBRO</v>
      </c>
      <c r="C1632" s="12" t="s">
        <v>16</v>
      </c>
      <c r="D1632" s="12" t="s">
        <v>12</v>
      </c>
      <c r="E1632" s="30">
        <v>238</v>
      </c>
      <c r="F1632" s="30">
        <v>162</v>
      </c>
      <c r="G1632" s="29">
        <v>7</v>
      </c>
      <c r="H1632" s="31">
        <v>7</v>
      </c>
      <c r="I1632" s="29">
        <f>IFERROR(IF(T_PROD[[#This Row],[PREVISTO]]-T_PROD[[#This Row],[EFETIVO]]&lt; 0,0,T_PROD[[#This Row],[PREVISTO]]-T_PROD[[#This Row],[EFETIVO]] ),"")</f>
        <v>0</v>
      </c>
      <c r="J1632" s="32">
        <f>IFERROR(IF(T_PROD[[#This Row],[META]]&gt;0,(T_PROD[[#This Row],[META]]/T_PROD[[#This Row],[PREVISTO]]),""),"")</f>
        <v>34</v>
      </c>
      <c r="K1632" s="32">
        <f>IFERROR(IF(T_PROD[[#This Row],[PRODUÇÃO]]&gt;0,(T_PROD[[#This Row],[PRODUÇÃO]]/T_PROD[[#This Row],[EFETIVO]]),""),"")</f>
        <v>23.142857142857142</v>
      </c>
    </row>
    <row r="1633" spans="1:11" x14ac:dyDescent="0.3">
      <c r="A1633" s="28">
        <v>46290</v>
      </c>
      <c r="B1633" s="29" t="str">
        <f t="shared" si="180"/>
        <v>SETEMBRO</v>
      </c>
      <c r="C1633" s="12" t="s">
        <v>17</v>
      </c>
      <c r="D1633" s="12" t="s">
        <v>12</v>
      </c>
      <c r="E1633" s="30">
        <v>330</v>
      </c>
      <c r="F1633" s="30">
        <v>240</v>
      </c>
      <c r="G1633" s="29">
        <v>15</v>
      </c>
      <c r="H1633" s="31">
        <v>15</v>
      </c>
      <c r="I1633" s="29">
        <f>IFERROR(IF(T_PROD[[#This Row],[PREVISTO]]-T_PROD[[#This Row],[EFETIVO]]&lt; 0,0,T_PROD[[#This Row],[PREVISTO]]-T_PROD[[#This Row],[EFETIVO]] ),"")</f>
        <v>0</v>
      </c>
      <c r="J1633" s="32">
        <f>IFERROR(IF(T_PROD[[#This Row],[META]]&gt;0,(T_PROD[[#This Row],[META]]/T_PROD[[#This Row],[PREVISTO]]),""),"")</f>
        <v>22</v>
      </c>
      <c r="K1633" s="32">
        <f>IFERROR(IF(T_PROD[[#This Row],[PRODUÇÃO]]&gt;0,(T_PROD[[#This Row],[PRODUÇÃO]]/T_PROD[[#This Row],[EFETIVO]]),""),"")</f>
        <v>16</v>
      </c>
    </row>
    <row r="1634" spans="1:11" x14ac:dyDescent="0.3">
      <c r="A1634" s="28">
        <v>46290</v>
      </c>
      <c r="B1634" s="29" t="str">
        <f t="shared" si="180"/>
        <v>SETEMBRO</v>
      </c>
      <c r="C1634" s="12" t="s">
        <v>18</v>
      </c>
      <c r="D1634" s="12" t="s">
        <v>12</v>
      </c>
      <c r="E1634" s="30"/>
      <c r="F1634" s="30"/>
      <c r="G1634" s="29"/>
      <c r="H1634" s="31"/>
      <c r="I1634" s="29">
        <f>IFERROR(IF(T_PROD[[#This Row],[PREVISTO]]-T_PROD[[#This Row],[EFETIVO]]&lt; 0,0,T_PROD[[#This Row],[PREVISTO]]-T_PROD[[#This Row],[EFETIVO]] ),"")</f>
        <v>0</v>
      </c>
      <c r="J1634" s="32" t="str">
        <f>IFERROR(IF(T_PROD[[#This Row],[META]]&gt;0,(T_PROD[[#This Row],[META]]/T_PROD[[#This Row],[PREVISTO]]),""),"")</f>
        <v/>
      </c>
      <c r="K1634" s="32" t="str">
        <f>IFERROR(IF(T_PROD[[#This Row],[PRODUÇÃO]]&gt;0,(T_PROD[[#This Row],[PRODUÇÃO]]/T_PROD[[#This Row],[EFETIVO]]),""),"")</f>
        <v/>
      </c>
    </row>
    <row r="1635" spans="1:11" x14ac:dyDescent="0.3">
      <c r="A1635" s="28">
        <v>46290</v>
      </c>
      <c r="B1635" s="29" t="str">
        <f t="shared" si="180"/>
        <v>SETEMBRO</v>
      </c>
      <c r="C1635" s="12" t="s">
        <v>19</v>
      </c>
      <c r="D1635" s="12" t="s">
        <v>12</v>
      </c>
      <c r="E1635" s="30"/>
      <c r="F1635" s="30"/>
      <c r="G1635" s="29"/>
      <c r="H1635" s="31"/>
      <c r="I1635" s="29">
        <f>IFERROR(IF(T_PROD[[#This Row],[PREVISTO]]-T_PROD[[#This Row],[EFETIVO]]&lt; 0,0,T_PROD[[#This Row],[PREVISTO]]-T_PROD[[#This Row],[EFETIVO]] ),"")</f>
        <v>0</v>
      </c>
      <c r="J1635" s="32" t="str">
        <f>IFERROR(IF(T_PROD[[#This Row],[META]]&gt;0,(T_PROD[[#This Row],[META]]/T_PROD[[#This Row],[PREVISTO]]),""),"")</f>
        <v/>
      </c>
      <c r="K1635" s="32" t="str">
        <f>IFERROR(IF(T_PROD[[#This Row],[PRODUÇÃO]]&gt;0,(T_PROD[[#This Row],[PRODUÇÃO]]/T_PROD[[#This Row],[EFETIVO]]),""),"")</f>
        <v/>
      </c>
    </row>
    <row r="1636" spans="1:11" x14ac:dyDescent="0.3">
      <c r="A1636" s="28">
        <v>46290</v>
      </c>
      <c r="B1636" s="29" t="str">
        <f t="shared" si="180"/>
        <v>SETEMBRO</v>
      </c>
      <c r="C1636" s="12" t="s">
        <v>20</v>
      </c>
      <c r="D1636" s="12" t="s">
        <v>12</v>
      </c>
      <c r="E1636" s="30">
        <v>643</v>
      </c>
      <c r="F1636" s="30">
        <v>423</v>
      </c>
      <c r="G1636" s="29">
        <v>100</v>
      </c>
      <c r="H1636" s="31">
        <v>100</v>
      </c>
      <c r="I1636" s="29">
        <f>IFERROR(IF(T_PROD[[#This Row],[PREVISTO]]-T_PROD[[#This Row],[EFETIVO]]&lt; 0,0,T_PROD[[#This Row],[PREVISTO]]-T_PROD[[#This Row],[EFETIVO]] ),"")</f>
        <v>0</v>
      </c>
      <c r="J1636" s="32">
        <f>IFERROR(IF(T_PROD[[#This Row],[META]]&gt;0,(T_PROD[[#This Row],[META]]/T_PROD[[#This Row],[PREVISTO]]),""),"")</f>
        <v>6.43</v>
      </c>
      <c r="K1636" s="32">
        <f>IFERROR(IF(T_PROD[[#This Row],[PRODUÇÃO]]&gt;0,(T_PROD[[#This Row],[PRODUÇÃO]]/T_PROD[[#This Row],[EFETIVO]]),""),"")</f>
        <v>4.2300000000000004</v>
      </c>
    </row>
    <row r="1637" spans="1:11" x14ac:dyDescent="0.3">
      <c r="A1637" s="28">
        <v>46290</v>
      </c>
      <c r="B1637" s="29" t="str">
        <f t="shared" si="180"/>
        <v>SETEMBRO</v>
      </c>
      <c r="C1637" s="12" t="s">
        <v>11</v>
      </c>
      <c r="D1637" s="12" t="s">
        <v>12</v>
      </c>
      <c r="E1637" s="30">
        <v>680</v>
      </c>
      <c r="F1637" s="30">
        <v>700</v>
      </c>
      <c r="G1637" s="29">
        <v>34</v>
      </c>
      <c r="H1637" s="31">
        <v>34</v>
      </c>
      <c r="I1637" s="29">
        <f>IFERROR(IF(T_PROD[[#This Row],[PREVISTO]]-T_PROD[[#This Row],[EFETIVO]]&lt; 0,0,T_PROD[[#This Row],[PREVISTO]]-T_PROD[[#This Row],[EFETIVO]] ),"")</f>
        <v>0</v>
      </c>
      <c r="J1637" s="32">
        <f>IFERROR(IF(T_PROD[[#This Row],[META]]&gt;0,(T_PROD[[#This Row],[META]]/T_PROD[[#This Row],[PREVISTO]]),""),"")</f>
        <v>20</v>
      </c>
      <c r="K1637" s="32">
        <f>IFERROR(IF(T_PROD[[#This Row],[PRODUÇÃO]]&gt;0,(T_PROD[[#This Row],[PRODUÇÃO]]/T_PROD[[#This Row],[EFETIVO]]),""),"")</f>
        <v>20.588235294117649</v>
      </c>
    </row>
    <row r="1638" spans="1:11" x14ac:dyDescent="0.3">
      <c r="A1638" s="28">
        <v>46290</v>
      </c>
      <c r="B1638" s="29" t="str">
        <f t="shared" si="180"/>
        <v>SETEMBRO</v>
      </c>
      <c r="C1638" s="12" t="s">
        <v>32</v>
      </c>
      <c r="D1638" s="12" t="s">
        <v>12</v>
      </c>
      <c r="E1638" s="30">
        <v>55</v>
      </c>
      <c r="F1638" s="30">
        <v>61</v>
      </c>
      <c r="G1638" s="29">
        <v>5</v>
      </c>
      <c r="H1638" s="31">
        <v>5</v>
      </c>
      <c r="I1638" s="29">
        <f>IFERROR(IF(T_PROD[[#This Row],[PREVISTO]]-T_PROD[[#This Row],[EFETIVO]]&lt; 0,0,T_PROD[[#This Row],[PREVISTO]]-T_PROD[[#This Row],[EFETIVO]] ),"")</f>
        <v>0</v>
      </c>
      <c r="J1638" s="32">
        <f>IFERROR(IF(T_PROD[[#This Row],[META]]&gt;0,(T_PROD[[#This Row],[META]]/T_PROD[[#This Row],[PREVISTO]]),""),"")</f>
        <v>11</v>
      </c>
      <c r="K1638" s="32">
        <f>IFERROR(IF(T_PROD[[#This Row],[PRODUÇÃO]]&gt;0,(T_PROD[[#This Row],[PRODUÇÃO]]/T_PROD[[#This Row],[EFETIVO]]),""),"")</f>
        <v>12.2</v>
      </c>
    </row>
    <row r="1639" spans="1:11" x14ac:dyDescent="0.3">
      <c r="A1639" s="28">
        <v>46290</v>
      </c>
      <c r="B1639" s="29" t="str">
        <f t="shared" si="180"/>
        <v>SETEMBRO</v>
      </c>
      <c r="C1639" s="12" t="s">
        <v>14</v>
      </c>
      <c r="D1639" s="12" t="s">
        <v>12</v>
      </c>
      <c r="E1639" s="30">
        <v>735</v>
      </c>
      <c r="F1639" s="30">
        <v>761</v>
      </c>
      <c r="G1639" s="29">
        <v>80</v>
      </c>
      <c r="H1639" s="31">
        <v>78</v>
      </c>
      <c r="I1639" s="29">
        <f>IFERROR(IF(T_PROD[[#This Row],[PREVISTO]]-T_PROD[[#This Row],[EFETIVO]]&lt; 0,0,T_PROD[[#This Row],[PREVISTO]]-T_PROD[[#This Row],[EFETIVO]] ),"")</f>
        <v>2</v>
      </c>
      <c r="J1639" s="32">
        <f>IFERROR(IF(T_PROD[[#This Row],[META]]&gt;0,(T_PROD[[#This Row],[META]]/T_PROD[[#This Row],[PREVISTO]]),""),"")</f>
        <v>9.1875</v>
      </c>
      <c r="K1639" s="32">
        <f>IFERROR(IF(T_PROD[[#This Row],[PRODUÇÃO]]&gt;0,(T_PROD[[#This Row],[PRODUÇÃO]]/T_PROD[[#This Row],[EFETIVO]]),""),"")</f>
        <v>9.7564102564102573</v>
      </c>
    </row>
    <row r="1640" spans="1:11" x14ac:dyDescent="0.3">
      <c r="A1640" s="28">
        <v>46293</v>
      </c>
      <c r="B1640" s="29" t="str">
        <f>UPPER(TEXT(A1640,"MMMM"))</f>
        <v>SETEMBRO</v>
      </c>
      <c r="C1640" s="6" t="s">
        <v>15</v>
      </c>
      <c r="D1640" s="12" t="s">
        <v>12</v>
      </c>
      <c r="E1640" s="30">
        <v>60</v>
      </c>
      <c r="F1640" s="30">
        <v>20</v>
      </c>
      <c r="G1640" s="29">
        <v>4</v>
      </c>
      <c r="H1640" s="31">
        <v>4</v>
      </c>
      <c r="I1640" s="29">
        <f>IFERROR(IF(T_PROD[[#This Row],[PREVISTO]]-T_PROD[[#This Row],[EFETIVO]]&lt; 0,0,T_PROD[[#This Row],[PREVISTO]]-T_PROD[[#This Row],[EFETIVO]] ),"")</f>
        <v>0</v>
      </c>
      <c r="J1640" s="32">
        <f>IFERROR(IF(T_PROD[[#This Row],[META]]&gt;0,(T_PROD[[#This Row],[META]]/T_PROD[[#This Row],[PREVISTO]]),""),"")</f>
        <v>15</v>
      </c>
      <c r="K1640" s="32">
        <f>IFERROR(IF(T_PROD[[#This Row],[PRODUÇÃO]]&gt;0,(T_PROD[[#This Row],[PRODUÇÃO]]/T_PROD[[#This Row],[EFETIVO]]),""),"")</f>
        <v>5</v>
      </c>
    </row>
    <row r="1641" spans="1:11" x14ac:dyDescent="0.3">
      <c r="A1641" s="28">
        <v>46293</v>
      </c>
      <c r="B1641" s="29" t="str">
        <f t="shared" ref="B1641:B1648" si="181">UPPER(TEXT(A1641,"MMMM"))</f>
        <v>SETEMBRO</v>
      </c>
      <c r="C1641" s="12" t="s">
        <v>16</v>
      </c>
      <c r="D1641" s="12" t="s">
        <v>12</v>
      </c>
      <c r="E1641" s="30">
        <v>238</v>
      </c>
      <c r="F1641" s="30">
        <v>250</v>
      </c>
      <c r="G1641" s="29">
        <v>7</v>
      </c>
      <c r="H1641" s="31">
        <v>7</v>
      </c>
      <c r="I1641" s="29">
        <f>IFERROR(IF(T_PROD[[#This Row],[PREVISTO]]-T_PROD[[#This Row],[EFETIVO]]&lt; 0,0,T_PROD[[#This Row],[PREVISTO]]-T_PROD[[#This Row],[EFETIVO]] ),"")</f>
        <v>0</v>
      </c>
      <c r="J1641" s="32">
        <f>IFERROR(IF(T_PROD[[#This Row],[META]]&gt;0,(T_PROD[[#This Row],[META]]/T_PROD[[#This Row],[PREVISTO]]),""),"")</f>
        <v>34</v>
      </c>
      <c r="K1641" s="32">
        <f>IFERROR(IF(T_PROD[[#This Row],[PRODUÇÃO]]&gt;0,(T_PROD[[#This Row],[PRODUÇÃO]]/T_PROD[[#This Row],[EFETIVO]]),""),"")</f>
        <v>35.714285714285715</v>
      </c>
    </row>
    <row r="1642" spans="1:11" x14ac:dyDescent="0.3">
      <c r="A1642" s="28">
        <v>46293</v>
      </c>
      <c r="B1642" s="29" t="str">
        <f t="shared" si="181"/>
        <v>SETEMBRO</v>
      </c>
      <c r="C1642" s="12" t="s">
        <v>17</v>
      </c>
      <c r="D1642" s="12" t="s">
        <v>12</v>
      </c>
      <c r="E1642" s="30">
        <v>352</v>
      </c>
      <c r="F1642" s="30">
        <v>300</v>
      </c>
      <c r="G1642" s="29">
        <v>16</v>
      </c>
      <c r="H1642" s="31">
        <v>16</v>
      </c>
      <c r="I1642" s="29">
        <f>IFERROR(IF(T_PROD[[#This Row],[PREVISTO]]-T_PROD[[#This Row],[EFETIVO]]&lt; 0,0,T_PROD[[#This Row],[PREVISTO]]-T_PROD[[#This Row],[EFETIVO]] ),"")</f>
        <v>0</v>
      </c>
      <c r="J1642" s="32">
        <f>IFERROR(IF(T_PROD[[#This Row],[META]]&gt;0,(T_PROD[[#This Row],[META]]/T_PROD[[#This Row],[PREVISTO]]),""),"")</f>
        <v>22</v>
      </c>
      <c r="K1642" s="32">
        <f>IFERROR(IF(T_PROD[[#This Row],[PRODUÇÃO]]&gt;0,(T_PROD[[#This Row],[PRODUÇÃO]]/T_PROD[[#This Row],[EFETIVO]]),""),"")</f>
        <v>18.75</v>
      </c>
    </row>
    <row r="1643" spans="1:11" x14ac:dyDescent="0.3">
      <c r="A1643" s="28">
        <v>46293</v>
      </c>
      <c r="B1643" s="29" t="str">
        <f t="shared" si="181"/>
        <v>SETEMBRO</v>
      </c>
      <c r="C1643" s="12" t="s">
        <v>18</v>
      </c>
      <c r="D1643" s="12" t="s">
        <v>12</v>
      </c>
      <c r="E1643" s="30"/>
      <c r="F1643" s="30"/>
      <c r="G1643" s="29"/>
      <c r="H1643" s="31"/>
      <c r="I1643" s="29">
        <f>IFERROR(IF(T_PROD[[#This Row],[PREVISTO]]-T_PROD[[#This Row],[EFETIVO]]&lt; 0,0,T_PROD[[#This Row],[PREVISTO]]-T_PROD[[#This Row],[EFETIVO]] ),"")</f>
        <v>0</v>
      </c>
      <c r="J1643" s="32" t="str">
        <f>IFERROR(IF(T_PROD[[#This Row],[META]]&gt;0,(T_PROD[[#This Row],[META]]/T_PROD[[#This Row],[PREVISTO]]),""),"")</f>
        <v/>
      </c>
      <c r="K1643" s="32" t="str">
        <f>IFERROR(IF(T_PROD[[#This Row],[PRODUÇÃO]]&gt;0,(T_PROD[[#This Row],[PRODUÇÃO]]/T_PROD[[#This Row],[EFETIVO]]),""),"")</f>
        <v/>
      </c>
    </row>
    <row r="1644" spans="1:11" x14ac:dyDescent="0.3">
      <c r="A1644" s="28">
        <v>46293</v>
      </c>
      <c r="B1644" s="29" t="str">
        <f t="shared" si="181"/>
        <v>SETEMBRO</v>
      </c>
      <c r="C1644" s="12" t="s">
        <v>19</v>
      </c>
      <c r="D1644" s="12" t="s">
        <v>12</v>
      </c>
      <c r="E1644" s="30"/>
      <c r="F1644" s="30"/>
      <c r="G1644" s="29"/>
      <c r="H1644" s="31"/>
      <c r="I1644" s="29">
        <f>IFERROR(IF(T_PROD[[#This Row],[PREVISTO]]-T_PROD[[#This Row],[EFETIVO]]&lt; 0,0,T_PROD[[#This Row],[PREVISTO]]-T_PROD[[#This Row],[EFETIVO]] ),"")</f>
        <v>0</v>
      </c>
      <c r="J1644" s="32" t="str">
        <f>IFERROR(IF(T_PROD[[#This Row],[META]]&gt;0,(T_PROD[[#This Row],[META]]/T_PROD[[#This Row],[PREVISTO]]),""),"")</f>
        <v/>
      </c>
      <c r="K1644" s="32" t="str">
        <f>IFERROR(IF(T_PROD[[#This Row],[PRODUÇÃO]]&gt;0,(T_PROD[[#This Row],[PRODUÇÃO]]/T_PROD[[#This Row],[EFETIVO]]),""),"")</f>
        <v/>
      </c>
    </row>
    <row r="1645" spans="1:11" x14ac:dyDescent="0.3">
      <c r="A1645" s="28">
        <v>46293</v>
      </c>
      <c r="B1645" s="29" t="str">
        <f t="shared" si="181"/>
        <v>SETEMBRO</v>
      </c>
      <c r="C1645" s="12" t="s">
        <v>20</v>
      </c>
      <c r="D1645" s="12" t="s">
        <v>12</v>
      </c>
      <c r="E1645" s="30">
        <v>650</v>
      </c>
      <c r="F1645" s="30">
        <v>570</v>
      </c>
      <c r="G1645" s="29">
        <v>100</v>
      </c>
      <c r="H1645" s="31">
        <v>100</v>
      </c>
      <c r="I1645" s="29">
        <f>IFERROR(IF(T_PROD[[#This Row],[PREVISTO]]-T_PROD[[#This Row],[EFETIVO]]&lt; 0,0,T_PROD[[#This Row],[PREVISTO]]-T_PROD[[#This Row],[EFETIVO]] ),"")</f>
        <v>0</v>
      </c>
      <c r="J1645" s="32">
        <f>IFERROR(IF(T_PROD[[#This Row],[META]]&gt;0,(T_PROD[[#This Row],[META]]/T_PROD[[#This Row],[PREVISTO]]),""),"")</f>
        <v>6.5</v>
      </c>
      <c r="K1645" s="32">
        <f>IFERROR(IF(T_PROD[[#This Row],[PRODUÇÃO]]&gt;0,(T_PROD[[#This Row],[PRODUÇÃO]]/T_PROD[[#This Row],[EFETIVO]]),""),"")</f>
        <v>5.7</v>
      </c>
    </row>
    <row r="1646" spans="1:11" x14ac:dyDescent="0.3">
      <c r="A1646" s="28">
        <v>46293</v>
      </c>
      <c r="B1646" s="29" t="str">
        <f t="shared" si="181"/>
        <v>SETEMBRO</v>
      </c>
      <c r="C1646" s="12" t="s">
        <v>11</v>
      </c>
      <c r="D1646" s="12" t="s">
        <v>12</v>
      </c>
      <c r="E1646" s="30">
        <v>860</v>
      </c>
      <c r="F1646" s="30">
        <v>900</v>
      </c>
      <c r="G1646" s="29">
        <v>43</v>
      </c>
      <c r="H1646" s="31">
        <v>43</v>
      </c>
      <c r="I1646" s="29">
        <f>IFERROR(IF(T_PROD[[#This Row],[PREVISTO]]-T_PROD[[#This Row],[EFETIVO]]&lt; 0,0,T_PROD[[#This Row],[PREVISTO]]-T_PROD[[#This Row],[EFETIVO]] ),"")</f>
        <v>0</v>
      </c>
      <c r="J1646" s="32">
        <f>IFERROR(IF(T_PROD[[#This Row],[META]]&gt;0,(T_PROD[[#This Row],[META]]/T_PROD[[#This Row],[PREVISTO]]),""),"")</f>
        <v>20</v>
      </c>
      <c r="K1646" s="32">
        <f>IFERROR(IF(T_PROD[[#This Row],[PRODUÇÃO]]&gt;0,(T_PROD[[#This Row],[PRODUÇÃO]]/T_PROD[[#This Row],[EFETIVO]]),""),"")</f>
        <v>20.930232558139537</v>
      </c>
    </row>
    <row r="1647" spans="1:11" x14ac:dyDescent="0.3">
      <c r="A1647" s="28">
        <v>46293</v>
      </c>
      <c r="B1647" s="29" t="str">
        <f t="shared" si="181"/>
        <v>SETEMBRO</v>
      </c>
      <c r="C1647" s="12" t="s">
        <v>32</v>
      </c>
      <c r="D1647" s="12" t="s">
        <v>12</v>
      </c>
      <c r="E1647" s="30">
        <v>77</v>
      </c>
      <c r="F1647" s="30">
        <v>62</v>
      </c>
      <c r="G1647" s="29">
        <v>7</v>
      </c>
      <c r="H1647" s="31">
        <v>7</v>
      </c>
      <c r="I1647" s="29">
        <f>IFERROR(IF(T_PROD[[#This Row],[PREVISTO]]-T_PROD[[#This Row],[EFETIVO]]&lt; 0,0,T_PROD[[#This Row],[PREVISTO]]-T_PROD[[#This Row],[EFETIVO]] ),"")</f>
        <v>0</v>
      </c>
      <c r="J1647" s="32">
        <f>IFERROR(IF(T_PROD[[#This Row],[META]]&gt;0,(T_PROD[[#This Row],[META]]/T_PROD[[#This Row],[PREVISTO]]),""),"")</f>
        <v>11</v>
      </c>
      <c r="K1647" s="32">
        <f>IFERROR(IF(T_PROD[[#This Row],[PRODUÇÃO]]&gt;0,(T_PROD[[#This Row],[PRODUÇÃO]]/T_PROD[[#This Row],[EFETIVO]]),""),"")</f>
        <v>8.8571428571428577</v>
      </c>
    </row>
    <row r="1648" spans="1:11" x14ac:dyDescent="0.3">
      <c r="A1648" s="28">
        <v>46293</v>
      </c>
      <c r="B1648" s="29" t="str">
        <f t="shared" si="181"/>
        <v>SETEMBRO</v>
      </c>
      <c r="C1648" s="12" t="s">
        <v>14</v>
      </c>
      <c r="D1648" s="12" t="s">
        <v>12</v>
      </c>
      <c r="E1648" s="30">
        <v>937</v>
      </c>
      <c r="F1648" s="30">
        <v>962</v>
      </c>
      <c r="G1648" s="29">
        <v>100</v>
      </c>
      <c r="H1648" s="31">
        <v>98</v>
      </c>
      <c r="I1648" s="29">
        <f>IFERROR(IF(T_PROD[[#This Row],[PREVISTO]]-T_PROD[[#This Row],[EFETIVO]]&lt; 0,0,T_PROD[[#This Row],[PREVISTO]]-T_PROD[[#This Row],[EFETIVO]] ),"")</f>
        <v>2</v>
      </c>
      <c r="J1648" s="32">
        <f>IFERROR(IF(T_PROD[[#This Row],[META]]&gt;0,(T_PROD[[#This Row],[META]]/T_PROD[[#This Row],[PREVISTO]]),""),"")</f>
        <v>9.3699999999999992</v>
      </c>
      <c r="K1648" s="32">
        <f>IFERROR(IF(T_PROD[[#This Row],[PRODUÇÃO]]&gt;0,(T_PROD[[#This Row],[PRODUÇÃO]]/T_PROD[[#This Row],[EFETIVO]]),""),"")</f>
        <v>9.816326530612244</v>
      </c>
    </row>
    <row r="1649" spans="1:11" x14ac:dyDescent="0.3">
      <c r="A1649" s="28">
        <v>46294</v>
      </c>
      <c r="B1649" s="29" t="str">
        <f>UPPER(TEXT(A1649,"MMMM"))</f>
        <v>SETEMBRO</v>
      </c>
      <c r="C1649" s="6" t="s">
        <v>15</v>
      </c>
      <c r="D1649" s="12" t="s">
        <v>12</v>
      </c>
      <c r="E1649" s="30">
        <v>15</v>
      </c>
      <c r="F1649" s="30">
        <v>6</v>
      </c>
      <c r="G1649" s="29">
        <v>1</v>
      </c>
      <c r="H1649" s="31">
        <v>1</v>
      </c>
      <c r="I1649" s="29">
        <f>IFERROR(IF(T_PROD[[#This Row],[PREVISTO]]-T_PROD[[#This Row],[EFETIVO]]&lt; 0,0,T_PROD[[#This Row],[PREVISTO]]-T_PROD[[#This Row],[EFETIVO]] ),"")</f>
        <v>0</v>
      </c>
      <c r="J1649" s="32">
        <f>IFERROR(IF(T_PROD[[#This Row],[META]]&gt;0,(T_PROD[[#This Row],[META]]/T_PROD[[#This Row],[PREVISTO]]),""),"")</f>
        <v>15</v>
      </c>
      <c r="K1649" s="32">
        <f>IFERROR(IF(T_PROD[[#This Row],[PRODUÇÃO]]&gt;0,(T_PROD[[#This Row],[PRODUÇÃO]]/T_PROD[[#This Row],[EFETIVO]]),""),"")</f>
        <v>6</v>
      </c>
    </row>
    <row r="1650" spans="1:11" x14ac:dyDescent="0.3">
      <c r="A1650" s="28">
        <v>46294</v>
      </c>
      <c r="B1650" s="29" t="str">
        <f t="shared" ref="B1650:B1657" si="182">UPPER(TEXT(A1650,"MMMM"))</f>
        <v>SETEMBRO</v>
      </c>
      <c r="C1650" s="12" t="s">
        <v>16</v>
      </c>
      <c r="D1650" s="12" t="s">
        <v>12</v>
      </c>
      <c r="E1650" s="30"/>
      <c r="F1650" s="30"/>
      <c r="G1650" s="29"/>
      <c r="H1650" s="31"/>
      <c r="I1650" s="29">
        <f>IFERROR(IF(T_PROD[[#This Row],[PREVISTO]]-T_PROD[[#This Row],[EFETIVO]]&lt; 0,0,T_PROD[[#This Row],[PREVISTO]]-T_PROD[[#This Row],[EFETIVO]] ),"")</f>
        <v>0</v>
      </c>
      <c r="J1650" s="32" t="str">
        <f>IFERROR(IF(T_PROD[[#This Row],[META]]&gt;0,(T_PROD[[#This Row],[META]]/T_PROD[[#This Row],[PREVISTO]]),""),"")</f>
        <v/>
      </c>
      <c r="K1650" s="32" t="str">
        <f>IFERROR(IF(T_PROD[[#This Row],[PRODUÇÃO]]&gt;0,(T_PROD[[#This Row],[PRODUÇÃO]]/T_PROD[[#This Row],[EFETIVO]]),""),"")</f>
        <v/>
      </c>
    </row>
    <row r="1651" spans="1:11" x14ac:dyDescent="0.3">
      <c r="A1651" s="28">
        <v>46294</v>
      </c>
      <c r="B1651" s="29" t="str">
        <f t="shared" si="182"/>
        <v>SETEMBRO</v>
      </c>
      <c r="C1651" s="12" t="s">
        <v>17</v>
      </c>
      <c r="D1651" s="12" t="s">
        <v>12</v>
      </c>
      <c r="E1651" s="30">
        <v>352</v>
      </c>
      <c r="F1651" s="30">
        <v>361</v>
      </c>
      <c r="G1651" s="29">
        <v>16</v>
      </c>
      <c r="H1651" s="31">
        <v>16</v>
      </c>
      <c r="I1651" s="29">
        <f>IFERROR(IF(T_PROD[[#This Row],[PREVISTO]]-T_PROD[[#This Row],[EFETIVO]]&lt; 0,0,T_PROD[[#This Row],[PREVISTO]]-T_PROD[[#This Row],[EFETIVO]] ),"")</f>
        <v>0</v>
      </c>
      <c r="J1651" s="32">
        <f>IFERROR(IF(T_PROD[[#This Row],[META]]&gt;0,(T_PROD[[#This Row],[META]]/T_PROD[[#This Row],[PREVISTO]]),""),"")</f>
        <v>22</v>
      </c>
      <c r="K1651" s="32">
        <f>IFERROR(IF(T_PROD[[#This Row],[PRODUÇÃO]]&gt;0,(T_PROD[[#This Row],[PRODUÇÃO]]/T_PROD[[#This Row],[EFETIVO]]),""),"")</f>
        <v>22.5625</v>
      </c>
    </row>
    <row r="1652" spans="1:11" x14ac:dyDescent="0.3">
      <c r="A1652" s="28">
        <v>46294</v>
      </c>
      <c r="B1652" s="29" t="str">
        <f t="shared" si="182"/>
        <v>SETEMBRO</v>
      </c>
      <c r="C1652" s="12" t="s">
        <v>18</v>
      </c>
      <c r="D1652" s="12" t="s">
        <v>12</v>
      </c>
      <c r="E1652" s="30"/>
      <c r="F1652" s="30"/>
      <c r="G1652" s="29"/>
      <c r="H1652" s="31"/>
      <c r="I1652" s="29">
        <f>IFERROR(IF(T_PROD[[#This Row],[PREVISTO]]-T_PROD[[#This Row],[EFETIVO]]&lt; 0,0,T_PROD[[#This Row],[PREVISTO]]-T_PROD[[#This Row],[EFETIVO]] ),"")</f>
        <v>0</v>
      </c>
      <c r="J1652" s="32" t="str">
        <f>IFERROR(IF(T_PROD[[#This Row],[META]]&gt;0,(T_PROD[[#This Row],[META]]/T_PROD[[#This Row],[PREVISTO]]),""),"")</f>
        <v/>
      </c>
      <c r="K1652" s="32" t="str">
        <f>IFERROR(IF(T_PROD[[#This Row],[PRODUÇÃO]]&gt;0,(T_PROD[[#This Row],[PRODUÇÃO]]/T_PROD[[#This Row],[EFETIVO]]),""),"")</f>
        <v/>
      </c>
    </row>
    <row r="1653" spans="1:11" x14ac:dyDescent="0.3">
      <c r="A1653" s="28">
        <v>46294</v>
      </c>
      <c r="B1653" s="29" t="str">
        <f t="shared" si="182"/>
        <v>SETEMBRO</v>
      </c>
      <c r="C1653" s="12" t="s">
        <v>19</v>
      </c>
      <c r="D1653" s="12" t="s">
        <v>12</v>
      </c>
      <c r="E1653" s="30"/>
      <c r="F1653" s="30"/>
      <c r="G1653" s="29"/>
      <c r="H1653" s="31"/>
      <c r="I1653" s="29">
        <f>IFERROR(IF(T_PROD[[#This Row],[PREVISTO]]-T_PROD[[#This Row],[EFETIVO]]&lt; 0,0,T_PROD[[#This Row],[PREVISTO]]-T_PROD[[#This Row],[EFETIVO]] ),"")</f>
        <v>0</v>
      </c>
      <c r="J1653" s="32" t="str">
        <f>IFERROR(IF(T_PROD[[#This Row],[META]]&gt;0,(T_PROD[[#This Row],[META]]/T_PROD[[#This Row],[PREVISTO]]),""),"")</f>
        <v/>
      </c>
      <c r="K1653" s="32" t="str">
        <f>IFERROR(IF(T_PROD[[#This Row],[PRODUÇÃO]]&gt;0,(T_PROD[[#This Row],[PRODUÇÃO]]/T_PROD[[#This Row],[EFETIVO]]),""),"")</f>
        <v/>
      </c>
    </row>
    <row r="1654" spans="1:11" x14ac:dyDescent="0.3">
      <c r="A1654" s="28">
        <v>46294</v>
      </c>
      <c r="B1654" s="29" t="str">
        <f t="shared" si="182"/>
        <v>SETEMBRO</v>
      </c>
      <c r="C1654" s="12" t="s">
        <v>20</v>
      </c>
      <c r="D1654" s="12" t="s">
        <v>12</v>
      </c>
      <c r="E1654" s="30">
        <v>367</v>
      </c>
      <c r="F1654" s="30">
        <v>367</v>
      </c>
      <c r="G1654" s="29">
        <v>100</v>
      </c>
      <c r="H1654" s="31">
        <v>100</v>
      </c>
      <c r="I1654" s="29">
        <f>IFERROR(IF(T_PROD[[#This Row],[PREVISTO]]-T_PROD[[#This Row],[EFETIVO]]&lt; 0,0,T_PROD[[#This Row],[PREVISTO]]-T_PROD[[#This Row],[EFETIVO]] ),"")</f>
        <v>0</v>
      </c>
      <c r="J1654" s="32">
        <f>IFERROR(IF(T_PROD[[#This Row],[META]]&gt;0,(T_PROD[[#This Row],[META]]/T_PROD[[#This Row],[PREVISTO]]),""),"")</f>
        <v>3.67</v>
      </c>
      <c r="K1654" s="32">
        <f>IFERROR(IF(T_PROD[[#This Row],[PRODUÇÃO]]&gt;0,(T_PROD[[#This Row],[PRODUÇÃO]]/T_PROD[[#This Row],[EFETIVO]]),""),"")</f>
        <v>3.67</v>
      </c>
    </row>
    <row r="1655" spans="1:11" x14ac:dyDescent="0.3">
      <c r="A1655" s="28">
        <v>46294</v>
      </c>
      <c r="B1655" s="29" t="str">
        <f t="shared" si="182"/>
        <v>SETEMBRO</v>
      </c>
      <c r="C1655" s="12" t="s">
        <v>11</v>
      </c>
      <c r="D1655" s="12" t="s">
        <v>12</v>
      </c>
      <c r="E1655" s="30">
        <v>860</v>
      </c>
      <c r="F1655" s="30">
        <v>903</v>
      </c>
      <c r="G1655" s="29">
        <v>43</v>
      </c>
      <c r="H1655" s="31">
        <v>43</v>
      </c>
      <c r="I1655" s="29">
        <f>IFERROR(IF(T_PROD[[#This Row],[PREVISTO]]-T_PROD[[#This Row],[EFETIVO]]&lt; 0,0,T_PROD[[#This Row],[PREVISTO]]-T_PROD[[#This Row],[EFETIVO]] ),"")</f>
        <v>0</v>
      </c>
      <c r="J1655" s="32">
        <f>IFERROR(IF(T_PROD[[#This Row],[META]]&gt;0,(T_PROD[[#This Row],[META]]/T_PROD[[#This Row],[PREVISTO]]),""),"")</f>
        <v>20</v>
      </c>
      <c r="K1655" s="32">
        <f>IFERROR(IF(T_PROD[[#This Row],[PRODUÇÃO]]&gt;0,(T_PROD[[#This Row],[PRODUÇÃO]]/T_PROD[[#This Row],[EFETIVO]]),""),"")</f>
        <v>21</v>
      </c>
    </row>
    <row r="1656" spans="1:11" x14ac:dyDescent="0.3">
      <c r="A1656" s="28">
        <v>46294</v>
      </c>
      <c r="B1656" s="29" t="str">
        <f t="shared" si="182"/>
        <v>SETEMBRO</v>
      </c>
      <c r="C1656" s="12" t="s">
        <v>32</v>
      </c>
      <c r="D1656" s="12" t="s">
        <v>12</v>
      </c>
      <c r="E1656" s="30">
        <v>110</v>
      </c>
      <c r="F1656" s="30">
        <v>104</v>
      </c>
      <c r="G1656" s="29">
        <v>10</v>
      </c>
      <c r="H1656" s="31">
        <v>10</v>
      </c>
      <c r="I1656" s="29">
        <f>IFERROR(IF(T_PROD[[#This Row],[PREVISTO]]-T_PROD[[#This Row],[EFETIVO]]&lt; 0,0,T_PROD[[#This Row],[PREVISTO]]-T_PROD[[#This Row],[EFETIVO]] ),"")</f>
        <v>0</v>
      </c>
      <c r="J1656" s="32">
        <f>IFERROR(IF(T_PROD[[#This Row],[META]]&gt;0,(T_PROD[[#This Row],[META]]/T_PROD[[#This Row],[PREVISTO]]),""),"")</f>
        <v>11</v>
      </c>
      <c r="K1656" s="32">
        <f>IFERROR(IF(T_PROD[[#This Row],[PRODUÇÃO]]&gt;0,(T_PROD[[#This Row],[PRODUÇÃO]]/T_PROD[[#This Row],[EFETIVO]]),""),"")</f>
        <v>10.4</v>
      </c>
    </row>
    <row r="1657" spans="1:11" x14ac:dyDescent="0.3">
      <c r="A1657" s="28">
        <v>46294</v>
      </c>
      <c r="B1657" s="29" t="str">
        <f t="shared" si="182"/>
        <v>SETEMBRO</v>
      </c>
      <c r="C1657" s="12" t="s">
        <v>14</v>
      </c>
      <c r="D1657" s="12" t="s">
        <v>12</v>
      </c>
      <c r="E1657" s="30">
        <v>970</v>
      </c>
      <c r="F1657" s="30">
        <v>1007</v>
      </c>
      <c r="G1657" s="29">
        <v>100</v>
      </c>
      <c r="H1657" s="31">
        <v>100</v>
      </c>
      <c r="I1657" s="29">
        <f>IFERROR(IF(T_PROD[[#This Row],[PREVISTO]]-T_PROD[[#This Row],[EFETIVO]]&lt; 0,0,T_PROD[[#This Row],[PREVISTO]]-T_PROD[[#This Row],[EFETIVO]] ),"")</f>
        <v>0</v>
      </c>
      <c r="J1657" s="32">
        <f>IFERROR(IF(T_PROD[[#This Row],[META]]&gt;0,(T_PROD[[#This Row],[META]]/T_PROD[[#This Row],[PREVISTO]]),""),"")</f>
        <v>9.6999999999999993</v>
      </c>
      <c r="K1657" s="32">
        <f>IFERROR(IF(T_PROD[[#This Row],[PRODUÇÃO]]&gt;0,(T_PROD[[#This Row],[PRODUÇÃO]]/T_PROD[[#This Row],[EFETIVO]]),""),"")</f>
        <v>10.07</v>
      </c>
    </row>
    <row r="1658" spans="1:11" x14ac:dyDescent="0.3">
      <c r="A1658" s="28">
        <v>46295</v>
      </c>
      <c r="B1658" s="29" t="str">
        <f>UPPER(TEXT(A1658,"MMMM"))</f>
        <v>SETEMBRO</v>
      </c>
      <c r="C1658" s="6" t="s">
        <v>15</v>
      </c>
      <c r="D1658" s="12" t="s">
        <v>12</v>
      </c>
      <c r="E1658" s="30"/>
      <c r="F1658" s="30"/>
      <c r="G1658" s="29"/>
      <c r="H1658" s="31"/>
      <c r="I1658" s="29">
        <f>IFERROR(IF(T_PROD[[#This Row],[PREVISTO]]-T_PROD[[#This Row],[EFETIVO]]&lt; 0,0,T_PROD[[#This Row],[PREVISTO]]-T_PROD[[#This Row],[EFETIVO]] ),"")</f>
        <v>0</v>
      </c>
      <c r="J1658" s="32" t="str">
        <f>IFERROR(IF(T_PROD[[#This Row],[META]]&gt;0,(T_PROD[[#This Row],[META]]/T_PROD[[#This Row],[PREVISTO]]),""),"")</f>
        <v/>
      </c>
      <c r="K1658" s="32" t="str">
        <f>IFERROR(IF(T_PROD[[#This Row],[PRODUÇÃO]]&gt;0,(T_PROD[[#This Row],[PRODUÇÃO]]/T_PROD[[#This Row],[EFETIVO]]),""),"")</f>
        <v/>
      </c>
    </row>
    <row r="1659" spans="1:11" x14ac:dyDescent="0.3">
      <c r="A1659" s="28">
        <v>46295</v>
      </c>
      <c r="B1659" s="29" t="str">
        <f t="shared" ref="B1659:B1666" si="183">UPPER(TEXT(A1659,"MMMM"))</f>
        <v>SETEMBRO</v>
      </c>
      <c r="C1659" s="12" t="s">
        <v>16</v>
      </c>
      <c r="D1659" s="12" t="s">
        <v>12</v>
      </c>
      <c r="E1659" s="30">
        <v>238</v>
      </c>
      <c r="F1659" s="30">
        <v>26</v>
      </c>
      <c r="G1659" s="29">
        <v>7</v>
      </c>
      <c r="H1659" s="31">
        <v>7</v>
      </c>
      <c r="I1659" s="29">
        <f>IFERROR(IF(T_PROD[[#This Row],[PREVISTO]]-T_PROD[[#This Row],[EFETIVO]]&lt; 0,0,T_PROD[[#This Row],[PREVISTO]]-T_PROD[[#This Row],[EFETIVO]] ),"")</f>
        <v>0</v>
      </c>
      <c r="J1659" s="32">
        <f>IFERROR(IF(T_PROD[[#This Row],[META]]&gt;0,(T_PROD[[#This Row],[META]]/T_PROD[[#This Row],[PREVISTO]]),""),"")</f>
        <v>34</v>
      </c>
      <c r="K1659" s="32">
        <f>IFERROR(IF(T_PROD[[#This Row],[PRODUÇÃO]]&gt;0,(T_PROD[[#This Row],[PRODUÇÃO]]/T_PROD[[#This Row],[EFETIVO]]),""),"")</f>
        <v>3.7142857142857144</v>
      </c>
    </row>
    <row r="1660" spans="1:11" x14ac:dyDescent="0.3">
      <c r="A1660" s="28">
        <v>46295</v>
      </c>
      <c r="B1660" s="29" t="str">
        <f t="shared" si="183"/>
        <v>SETEMBRO</v>
      </c>
      <c r="C1660" s="12" t="s">
        <v>17</v>
      </c>
      <c r="D1660" s="12" t="s">
        <v>12</v>
      </c>
      <c r="E1660" s="30">
        <v>352</v>
      </c>
      <c r="F1660" s="30">
        <v>407</v>
      </c>
      <c r="G1660" s="29">
        <v>16</v>
      </c>
      <c r="H1660" s="31">
        <v>16</v>
      </c>
      <c r="I1660" s="29">
        <f>IFERROR(IF(T_PROD[[#This Row],[PREVISTO]]-T_PROD[[#This Row],[EFETIVO]]&lt; 0,0,T_PROD[[#This Row],[PREVISTO]]-T_PROD[[#This Row],[EFETIVO]] ),"")</f>
        <v>0</v>
      </c>
      <c r="J1660" s="32">
        <f>IFERROR(IF(T_PROD[[#This Row],[META]]&gt;0,(T_PROD[[#This Row],[META]]/T_PROD[[#This Row],[PREVISTO]]),""),"")</f>
        <v>22</v>
      </c>
      <c r="K1660" s="32">
        <f>IFERROR(IF(T_PROD[[#This Row],[PRODUÇÃO]]&gt;0,(T_PROD[[#This Row],[PRODUÇÃO]]/T_PROD[[#This Row],[EFETIVO]]),""),"")</f>
        <v>25.4375</v>
      </c>
    </row>
    <row r="1661" spans="1:11" x14ac:dyDescent="0.3">
      <c r="A1661" s="28">
        <v>46295</v>
      </c>
      <c r="B1661" s="29" t="str">
        <f t="shared" si="183"/>
        <v>SETEMBRO</v>
      </c>
      <c r="C1661" s="12" t="s">
        <v>18</v>
      </c>
      <c r="D1661" s="12" t="s">
        <v>12</v>
      </c>
      <c r="E1661" s="30"/>
      <c r="F1661" s="30"/>
      <c r="G1661" s="29"/>
      <c r="H1661" s="31"/>
      <c r="I1661" s="29">
        <f>IFERROR(IF(T_PROD[[#This Row],[PREVISTO]]-T_PROD[[#This Row],[EFETIVO]]&lt; 0,0,T_PROD[[#This Row],[PREVISTO]]-T_PROD[[#This Row],[EFETIVO]] ),"")</f>
        <v>0</v>
      </c>
      <c r="J1661" s="32" t="str">
        <f>IFERROR(IF(T_PROD[[#This Row],[META]]&gt;0,(T_PROD[[#This Row],[META]]/T_PROD[[#This Row],[PREVISTO]]),""),"")</f>
        <v/>
      </c>
      <c r="K1661" s="32" t="str">
        <f>IFERROR(IF(T_PROD[[#This Row],[PRODUÇÃO]]&gt;0,(T_PROD[[#This Row],[PRODUÇÃO]]/T_PROD[[#This Row],[EFETIVO]]),""),"")</f>
        <v/>
      </c>
    </row>
    <row r="1662" spans="1:11" x14ac:dyDescent="0.3">
      <c r="A1662" s="28">
        <v>46295</v>
      </c>
      <c r="B1662" s="29" t="str">
        <f t="shared" si="183"/>
        <v>SETEMBRO</v>
      </c>
      <c r="C1662" s="12" t="s">
        <v>19</v>
      </c>
      <c r="D1662" s="12" t="s">
        <v>12</v>
      </c>
      <c r="E1662" s="30"/>
      <c r="F1662" s="30"/>
      <c r="G1662" s="29"/>
      <c r="H1662" s="31"/>
      <c r="I1662" s="29">
        <f>IFERROR(IF(T_PROD[[#This Row],[PREVISTO]]-T_PROD[[#This Row],[EFETIVO]]&lt; 0,0,T_PROD[[#This Row],[PREVISTO]]-T_PROD[[#This Row],[EFETIVO]] ),"")</f>
        <v>0</v>
      </c>
      <c r="J1662" s="32" t="str">
        <f>IFERROR(IF(T_PROD[[#This Row],[META]]&gt;0,(T_PROD[[#This Row],[META]]/T_PROD[[#This Row],[PREVISTO]]),""),"")</f>
        <v/>
      </c>
      <c r="K1662" s="32" t="str">
        <f>IFERROR(IF(T_PROD[[#This Row],[PRODUÇÃO]]&gt;0,(T_PROD[[#This Row],[PRODUÇÃO]]/T_PROD[[#This Row],[EFETIVO]]),""),"")</f>
        <v/>
      </c>
    </row>
    <row r="1663" spans="1:11" x14ac:dyDescent="0.3">
      <c r="A1663" s="28">
        <v>46295</v>
      </c>
      <c r="B1663" s="29" t="str">
        <f t="shared" si="183"/>
        <v>SETEMBRO</v>
      </c>
      <c r="C1663" s="12" t="s">
        <v>20</v>
      </c>
      <c r="D1663" s="12" t="s">
        <v>12</v>
      </c>
      <c r="E1663" s="30">
        <v>590</v>
      </c>
      <c r="F1663" s="30">
        <v>433</v>
      </c>
      <c r="G1663" s="29">
        <v>100</v>
      </c>
      <c r="H1663" s="31">
        <v>100</v>
      </c>
      <c r="I1663" s="29">
        <f>IFERROR(IF(T_PROD[[#This Row],[PREVISTO]]-T_PROD[[#This Row],[EFETIVO]]&lt; 0,0,T_PROD[[#This Row],[PREVISTO]]-T_PROD[[#This Row],[EFETIVO]] ),"")</f>
        <v>0</v>
      </c>
      <c r="J1663" s="32">
        <f>IFERROR(IF(T_PROD[[#This Row],[META]]&gt;0,(T_PROD[[#This Row],[META]]/T_PROD[[#This Row],[PREVISTO]]),""),"")</f>
        <v>5.9</v>
      </c>
      <c r="K1663" s="32">
        <f>IFERROR(IF(T_PROD[[#This Row],[PRODUÇÃO]]&gt;0,(T_PROD[[#This Row],[PRODUÇÃO]]/T_PROD[[#This Row],[EFETIVO]]),""),"")</f>
        <v>4.33</v>
      </c>
    </row>
    <row r="1664" spans="1:11" x14ac:dyDescent="0.3">
      <c r="A1664" s="28">
        <v>46295</v>
      </c>
      <c r="B1664" s="29" t="str">
        <f t="shared" si="183"/>
        <v>SETEMBRO</v>
      </c>
      <c r="C1664" s="12" t="s">
        <v>11</v>
      </c>
      <c r="D1664" s="12" t="s">
        <v>12</v>
      </c>
      <c r="E1664" s="30">
        <v>860</v>
      </c>
      <c r="F1664" s="30">
        <v>900</v>
      </c>
      <c r="G1664" s="29">
        <v>43</v>
      </c>
      <c r="H1664" s="31">
        <v>43</v>
      </c>
      <c r="I1664" s="29">
        <f>IFERROR(IF(T_PROD[[#This Row],[PREVISTO]]-T_PROD[[#This Row],[EFETIVO]]&lt; 0,0,T_PROD[[#This Row],[PREVISTO]]-T_PROD[[#This Row],[EFETIVO]] ),"")</f>
        <v>0</v>
      </c>
      <c r="J1664" s="32">
        <f>IFERROR(IF(T_PROD[[#This Row],[META]]&gt;0,(T_PROD[[#This Row],[META]]/T_PROD[[#This Row],[PREVISTO]]),""),"")</f>
        <v>20</v>
      </c>
      <c r="K1664" s="32">
        <f>IFERROR(IF(T_PROD[[#This Row],[PRODUÇÃO]]&gt;0,(T_PROD[[#This Row],[PRODUÇÃO]]/T_PROD[[#This Row],[EFETIVO]]),""),"")</f>
        <v>20.930232558139537</v>
      </c>
    </row>
    <row r="1665" spans="1:11" x14ac:dyDescent="0.3">
      <c r="A1665" s="28">
        <v>46295</v>
      </c>
      <c r="B1665" s="29" t="str">
        <f t="shared" si="183"/>
        <v>SETEMBRO</v>
      </c>
      <c r="C1665" s="12" t="s">
        <v>32</v>
      </c>
      <c r="D1665" s="12" t="s">
        <v>12</v>
      </c>
      <c r="E1665" s="30">
        <v>99</v>
      </c>
      <c r="F1665" s="30">
        <v>108</v>
      </c>
      <c r="G1665" s="29">
        <v>9</v>
      </c>
      <c r="H1665" s="31">
        <v>9</v>
      </c>
      <c r="I1665" s="29">
        <f>IFERROR(IF(T_PROD[[#This Row],[PREVISTO]]-T_PROD[[#This Row],[EFETIVO]]&lt; 0,0,T_PROD[[#This Row],[PREVISTO]]-T_PROD[[#This Row],[EFETIVO]] ),"")</f>
        <v>0</v>
      </c>
      <c r="J1665" s="32">
        <f>IFERROR(IF(T_PROD[[#This Row],[META]]&gt;0,(T_PROD[[#This Row],[META]]/T_PROD[[#This Row],[PREVISTO]]),""),"")</f>
        <v>11</v>
      </c>
      <c r="K1665" s="32">
        <f>IFERROR(IF(T_PROD[[#This Row],[PRODUÇÃO]]&gt;0,(T_PROD[[#This Row],[PRODUÇÃO]]/T_PROD[[#This Row],[EFETIVO]]),""),"")</f>
        <v>12</v>
      </c>
    </row>
    <row r="1666" spans="1:11" x14ac:dyDescent="0.3">
      <c r="A1666" s="28">
        <v>46295</v>
      </c>
      <c r="B1666" s="29" t="str">
        <f t="shared" si="183"/>
        <v>SETEMBRO</v>
      </c>
      <c r="C1666" s="12" t="s">
        <v>14</v>
      </c>
      <c r="D1666" s="12" t="s">
        <v>12</v>
      </c>
      <c r="E1666" s="30">
        <v>968</v>
      </c>
      <c r="F1666" s="30">
        <v>999</v>
      </c>
      <c r="G1666" s="29">
        <v>103</v>
      </c>
      <c r="H1666" s="31">
        <v>103</v>
      </c>
      <c r="I1666" s="29">
        <f>IFERROR(IF(T_PROD[[#This Row],[PREVISTO]]-T_PROD[[#This Row],[EFETIVO]]&lt; 0,0,T_PROD[[#This Row],[PREVISTO]]-T_PROD[[#This Row],[EFETIVO]] ),"")</f>
        <v>0</v>
      </c>
      <c r="J1666" s="32">
        <f>IFERROR(IF(T_PROD[[#This Row],[META]]&gt;0,(T_PROD[[#This Row],[META]]/T_PROD[[#This Row],[PREVISTO]]),""),"")</f>
        <v>9.3980582524271838</v>
      </c>
      <c r="K1666" s="32">
        <f>IFERROR(IF(T_PROD[[#This Row],[PRODUÇÃO]]&gt;0,(T_PROD[[#This Row],[PRODUÇÃO]]/T_PROD[[#This Row],[EFETIVO]]),""),"")</f>
        <v>9.6990291262135919</v>
      </c>
    </row>
    <row r="1667" spans="1:11" x14ac:dyDescent="0.3">
      <c r="A1667" s="28">
        <v>46296</v>
      </c>
      <c r="B1667" s="29" t="str">
        <f>UPPER(TEXT(A1667,"MMMM"))</f>
        <v>OUTUBRO</v>
      </c>
      <c r="C1667" s="6" t="s">
        <v>15</v>
      </c>
      <c r="D1667" s="12" t="s">
        <v>12</v>
      </c>
      <c r="E1667" s="30">
        <v>60</v>
      </c>
      <c r="F1667" s="30">
        <v>1</v>
      </c>
      <c r="G1667" s="29">
        <v>4</v>
      </c>
      <c r="H1667" s="31">
        <v>4</v>
      </c>
      <c r="I1667" s="29">
        <f>IFERROR(IF(T_PROD[[#This Row],[PREVISTO]]-T_PROD[[#This Row],[EFETIVO]]&lt; 0,0,T_PROD[[#This Row],[PREVISTO]]-T_PROD[[#This Row],[EFETIVO]] ),"")</f>
        <v>0</v>
      </c>
      <c r="J1667" s="32">
        <f>IFERROR(IF(T_PROD[[#This Row],[META]]&gt;0,(T_PROD[[#This Row],[META]]/T_PROD[[#This Row],[PREVISTO]]),""),"")</f>
        <v>15</v>
      </c>
      <c r="K1667" s="32">
        <f>IFERROR(IF(T_PROD[[#This Row],[PRODUÇÃO]]&gt;0,(T_PROD[[#This Row],[PRODUÇÃO]]/T_PROD[[#This Row],[EFETIVO]]),""),"")</f>
        <v>0.25</v>
      </c>
    </row>
    <row r="1668" spans="1:11" x14ac:dyDescent="0.3">
      <c r="A1668" s="28">
        <v>46296</v>
      </c>
      <c r="B1668" s="29" t="str">
        <f t="shared" ref="B1668:B1675" si="184">UPPER(TEXT(A1668,"MMMM"))</f>
        <v>OUTUBRO</v>
      </c>
      <c r="C1668" s="12" t="s">
        <v>16</v>
      </c>
      <c r="D1668" s="12" t="s">
        <v>12</v>
      </c>
      <c r="E1668" s="30">
        <v>238</v>
      </c>
      <c r="F1668" s="30">
        <v>239</v>
      </c>
      <c r="G1668" s="29">
        <v>7</v>
      </c>
      <c r="H1668" s="31">
        <v>7</v>
      </c>
      <c r="I1668" s="29">
        <f>IFERROR(IF(T_PROD[[#This Row],[PREVISTO]]-T_PROD[[#This Row],[EFETIVO]]&lt; 0,0,T_PROD[[#This Row],[PREVISTO]]-T_PROD[[#This Row],[EFETIVO]] ),"")</f>
        <v>0</v>
      </c>
      <c r="J1668" s="32">
        <f>IFERROR(IF(T_PROD[[#This Row],[META]]&gt;0,(T_PROD[[#This Row],[META]]/T_PROD[[#This Row],[PREVISTO]]),""),"")</f>
        <v>34</v>
      </c>
      <c r="K1668" s="32">
        <f>IFERROR(IF(T_PROD[[#This Row],[PRODUÇÃO]]&gt;0,(T_PROD[[#This Row],[PRODUÇÃO]]/T_PROD[[#This Row],[EFETIVO]]),""),"")</f>
        <v>34.142857142857146</v>
      </c>
    </row>
    <row r="1669" spans="1:11" x14ac:dyDescent="0.3">
      <c r="A1669" s="28">
        <v>46296</v>
      </c>
      <c r="B1669" s="29" t="str">
        <f t="shared" si="184"/>
        <v>OUTUBRO</v>
      </c>
      <c r="C1669" s="12" t="s">
        <v>17</v>
      </c>
      <c r="D1669" s="12" t="s">
        <v>12</v>
      </c>
      <c r="E1669" s="30">
        <v>352</v>
      </c>
      <c r="F1669" s="30">
        <v>419</v>
      </c>
      <c r="G1669" s="29">
        <v>16</v>
      </c>
      <c r="H1669" s="31">
        <v>16</v>
      </c>
      <c r="I1669" s="29">
        <f>IFERROR(IF(T_PROD[[#This Row],[PREVISTO]]-T_PROD[[#This Row],[EFETIVO]]&lt; 0,0,T_PROD[[#This Row],[PREVISTO]]-T_PROD[[#This Row],[EFETIVO]] ),"")</f>
        <v>0</v>
      </c>
      <c r="J1669" s="32">
        <f>IFERROR(IF(T_PROD[[#This Row],[META]]&gt;0,(T_PROD[[#This Row],[META]]/T_PROD[[#This Row],[PREVISTO]]),""),"")</f>
        <v>22</v>
      </c>
      <c r="K1669" s="32">
        <f>IFERROR(IF(T_PROD[[#This Row],[PRODUÇÃO]]&gt;0,(T_PROD[[#This Row],[PRODUÇÃO]]/T_PROD[[#This Row],[EFETIVO]]),""),"")</f>
        <v>26.1875</v>
      </c>
    </row>
    <row r="1670" spans="1:11" x14ac:dyDescent="0.3">
      <c r="A1670" s="28">
        <v>46296</v>
      </c>
      <c r="B1670" s="29" t="str">
        <f t="shared" si="184"/>
        <v>OUTUBRO</v>
      </c>
      <c r="C1670" s="12" t="s">
        <v>18</v>
      </c>
      <c r="D1670" s="12" t="s">
        <v>12</v>
      </c>
      <c r="E1670" s="30"/>
      <c r="F1670" s="30"/>
      <c r="G1670" s="29"/>
      <c r="H1670" s="31"/>
      <c r="I1670" s="29">
        <f>IFERROR(IF(T_PROD[[#This Row],[PREVISTO]]-T_PROD[[#This Row],[EFETIVO]]&lt; 0,0,T_PROD[[#This Row],[PREVISTO]]-T_PROD[[#This Row],[EFETIVO]] ),"")</f>
        <v>0</v>
      </c>
      <c r="J1670" s="32" t="str">
        <f>IFERROR(IF(T_PROD[[#This Row],[META]]&gt;0,(T_PROD[[#This Row],[META]]/T_PROD[[#This Row],[PREVISTO]]),""),"")</f>
        <v/>
      </c>
      <c r="K1670" s="32" t="str">
        <f>IFERROR(IF(T_PROD[[#This Row],[PRODUÇÃO]]&gt;0,(T_PROD[[#This Row],[PRODUÇÃO]]/T_PROD[[#This Row],[EFETIVO]]),""),"")</f>
        <v/>
      </c>
    </row>
    <row r="1671" spans="1:11" x14ac:dyDescent="0.3">
      <c r="A1671" s="28">
        <v>46296</v>
      </c>
      <c r="B1671" s="29" t="str">
        <f t="shared" si="184"/>
        <v>OUTUBRO</v>
      </c>
      <c r="C1671" s="12" t="s">
        <v>19</v>
      </c>
      <c r="D1671" s="12" t="s">
        <v>12</v>
      </c>
      <c r="E1671" s="30"/>
      <c r="F1671" s="30"/>
      <c r="G1671" s="29"/>
      <c r="H1671" s="31"/>
      <c r="I1671" s="29">
        <f>IFERROR(IF(T_PROD[[#This Row],[PREVISTO]]-T_PROD[[#This Row],[EFETIVO]]&lt; 0,0,T_PROD[[#This Row],[PREVISTO]]-T_PROD[[#This Row],[EFETIVO]] ),"")</f>
        <v>0</v>
      </c>
      <c r="J1671" s="32" t="str">
        <f>IFERROR(IF(T_PROD[[#This Row],[META]]&gt;0,(T_PROD[[#This Row],[META]]/T_PROD[[#This Row],[PREVISTO]]),""),"")</f>
        <v/>
      </c>
      <c r="K1671" s="32" t="str">
        <f>IFERROR(IF(T_PROD[[#This Row],[PRODUÇÃO]]&gt;0,(T_PROD[[#This Row],[PRODUÇÃO]]/T_PROD[[#This Row],[EFETIVO]]),""),"")</f>
        <v/>
      </c>
    </row>
    <row r="1672" spans="1:11" x14ac:dyDescent="0.3">
      <c r="A1672" s="28">
        <v>46296</v>
      </c>
      <c r="B1672" s="29" t="str">
        <f t="shared" si="184"/>
        <v>OUTUBRO</v>
      </c>
      <c r="C1672" s="12" t="s">
        <v>20</v>
      </c>
      <c r="D1672" s="12" t="s">
        <v>12</v>
      </c>
      <c r="E1672" s="30">
        <v>650</v>
      </c>
      <c r="F1672" s="30">
        <v>659</v>
      </c>
      <c r="G1672" s="29">
        <v>100</v>
      </c>
      <c r="H1672" s="31">
        <v>100</v>
      </c>
      <c r="I1672" s="29">
        <f>IFERROR(IF(T_PROD[[#This Row],[PREVISTO]]-T_PROD[[#This Row],[EFETIVO]]&lt; 0,0,T_PROD[[#This Row],[PREVISTO]]-T_PROD[[#This Row],[EFETIVO]] ),"")</f>
        <v>0</v>
      </c>
      <c r="J1672" s="32">
        <f>IFERROR(IF(T_PROD[[#This Row],[META]]&gt;0,(T_PROD[[#This Row],[META]]/T_PROD[[#This Row],[PREVISTO]]),""),"")</f>
        <v>6.5</v>
      </c>
      <c r="K1672" s="32">
        <f>IFERROR(IF(T_PROD[[#This Row],[PRODUÇÃO]]&gt;0,(T_PROD[[#This Row],[PRODUÇÃO]]/T_PROD[[#This Row],[EFETIVO]]),""),"")</f>
        <v>6.59</v>
      </c>
    </row>
    <row r="1673" spans="1:11" x14ac:dyDescent="0.3">
      <c r="A1673" s="28">
        <v>46296</v>
      </c>
      <c r="B1673" s="29" t="str">
        <f t="shared" si="184"/>
        <v>OUTUBRO</v>
      </c>
      <c r="C1673" s="12" t="s">
        <v>11</v>
      </c>
      <c r="D1673" s="12" t="s">
        <v>12</v>
      </c>
      <c r="E1673" s="30">
        <v>880</v>
      </c>
      <c r="F1673" s="30">
        <v>930</v>
      </c>
      <c r="G1673" s="29">
        <v>44</v>
      </c>
      <c r="H1673" s="31">
        <v>44</v>
      </c>
      <c r="I1673" s="29">
        <f>IFERROR(IF(T_PROD[[#This Row],[PREVISTO]]-T_PROD[[#This Row],[EFETIVO]]&lt; 0,0,T_PROD[[#This Row],[PREVISTO]]-T_PROD[[#This Row],[EFETIVO]] ),"")</f>
        <v>0</v>
      </c>
      <c r="J1673" s="32">
        <f>IFERROR(IF(T_PROD[[#This Row],[META]]&gt;0,(T_PROD[[#This Row],[META]]/T_PROD[[#This Row],[PREVISTO]]),""),"")</f>
        <v>20</v>
      </c>
      <c r="K1673" s="32">
        <f>IFERROR(IF(T_PROD[[#This Row],[PRODUÇÃO]]&gt;0,(T_PROD[[#This Row],[PRODUÇÃO]]/T_PROD[[#This Row],[EFETIVO]]),""),"")</f>
        <v>21.136363636363637</v>
      </c>
    </row>
    <row r="1674" spans="1:11" x14ac:dyDescent="0.3">
      <c r="A1674" s="28">
        <v>46296</v>
      </c>
      <c r="B1674" s="29" t="str">
        <f t="shared" si="184"/>
        <v>OUTUBRO</v>
      </c>
      <c r="C1674" s="12" t="s">
        <v>32</v>
      </c>
      <c r="D1674" s="12" t="s">
        <v>12</v>
      </c>
      <c r="E1674" s="30">
        <v>108</v>
      </c>
      <c r="F1674" s="30">
        <v>108</v>
      </c>
      <c r="G1674" s="29">
        <v>10</v>
      </c>
      <c r="H1674" s="31">
        <v>11</v>
      </c>
      <c r="I1674" s="29">
        <f>IFERROR(IF(T_PROD[[#This Row],[PREVISTO]]-T_PROD[[#This Row],[EFETIVO]]&lt; 0,0,T_PROD[[#This Row],[PREVISTO]]-T_PROD[[#This Row],[EFETIVO]] ),"")</f>
        <v>0</v>
      </c>
      <c r="J1674" s="32">
        <f>IFERROR(IF(T_PROD[[#This Row],[META]]&gt;0,(T_PROD[[#This Row],[META]]/T_PROD[[#This Row],[PREVISTO]]),""),"")</f>
        <v>10.8</v>
      </c>
      <c r="K1674" s="32">
        <f>IFERROR(IF(T_PROD[[#This Row],[PRODUÇÃO]]&gt;0,(T_PROD[[#This Row],[PRODUÇÃO]]/T_PROD[[#This Row],[EFETIVO]]),""),"")</f>
        <v>9.8181818181818183</v>
      </c>
    </row>
    <row r="1675" spans="1:11" x14ac:dyDescent="0.3">
      <c r="A1675" s="28">
        <v>46296</v>
      </c>
      <c r="B1675" s="29" t="str">
        <f t="shared" si="184"/>
        <v>OUTUBRO</v>
      </c>
      <c r="C1675" s="12" t="s">
        <v>14</v>
      </c>
      <c r="D1675" s="12" t="s">
        <v>12</v>
      </c>
      <c r="E1675" s="30">
        <v>988</v>
      </c>
      <c r="F1675" s="30">
        <v>1038</v>
      </c>
      <c r="G1675" s="29">
        <v>108</v>
      </c>
      <c r="H1675" s="31">
        <v>108</v>
      </c>
      <c r="I1675" s="29">
        <f>IFERROR(IF(T_PROD[[#This Row],[PREVISTO]]-T_PROD[[#This Row],[EFETIVO]]&lt; 0,0,T_PROD[[#This Row],[PREVISTO]]-T_PROD[[#This Row],[EFETIVO]] ),"")</f>
        <v>0</v>
      </c>
      <c r="J1675" s="32">
        <f>IFERROR(IF(T_PROD[[#This Row],[META]]&gt;0,(T_PROD[[#This Row],[META]]/T_PROD[[#This Row],[PREVISTO]]),""),"")</f>
        <v>9.1481481481481488</v>
      </c>
      <c r="K1675" s="32">
        <f>IFERROR(IF(T_PROD[[#This Row],[PRODUÇÃO]]&gt;0,(T_PROD[[#This Row],[PRODUÇÃO]]/T_PROD[[#This Row],[EFETIVO]]),""),"")</f>
        <v>9.6111111111111107</v>
      </c>
    </row>
    <row r="1676" spans="1:11" x14ac:dyDescent="0.3">
      <c r="A1676" s="28">
        <v>46297</v>
      </c>
      <c r="B1676" s="29" t="str">
        <f>UPPER(TEXT(A1676,"MMMM"))</f>
        <v>OUTUBRO</v>
      </c>
      <c r="C1676" s="6" t="s">
        <v>15</v>
      </c>
      <c r="D1676" s="12" t="s">
        <v>12</v>
      </c>
      <c r="E1676" s="30">
        <v>60</v>
      </c>
      <c r="F1676" s="30">
        <v>41</v>
      </c>
      <c r="G1676" s="29">
        <v>4</v>
      </c>
      <c r="H1676" s="31">
        <v>4</v>
      </c>
      <c r="I1676" s="29">
        <f>IFERROR(IF(T_PROD[[#This Row],[PREVISTO]]-T_PROD[[#This Row],[EFETIVO]]&lt; 0,0,T_PROD[[#This Row],[PREVISTO]]-T_PROD[[#This Row],[EFETIVO]] ),"")</f>
        <v>0</v>
      </c>
      <c r="J1676" s="32">
        <f>IFERROR(IF(T_PROD[[#This Row],[META]]&gt;0,(T_PROD[[#This Row],[META]]/T_PROD[[#This Row],[PREVISTO]]),""),"")</f>
        <v>15</v>
      </c>
      <c r="K1676" s="32">
        <f>IFERROR(IF(T_PROD[[#This Row],[PRODUÇÃO]]&gt;0,(T_PROD[[#This Row],[PRODUÇÃO]]/T_PROD[[#This Row],[EFETIVO]]),""),"")</f>
        <v>10.25</v>
      </c>
    </row>
    <row r="1677" spans="1:11" x14ac:dyDescent="0.3">
      <c r="A1677" s="28">
        <v>46297</v>
      </c>
      <c r="B1677" s="29" t="str">
        <f t="shared" ref="B1677:B1684" si="185">UPPER(TEXT(A1677,"MMMM"))</f>
        <v>OUTUBRO</v>
      </c>
      <c r="C1677" s="12" t="s">
        <v>16</v>
      </c>
      <c r="D1677" s="12" t="s">
        <v>12</v>
      </c>
      <c r="E1677" s="30">
        <v>238</v>
      </c>
      <c r="F1677" s="30">
        <v>228</v>
      </c>
      <c r="G1677" s="29">
        <v>7</v>
      </c>
      <c r="H1677" s="31">
        <v>7</v>
      </c>
      <c r="I1677" s="29">
        <f>IFERROR(IF(T_PROD[[#This Row],[PREVISTO]]-T_PROD[[#This Row],[EFETIVO]]&lt; 0,0,T_PROD[[#This Row],[PREVISTO]]-T_PROD[[#This Row],[EFETIVO]] ),"")</f>
        <v>0</v>
      </c>
      <c r="J1677" s="32">
        <f>IFERROR(IF(T_PROD[[#This Row],[META]]&gt;0,(T_PROD[[#This Row],[META]]/T_PROD[[#This Row],[PREVISTO]]),""),"")</f>
        <v>34</v>
      </c>
      <c r="K1677" s="32">
        <f>IFERROR(IF(T_PROD[[#This Row],[PRODUÇÃO]]&gt;0,(T_PROD[[#This Row],[PRODUÇÃO]]/T_PROD[[#This Row],[EFETIVO]]),""),"")</f>
        <v>32.571428571428569</v>
      </c>
    </row>
    <row r="1678" spans="1:11" x14ac:dyDescent="0.3">
      <c r="A1678" s="28">
        <v>46297</v>
      </c>
      <c r="B1678" s="29" t="str">
        <f t="shared" si="185"/>
        <v>OUTUBRO</v>
      </c>
      <c r="C1678" s="12" t="s">
        <v>17</v>
      </c>
      <c r="D1678" s="12" t="s">
        <v>12</v>
      </c>
      <c r="E1678" s="30">
        <v>352</v>
      </c>
      <c r="F1678" s="30">
        <v>366</v>
      </c>
      <c r="G1678" s="29">
        <v>16</v>
      </c>
      <c r="H1678" s="31">
        <v>16</v>
      </c>
      <c r="I1678" s="29">
        <f>IFERROR(IF(T_PROD[[#This Row],[PREVISTO]]-T_PROD[[#This Row],[EFETIVO]]&lt; 0,0,T_PROD[[#This Row],[PREVISTO]]-T_PROD[[#This Row],[EFETIVO]] ),"")</f>
        <v>0</v>
      </c>
      <c r="J1678" s="32">
        <f>IFERROR(IF(T_PROD[[#This Row],[META]]&gt;0,(T_PROD[[#This Row],[META]]/T_PROD[[#This Row],[PREVISTO]]),""),"")</f>
        <v>22</v>
      </c>
      <c r="K1678" s="32">
        <f>IFERROR(IF(T_PROD[[#This Row],[PRODUÇÃO]]&gt;0,(T_PROD[[#This Row],[PRODUÇÃO]]/T_PROD[[#This Row],[EFETIVO]]),""),"")</f>
        <v>22.875</v>
      </c>
    </row>
    <row r="1679" spans="1:11" x14ac:dyDescent="0.3">
      <c r="A1679" s="28">
        <v>46297</v>
      </c>
      <c r="B1679" s="29" t="str">
        <f t="shared" si="185"/>
        <v>OUTUBRO</v>
      </c>
      <c r="C1679" s="12" t="s">
        <v>18</v>
      </c>
      <c r="D1679" s="12" t="s">
        <v>12</v>
      </c>
      <c r="E1679" s="30">
        <v>30</v>
      </c>
      <c r="F1679" s="30">
        <v>26</v>
      </c>
      <c r="G1679" s="29">
        <v>2</v>
      </c>
      <c r="H1679" s="31">
        <v>2</v>
      </c>
      <c r="I1679" s="29">
        <f>IFERROR(IF(T_PROD[[#This Row],[PREVISTO]]-T_PROD[[#This Row],[EFETIVO]]&lt; 0,0,T_PROD[[#This Row],[PREVISTO]]-T_PROD[[#This Row],[EFETIVO]] ),"")</f>
        <v>0</v>
      </c>
      <c r="J1679" s="32">
        <f>IFERROR(IF(T_PROD[[#This Row],[META]]&gt;0,(T_PROD[[#This Row],[META]]/T_PROD[[#This Row],[PREVISTO]]),""),"")</f>
        <v>15</v>
      </c>
      <c r="K1679" s="32">
        <f>IFERROR(IF(T_PROD[[#This Row],[PRODUÇÃO]]&gt;0,(T_PROD[[#This Row],[PRODUÇÃO]]/T_PROD[[#This Row],[EFETIVO]]),""),"")</f>
        <v>13</v>
      </c>
    </row>
    <row r="1680" spans="1:11" x14ac:dyDescent="0.3">
      <c r="A1680" s="28">
        <v>46297</v>
      </c>
      <c r="B1680" s="29" t="str">
        <f t="shared" si="185"/>
        <v>OUTUBRO</v>
      </c>
      <c r="C1680" s="12" t="s">
        <v>19</v>
      </c>
      <c r="D1680" s="12" t="s">
        <v>12</v>
      </c>
      <c r="E1680" s="30"/>
      <c r="F1680" s="30"/>
      <c r="G1680" s="29"/>
      <c r="H1680" s="31"/>
      <c r="I1680" s="29">
        <f>IFERROR(IF(T_PROD[[#This Row],[PREVISTO]]-T_PROD[[#This Row],[EFETIVO]]&lt; 0,0,T_PROD[[#This Row],[PREVISTO]]-T_PROD[[#This Row],[EFETIVO]] ),"")</f>
        <v>0</v>
      </c>
      <c r="J1680" s="32" t="str">
        <f>IFERROR(IF(T_PROD[[#This Row],[META]]&gt;0,(T_PROD[[#This Row],[META]]/T_PROD[[#This Row],[PREVISTO]]),""),"")</f>
        <v/>
      </c>
      <c r="K1680" s="32" t="str">
        <f>IFERROR(IF(T_PROD[[#This Row],[PRODUÇÃO]]&gt;0,(T_PROD[[#This Row],[PRODUÇÃO]]/T_PROD[[#This Row],[EFETIVO]]),""),"")</f>
        <v/>
      </c>
    </row>
    <row r="1681" spans="1:11" x14ac:dyDescent="0.3">
      <c r="A1681" s="28">
        <v>46297</v>
      </c>
      <c r="B1681" s="29" t="str">
        <f t="shared" si="185"/>
        <v>OUTUBRO</v>
      </c>
      <c r="C1681" s="12" t="s">
        <v>20</v>
      </c>
      <c r="D1681" s="12" t="s">
        <v>12</v>
      </c>
      <c r="E1681" s="30">
        <v>680</v>
      </c>
      <c r="F1681" s="30">
        <v>661</v>
      </c>
      <c r="G1681" s="29">
        <v>100</v>
      </c>
      <c r="H1681" s="31">
        <v>100</v>
      </c>
      <c r="I1681" s="29">
        <f>IFERROR(IF(T_PROD[[#This Row],[PREVISTO]]-T_PROD[[#This Row],[EFETIVO]]&lt; 0,0,T_PROD[[#This Row],[PREVISTO]]-T_PROD[[#This Row],[EFETIVO]] ),"")</f>
        <v>0</v>
      </c>
      <c r="J1681" s="32">
        <f>IFERROR(IF(T_PROD[[#This Row],[META]]&gt;0,(T_PROD[[#This Row],[META]]/T_PROD[[#This Row],[PREVISTO]]),""),"")</f>
        <v>6.8</v>
      </c>
      <c r="K1681" s="32">
        <f>IFERROR(IF(T_PROD[[#This Row],[PRODUÇÃO]]&gt;0,(T_PROD[[#This Row],[PRODUÇÃO]]/T_PROD[[#This Row],[EFETIVO]]),""),"")</f>
        <v>6.61</v>
      </c>
    </row>
    <row r="1682" spans="1:11" x14ac:dyDescent="0.3">
      <c r="A1682" s="28">
        <v>46297</v>
      </c>
      <c r="B1682" s="29" t="str">
        <f t="shared" si="185"/>
        <v>OUTUBRO</v>
      </c>
      <c r="C1682" s="12" t="s">
        <v>11</v>
      </c>
      <c r="D1682" s="12" t="s">
        <v>12</v>
      </c>
      <c r="E1682" s="30">
        <v>700</v>
      </c>
      <c r="F1682" s="30">
        <v>610</v>
      </c>
      <c r="G1682" s="29">
        <v>35</v>
      </c>
      <c r="H1682" s="31">
        <v>35</v>
      </c>
      <c r="I1682" s="29">
        <f>IFERROR(IF(T_PROD[[#This Row],[PREVISTO]]-T_PROD[[#This Row],[EFETIVO]]&lt; 0,0,T_PROD[[#This Row],[PREVISTO]]-T_PROD[[#This Row],[EFETIVO]] ),"")</f>
        <v>0</v>
      </c>
      <c r="J1682" s="32">
        <f>IFERROR(IF(T_PROD[[#This Row],[META]]&gt;0,(T_PROD[[#This Row],[META]]/T_PROD[[#This Row],[PREVISTO]]),""),"")</f>
        <v>20</v>
      </c>
      <c r="K1682" s="32">
        <f>IFERROR(IF(T_PROD[[#This Row],[PRODUÇÃO]]&gt;0,(T_PROD[[#This Row],[PRODUÇÃO]]/T_PROD[[#This Row],[EFETIVO]]),""),"")</f>
        <v>17.428571428571427</v>
      </c>
    </row>
    <row r="1683" spans="1:11" x14ac:dyDescent="0.3">
      <c r="A1683" s="28">
        <v>46297</v>
      </c>
      <c r="B1683" s="29" t="str">
        <f t="shared" si="185"/>
        <v>OUTUBRO</v>
      </c>
      <c r="C1683" s="12" t="s">
        <v>32</v>
      </c>
      <c r="D1683" s="12" t="s">
        <v>12</v>
      </c>
      <c r="E1683" s="30">
        <v>120</v>
      </c>
      <c r="F1683" s="30">
        <v>100</v>
      </c>
      <c r="G1683" s="29">
        <v>11</v>
      </c>
      <c r="H1683" s="31">
        <v>12</v>
      </c>
      <c r="I1683" s="29">
        <f>IFERROR(IF(T_PROD[[#This Row],[PREVISTO]]-T_PROD[[#This Row],[EFETIVO]]&lt; 0,0,T_PROD[[#This Row],[PREVISTO]]-T_PROD[[#This Row],[EFETIVO]] ),"")</f>
        <v>0</v>
      </c>
      <c r="J1683" s="32">
        <f>IFERROR(IF(T_PROD[[#This Row],[META]]&gt;0,(T_PROD[[#This Row],[META]]/T_PROD[[#This Row],[PREVISTO]]),""),"")</f>
        <v>10.909090909090908</v>
      </c>
      <c r="K1683" s="32">
        <f>IFERROR(IF(T_PROD[[#This Row],[PRODUÇÃO]]&gt;0,(T_PROD[[#This Row],[PRODUÇÃO]]/T_PROD[[#This Row],[EFETIVO]]),""),"")</f>
        <v>8.3333333333333339</v>
      </c>
    </row>
    <row r="1684" spans="1:11" x14ac:dyDescent="0.3">
      <c r="A1684" s="28">
        <v>46297</v>
      </c>
      <c r="B1684" s="29" t="str">
        <f t="shared" si="185"/>
        <v>OUTUBRO</v>
      </c>
      <c r="C1684" s="12" t="s">
        <v>14</v>
      </c>
      <c r="D1684" s="12" t="s">
        <v>12</v>
      </c>
      <c r="E1684" s="30">
        <v>820</v>
      </c>
      <c r="F1684" s="30">
        <v>710</v>
      </c>
      <c r="G1684" s="29">
        <v>92</v>
      </c>
      <c r="H1684" s="31">
        <v>90</v>
      </c>
      <c r="I1684" s="29">
        <f>IFERROR(IF(T_PROD[[#This Row],[PREVISTO]]-T_PROD[[#This Row],[EFETIVO]]&lt; 0,0,T_PROD[[#This Row],[PREVISTO]]-T_PROD[[#This Row],[EFETIVO]] ),"")</f>
        <v>2</v>
      </c>
      <c r="J1684" s="32">
        <f>IFERROR(IF(T_PROD[[#This Row],[META]]&gt;0,(T_PROD[[#This Row],[META]]/T_PROD[[#This Row],[PREVISTO]]),""),"")</f>
        <v>8.9130434782608692</v>
      </c>
      <c r="K1684" s="32">
        <f>IFERROR(IF(T_PROD[[#This Row],[PRODUÇÃO]]&gt;0,(T_PROD[[#This Row],[PRODUÇÃO]]/T_PROD[[#This Row],[EFETIVO]]),""),"")</f>
        <v>7.8888888888888893</v>
      </c>
    </row>
    <row r="1685" spans="1:11" x14ac:dyDescent="0.3">
      <c r="A1685" s="28">
        <v>46300</v>
      </c>
      <c r="B1685" s="29" t="str">
        <f>UPPER(TEXT(A1685,"MMMM"))</f>
        <v>OUTUBRO</v>
      </c>
      <c r="C1685" s="6" t="s">
        <v>15</v>
      </c>
      <c r="D1685" s="12" t="s">
        <v>12</v>
      </c>
      <c r="E1685" s="30"/>
      <c r="F1685" s="30"/>
      <c r="G1685" s="29"/>
      <c r="H1685" s="31"/>
      <c r="I1685" s="29">
        <f>IFERROR(IF(T_PROD[[#This Row],[PREVISTO]]-T_PROD[[#This Row],[EFETIVO]]&lt; 0,0,T_PROD[[#This Row],[PREVISTO]]-T_PROD[[#This Row],[EFETIVO]] ),"")</f>
        <v>0</v>
      </c>
      <c r="J1685" s="32" t="str">
        <f>IFERROR(IF(T_PROD[[#This Row],[META]]&gt;0,(T_PROD[[#This Row],[META]]/T_PROD[[#This Row],[PREVISTO]]),""),"")</f>
        <v/>
      </c>
      <c r="K1685" s="32" t="str">
        <f>IFERROR(IF(T_PROD[[#This Row],[PRODUÇÃO]]&gt;0,(T_PROD[[#This Row],[PRODUÇÃO]]/T_PROD[[#This Row],[EFETIVO]]),""),"")</f>
        <v/>
      </c>
    </row>
    <row r="1686" spans="1:11" x14ac:dyDescent="0.3">
      <c r="A1686" s="28">
        <v>46300</v>
      </c>
      <c r="B1686" s="29" t="str">
        <f t="shared" ref="B1686:B1693" si="186">UPPER(TEXT(A1686,"MMMM"))</f>
        <v>OUTUBRO</v>
      </c>
      <c r="C1686" s="12" t="s">
        <v>16</v>
      </c>
      <c r="D1686" s="12" t="s">
        <v>12</v>
      </c>
      <c r="E1686" s="30">
        <v>238</v>
      </c>
      <c r="F1686" s="30">
        <v>172</v>
      </c>
      <c r="G1686" s="29">
        <v>7</v>
      </c>
      <c r="H1686" s="31">
        <v>7</v>
      </c>
      <c r="I1686" s="29">
        <f>IFERROR(IF(T_PROD[[#This Row],[PREVISTO]]-T_PROD[[#This Row],[EFETIVO]]&lt; 0,0,T_PROD[[#This Row],[PREVISTO]]-T_PROD[[#This Row],[EFETIVO]] ),"")</f>
        <v>0</v>
      </c>
      <c r="J1686" s="32">
        <f>IFERROR(IF(T_PROD[[#This Row],[META]]&gt;0,(T_PROD[[#This Row],[META]]/T_PROD[[#This Row],[PREVISTO]]),""),"")</f>
        <v>34</v>
      </c>
      <c r="K1686" s="32">
        <f>IFERROR(IF(T_PROD[[#This Row],[PRODUÇÃO]]&gt;0,(T_PROD[[#This Row],[PRODUÇÃO]]/T_PROD[[#This Row],[EFETIVO]]),""),"")</f>
        <v>24.571428571428573</v>
      </c>
    </row>
    <row r="1687" spans="1:11" x14ac:dyDescent="0.3">
      <c r="A1687" s="28">
        <v>46300</v>
      </c>
      <c r="B1687" s="29" t="str">
        <f t="shared" si="186"/>
        <v>OUTUBRO</v>
      </c>
      <c r="C1687" s="12" t="s">
        <v>17</v>
      </c>
      <c r="D1687" s="12" t="s">
        <v>12</v>
      </c>
      <c r="E1687" s="30">
        <v>330</v>
      </c>
      <c r="F1687" s="30">
        <v>274</v>
      </c>
      <c r="G1687" s="29">
        <v>15</v>
      </c>
      <c r="H1687" s="31">
        <v>15</v>
      </c>
      <c r="I1687" s="29">
        <f>IFERROR(IF(T_PROD[[#This Row],[PREVISTO]]-T_PROD[[#This Row],[EFETIVO]]&lt; 0,0,T_PROD[[#This Row],[PREVISTO]]-T_PROD[[#This Row],[EFETIVO]] ),"")</f>
        <v>0</v>
      </c>
      <c r="J1687" s="32">
        <f>IFERROR(IF(T_PROD[[#This Row],[META]]&gt;0,(T_PROD[[#This Row],[META]]/T_PROD[[#This Row],[PREVISTO]]),""),"")</f>
        <v>22</v>
      </c>
      <c r="K1687" s="32">
        <f>IFERROR(IF(T_PROD[[#This Row],[PRODUÇÃO]]&gt;0,(T_PROD[[#This Row],[PRODUÇÃO]]/T_PROD[[#This Row],[EFETIVO]]),""),"")</f>
        <v>18.266666666666666</v>
      </c>
    </row>
    <row r="1688" spans="1:11" x14ac:dyDescent="0.3">
      <c r="A1688" s="28">
        <v>46300</v>
      </c>
      <c r="B1688" s="29" t="str">
        <f t="shared" si="186"/>
        <v>OUTUBRO</v>
      </c>
      <c r="C1688" s="12" t="s">
        <v>18</v>
      </c>
      <c r="D1688" s="12" t="s">
        <v>12</v>
      </c>
      <c r="E1688" s="30"/>
      <c r="F1688" s="30"/>
      <c r="G1688" s="29"/>
      <c r="H1688" s="31"/>
      <c r="I1688" s="29">
        <f>IFERROR(IF(T_PROD[[#This Row],[PREVISTO]]-T_PROD[[#This Row],[EFETIVO]]&lt; 0,0,T_PROD[[#This Row],[PREVISTO]]-T_PROD[[#This Row],[EFETIVO]] ),"")</f>
        <v>0</v>
      </c>
      <c r="J1688" s="32" t="str">
        <f>IFERROR(IF(T_PROD[[#This Row],[META]]&gt;0,(T_PROD[[#This Row],[META]]/T_PROD[[#This Row],[PREVISTO]]),""),"")</f>
        <v/>
      </c>
      <c r="K1688" s="32" t="str">
        <f>IFERROR(IF(T_PROD[[#This Row],[PRODUÇÃO]]&gt;0,(T_PROD[[#This Row],[PRODUÇÃO]]/T_PROD[[#This Row],[EFETIVO]]),""),"")</f>
        <v/>
      </c>
    </row>
    <row r="1689" spans="1:11" x14ac:dyDescent="0.3">
      <c r="A1689" s="28">
        <v>46300</v>
      </c>
      <c r="B1689" s="29" t="str">
        <f t="shared" si="186"/>
        <v>OUTUBRO</v>
      </c>
      <c r="C1689" s="12" t="s">
        <v>19</v>
      </c>
      <c r="D1689" s="12" t="s">
        <v>12</v>
      </c>
      <c r="E1689" s="30"/>
      <c r="F1689" s="30"/>
      <c r="G1689" s="29"/>
      <c r="H1689" s="31"/>
      <c r="I1689" s="29">
        <f>IFERROR(IF(T_PROD[[#This Row],[PREVISTO]]-T_PROD[[#This Row],[EFETIVO]]&lt; 0,0,T_PROD[[#This Row],[PREVISTO]]-T_PROD[[#This Row],[EFETIVO]] ),"")</f>
        <v>0</v>
      </c>
      <c r="J1689" s="32" t="str">
        <f>IFERROR(IF(T_PROD[[#This Row],[META]]&gt;0,(T_PROD[[#This Row],[META]]/T_PROD[[#This Row],[PREVISTO]]),""),"")</f>
        <v/>
      </c>
      <c r="K1689" s="32" t="str">
        <f>IFERROR(IF(T_PROD[[#This Row],[PRODUÇÃO]]&gt;0,(T_PROD[[#This Row],[PRODUÇÃO]]/T_PROD[[#This Row],[EFETIVO]]),""),"")</f>
        <v/>
      </c>
    </row>
    <row r="1690" spans="1:11" x14ac:dyDescent="0.3">
      <c r="A1690" s="28">
        <v>46300</v>
      </c>
      <c r="B1690" s="29" t="str">
        <f t="shared" si="186"/>
        <v>OUTUBRO</v>
      </c>
      <c r="C1690" s="12" t="s">
        <v>20</v>
      </c>
      <c r="D1690" s="12" t="s">
        <v>12</v>
      </c>
      <c r="E1690" s="30">
        <v>568</v>
      </c>
      <c r="F1690" s="30">
        <v>446</v>
      </c>
      <c r="G1690" s="29">
        <v>100</v>
      </c>
      <c r="H1690" s="31">
        <v>100</v>
      </c>
      <c r="I1690" s="29">
        <f>IFERROR(IF(T_PROD[[#This Row],[PREVISTO]]-T_PROD[[#This Row],[EFETIVO]]&lt; 0,0,T_PROD[[#This Row],[PREVISTO]]-T_PROD[[#This Row],[EFETIVO]] ),"")</f>
        <v>0</v>
      </c>
      <c r="J1690" s="32">
        <f>IFERROR(IF(T_PROD[[#This Row],[META]]&gt;0,(T_PROD[[#This Row],[META]]/T_PROD[[#This Row],[PREVISTO]]),""),"")</f>
        <v>5.68</v>
      </c>
      <c r="K1690" s="32">
        <f>IFERROR(IF(T_PROD[[#This Row],[PRODUÇÃO]]&gt;0,(T_PROD[[#This Row],[PRODUÇÃO]]/T_PROD[[#This Row],[EFETIVO]]),""),"")</f>
        <v>4.46</v>
      </c>
    </row>
    <row r="1691" spans="1:11" x14ac:dyDescent="0.3">
      <c r="A1691" s="28">
        <v>46300</v>
      </c>
      <c r="B1691" s="29" t="str">
        <f t="shared" si="186"/>
        <v>OUTUBRO</v>
      </c>
      <c r="C1691" s="12" t="s">
        <v>11</v>
      </c>
      <c r="D1691" s="12" t="s">
        <v>12</v>
      </c>
      <c r="E1691" s="30">
        <v>800</v>
      </c>
      <c r="F1691" s="30">
        <v>800</v>
      </c>
      <c r="G1691" s="29">
        <v>40</v>
      </c>
      <c r="H1691" s="31">
        <v>40</v>
      </c>
      <c r="I1691" s="29">
        <f>IFERROR(IF(T_PROD[[#This Row],[PREVISTO]]-T_PROD[[#This Row],[EFETIVO]]&lt; 0,0,T_PROD[[#This Row],[PREVISTO]]-T_PROD[[#This Row],[EFETIVO]] ),"")</f>
        <v>0</v>
      </c>
      <c r="J1691" s="32">
        <f>IFERROR(IF(T_PROD[[#This Row],[META]]&gt;0,(T_PROD[[#This Row],[META]]/T_PROD[[#This Row],[PREVISTO]]),""),"")</f>
        <v>20</v>
      </c>
      <c r="K1691" s="32">
        <f>IFERROR(IF(T_PROD[[#This Row],[PRODUÇÃO]]&gt;0,(T_PROD[[#This Row],[PRODUÇÃO]]/T_PROD[[#This Row],[EFETIVO]]),""),"")</f>
        <v>20</v>
      </c>
    </row>
    <row r="1692" spans="1:11" x14ac:dyDescent="0.3">
      <c r="A1692" s="28">
        <v>46300</v>
      </c>
      <c r="B1692" s="29" t="str">
        <f t="shared" si="186"/>
        <v>OUTUBRO</v>
      </c>
      <c r="C1692" s="12" t="s">
        <v>32</v>
      </c>
      <c r="D1692" s="12" t="s">
        <v>12</v>
      </c>
      <c r="E1692" s="30">
        <v>120</v>
      </c>
      <c r="F1692" s="30">
        <v>107</v>
      </c>
      <c r="G1692" s="29">
        <v>10</v>
      </c>
      <c r="H1692" s="31">
        <v>10</v>
      </c>
      <c r="I1692" s="29">
        <f>IFERROR(IF(T_PROD[[#This Row],[PREVISTO]]-T_PROD[[#This Row],[EFETIVO]]&lt; 0,0,T_PROD[[#This Row],[PREVISTO]]-T_PROD[[#This Row],[EFETIVO]] ),"")</f>
        <v>0</v>
      </c>
      <c r="J1692" s="32">
        <f>IFERROR(IF(T_PROD[[#This Row],[META]]&gt;0,(T_PROD[[#This Row],[META]]/T_PROD[[#This Row],[PREVISTO]]),""),"")</f>
        <v>12</v>
      </c>
      <c r="K1692" s="32">
        <f>IFERROR(IF(T_PROD[[#This Row],[PRODUÇÃO]]&gt;0,(T_PROD[[#This Row],[PRODUÇÃO]]/T_PROD[[#This Row],[EFETIVO]]),""),"")</f>
        <v>10.7</v>
      </c>
    </row>
    <row r="1693" spans="1:11" x14ac:dyDescent="0.3">
      <c r="A1693" s="28">
        <v>46300</v>
      </c>
      <c r="B1693" s="29" t="str">
        <f t="shared" si="186"/>
        <v>OUTUBRO</v>
      </c>
      <c r="C1693" s="12" t="s">
        <v>14</v>
      </c>
      <c r="D1693" s="12" t="s">
        <v>12</v>
      </c>
      <c r="E1693" s="30">
        <v>920</v>
      </c>
      <c r="F1693" s="30">
        <v>907</v>
      </c>
      <c r="G1693" s="29">
        <v>105</v>
      </c>
      <c r="H1693" s="31">
        <v>103</v>
      </c>
      <c r="I1693" s="29">
        <f>IFERROR(IF(T_PROD[[#This Row],[PREVISTO]]-T_PROD[[#This Row],[EFETIVO]]&lt; 0,0,T_PROD[[#This Row],[PREVISTO]]-T_PROD[[#This Row],[EFETIVO]] ),"")</f>
        <v>2</v>
      </c>
      <c r="J1693" s="32">
        <f>IFERROR(IF(T_PROD[[#This Row],[META]]&gt;0,(T_PROD[[#This Row],[META]]/T_PROD[[#This Row],[PREVISTO]]),""),"")</f>
        <v>8.7619047619047628</v>
      </c>
      <c r="K1693" s="32">
        <f>IFERROR(IF(T_PROD[[#This Row],[PRODUÇÃO]]&gt;0,(T_PROD[[#This Row],[PRODUÇÃO]]/T_PROD[[#This Row],[EFETIVO]]),""),"")</f>
        <v>8.8058252427184467</v>
      </c>
    </row>
    <row r="1694" spans="1:11" x14ac:dyDescent="0.3">
      <c r="A1694" s="28">
        <v>46301</v>
      </c>
      <c r="B1694" s="29" t="str">
        <f>UPPER(TEXT(A1694,"MMMM"))</f>
        <v>OUTUBRO</v>
      </c>
      <c r="C1694" s="6" t="s">
        <v>15</v>
      </c>
      <c r="D1694" s="12" t="s">
        <v>12</v>
      </c>
      <c r="E1694" s="30"/>
      <c r="F1694" s="30"/>
      <c r="G1694" s="29"/>
      <c r="H1694" s="31"/>
      <c r="I1694" s="29">
        <f>IFERROR(IF(T_PROD[[#This Row],[PREVISTO]]-T_PROD[[#This Row],[EFETIVO]]&lt; 0,0,T_PROD[[#This Row],[PREVISTO]]-T_PROD[[#This Row],[EFETIVO]] ),"")</f>
        <v>0</v>
      </c>
      <c r="J1694" s="32" t="str">
        <f>IFERROR(IF(T_PROD[[#This Row],[META]]&gt;0,(T_PROD[[#This Row],[META]]/T_PROD[[#This Row],[PREVISTO]]),""),"")</f>
        <v/>
      </c>
      <c r="K1694" s="32" t="str">
        <f>IFERROR(IF(T_PROD[[#This Row],[PRODUÇÃO]]&gt;0,(T_PROD[[#This Row],[PRODUÇÃO]]/T_PROD[[#This Row],[EFETIVO]]),""),"")</f>
        <v/>
      </c>
    </row>
    <row r="1695" spans="1:11" x14ac:dyDescent="0.3">
      <c r="A1695" s="28">
        <v>46301</v>
      </c>
      <c r="B1695" s="29" t="str">
        <f t="shared" ref="B1695:B1702" si="187">UPPER(TEXT(A1695,"MMMM"))</f>
        <v>OUTUBRO</v>
      </c>
      <c r="C1695" s="12" t="s">
        <v>16</v>
      </c>
      <c r="D1695" s="12" t="s">
        <v>12</v>
      </c>
      <c r="E1695" s="30"/>
      <c r="F1695" s="30"/>
      <c r="G1695" s="29"/>
      <c r="H1695" s="31"/>
      <c r="I1695" s="29">
        <f>IFERROR(IF(T_PROD[[#This Row],[PREVISTO]]-T_PROD[[#This Row],[EFETIVO]]&lt; 0,0,T_PROD[[#This Row],[PREVISTO]]-T_PROD[[#This Row],[EFETIVO]] ),"")</f>
        <v>0</v>
      </c>
      <c r="J1695" s="32" t="str">
        <f>IFERROR(IF(T_PROD[[#This Row],[META]]&gt;0,(T_PROD[[#This Row],[META]]/T_PROD[[#This Row],[PREVISTO]]),""),"")</f>
        <v/>
      </c>
      <c r="K1695" s="32" t="str">
        <f>IFERROR(IF(T_PROD[[#This Row],[PRODUÇÃO]]&gt;0,(T_PROD[[#This Row],[PRODUÇÃO]]/T_PROD[[#This Row],[EFETIVO]]),""),"")</f>
        <v/>
      </c>
    </row>
    <row r="1696" spans="1:11" x14ac:dyDescent="0.3">
      <c r="A1696" s="28">
        <v>46301</v>
      </c>
      <c r="B1696" s="29" t="str">
        <f t="shared" si="187"/>
        <v>OUTUBRO</v>
      </c>
      <c r="C1696" s="12" t="s">
        <v>17</v>
      </c>
      <c r="D1696" s="12" t="s">
        <v>12</v>
      </c>
      <c r="E1696" s="30"/>
      <c r="F1696" s="30"/>
      <c r="G1696" s="29"/>
      <c r="H1696" s="31"/>
      <c r="I1696" s="29">
        <f>IFERROR(IF(T_PROD[[#This Row],[PREVISTO]]-T_PROD[[#This Row],[EFETIVO]]&lt; 0,0,T_PROD[[#This Row],[PREVISTO]]-T_PROD[[#This Row],[EFETIVO]] ),"")</f>
        <v>0</v>
      </c>
      <c r="J1696" s="32" t="str">
        <f>IFERROR(IF(T_PROD[[#This Row],[META]]&gt;0,(T_PROD[[#This Row],[META]]/T_PROD[[#This Row],[PREVISTO]]),""),"")</f>
        <v/>
      </c>
      <c r="K1696" s="32" t="str">
        <f>IFERROR(IF(T_PROD[[#This Row],[PRODUÇÃO]]&gt;0,(T_PROD[[#This Row],[PRODUÇÃO]]/T_PROD[[#This Row],[EFETIVO]]),""),"")</f>
        <v/>
      </c>
    </row>
    <row r="1697" spans="1:11" x14ac:dyDescent="0.3">
      <c r="A1697" s="28">
        <v>46301</v>
      </c>
      <c r="B1697" s="29" t="str">
        <f t="shared" si="187"/>
        <v>OUTUBRO</v>
      </c>
      <c r="C1697" s="12" t="s">
        <v>18</v>
      </c>
      <c r="D1697" s="12" t="s">
        <v>12</v>
      </c>
      <c r="E1697" s="30"/>
      <c r="F1697" s="30"/>
      <c r="G1697" s="29"/>
      <c r="H1697" s="31"/>
      <c r="I1697" s="29">
        <f>IFERROR(IF(T_PROD[[#This Row],[PREVISTO]]-T_PROD[[#This Row],[EFETIVO]]&lt; 0,0,T_PROD[[#This Row],[PREVISTO]]-T_PROD[[#This Row],[EFETIVO]] ),"")</f>
        <v>0</v>
      </c>
      <c r="J1697" s="32" t="str">
        <f>IFERROR(IF(T_PROD[[#This Row],[META]]&gt;0,(T_PROD[[#This Row],[META]]/T_PROD[[#This Row],[PREVISTO]]),""),"")</f>
        <v/>
      </c>
      <c r="K1697" s="32" t="str">
        <f>IFERROR(IF(T_PROD[[#This Row],[PRODUÇÃO]]&gt;0,(T_PROD[[#This Row],[PRODUÇÃO]]/T_PROD[[#This Row],[EFETIVO]]),""),"")</f>
        <v/>
      </c>
    </row>
    <row r="1698" spans="1:11" x14ac:dyDescent="0.3">
      <c r="A1698" s="28">
        <v>46301</v>
      </c>
      <c r="B1698" s="29" t="str">
        <f t="shared" si="187"/>
        <v>OUTUBRO</v>
      </c>
      <c r="C1698" s="12" t="s">
        <v>19</v>
      </c>
      <c r="D1698" s="12" t="s">
        <v>12</v>
      </c>
      <c r="E1698" s="30"/>
      <c r="F1698" s="30"/>
      <c r="G1698" s="29"/>
      <c r="H1698" s="31"/>
      <c r="I1698" s="29">
        <f>IFERROR(IF(T_PROD[[#This Row],[PREVISTO]]-T_PROD[[#This Row],[EFETIVO]]&lt; 0,0,T_PROD[[#This Row],[PREVISTO]]-T_PROD[[#This Row],[EFETIVO]] ),"")</f>
        <v>0</v>
      </c>
      <c r="J1698" s="32" t="str">
        <f>IFERROR(IF(T_PROD[[#This Row],[META]]&gt;0,(T_PROD[[#This Row],[META]]/T_PROD[[#This Row],[PREVISTO]]),""),"")</f>
        <v/>
      </c>
      <c r="K1698" s="32" t="str">
        <f>IFERROR(IF(T_PROD[[#This Row],[PRODUÇÃO]]&gt;0,(T_PROD[[#This Row],[PRODUÇÃO]]/T_PROD[[#This Row],[EFETIVO]]),""),"")</f>
        <v/>
      </c>
    </row>
    <row r="1699" spans="1:11" x14ac:dyDescent="0.3">
      <c r="A1699" s="28">
        <v>46301</v>
      </c>
      <c r="B1699" s="29" t="str">
        <f t="shared" si="187"/>
        <v>OUTUBRO</v>
      </c>
      <c r="C1699" s="12" t="s">
        <v>20</v>
      </c>
      <c r="D1699" s="12" t="s">
        <v>12</v>
      </c>
      <c r="E1699" s="30"/>
      <c r="F1699" s="30"/>
      <c r="G1699" s="29"/>
      <c r="H1699" s="31"/>
      <c r="I1699" s="29">
        <f>IFERROR(IF(T_PROD[[#This Row],[PREVISTO]]-T_PROD[[#This Row],[EFETIVO]]&lt; 0,0,T_PROD[[#This Row],[PREVISTO]]-T_PROD[[#This Row],[EFETIVO]] ),"")</f>
        <v>0</v>
      </c>
      <c r="J1699" s="32" t="str">
        <f>IFERROR(IF(T_PROD[[#This Row],[META]]&gt;0,(T_PROD[[#This Row],[META]]/T_PROD[[#This Row],[PREVISTO]]),""),"")</f>
        <v/>
      </c>
      <c r="K1699" s="32" t="str">
        <f>IFERROR(IF(T_PROD[[#This Row],[PRODUÇÃO]]&gt;0,(T_PROD[[#This Row],[PRODUÇÃO]]/T_PROD[[#This Row],[EFETIVO]]),""),"")</f>
        <v/>
      </c>
    </row>
    <row r="1700" spans="1:11" x14ac:dyDescent="0.3">
      <c r="A1700" s="28">
        <v>46301</v>
      </c>
      <c r="B1700" s="29" t="str">
        <f t="shared" si="187"/>
        <v>OUTUBRO</v>
      </c>
      <c r="C1700" s="12" t="s">
        <v>11</v>
      </c>
      <c r="D1700" s="12" t="s">
        <v>12</v>
      </c>
      <c r="E1700" s="30">
        <v>840</v>
      </c>
      <c r="F1700" s="30">
        <v>880</v>
      </c>
      <c r="G1700" s="29">
        <v>42</v>
      </c>
      <c r="H1700" s="31">
        <v>42</v>
      </c>
      <c r="I1700" s="29">
        <f>IFERROR(IF(T_PROD[[#This Row],[PREVISTO]]-T_PROD[[#This Row],[EFETIVO]]&lt; 0,0,T_PROD[[#This Row],[PREVISTO]]-T_PROD[[#This Row],[EFETIVO]] ),"")</f>
        <v>0</v>
      </c>
      <c r="J1700" s="32">
        <f>IFERROR(IF(T_PROD[[#This Row],[META]]&gt;0,(T_PROD[[#This Row],[META]]/T_PROD[[#This Row],[PREVISTO]]),""),"")</f>
        <v>20</v>
      </c>
      <c r="K1700" s="32">
        <f>IFERROR(IF(T_PROD[[#This Row],[PRODUÇÃO]]&gt;0,(T_PROD[[#This Row],[PRODUÇÃO]]/T_PROD[[#This Row],[EFETIVO]]),""),"")</f>
        <v>20.952380952380953</v>
      </c>
    </row>
    <row r="1701" spans="1:11" x14ac:dyDescent="0.3">
      <c r="A1701" s="28">
        <v>46301</v>
      </c>
      <c r="B1701" s="29" t="str">
        <f t="shared" si="187"/>
        <v>OUTUBRO</v>
      </c>
      <c r="C1701" s="12" t="s">
        <v>32</v>
      </c>
      <c r="D1701" s="12" t="s">
        <v>12</v>
      </c>
      <c r="E1701" s="30">
        <v>120</v>
      </c>
      <c r="F1701" s="30">
        <v>125</v>
      </c>
      <c r="G1701" s="29">
        <v>10</v>
      </c>
      <c r="H1701" s="31">
        <v>10</v>
      </c>
      <c r="I1701" s="29">
        <f>IFERROR(IF(T_PROD[[#This Row],[PREVISTO]]-T_PROD[[#This Row],[EFETIVO]]&lt; 0,0,T_PROD[[#This Row],[PREVISTO]]-T_PROD[[#This Row],[EFETIVO]] ),"")</f>
        <v>0</v>
      </c>
      <c r="J1701" s="32">
        <f>IFERROR(IF(T_PROD[[#This Row],[META]]&gt;0,(T_PROD[[#This Row],[META]]/T_PROD[[#This Row],[PREVISTO]]),""),"")</f>
        <v>12</v>
      </c>
      <c r="K1701" s="32">
        <f>IFERROR(IF(T_PROD[[#This Row],[PRODUÇÃO]]&gt;0,(T_PROD[[#This Row],[PRODUÇÃO]]/T_PROD[[#This Row],[EFETIVO]]),""),"")</f>
        <v>12.5</v>
      </c>
    </row>
    <row r="1702" spans="1:11" x14ac:dyDescent="0.3">
      <c r="A1702" s="28">
        <v>46301</v>
      </c>
      <c r="B1702" s="29" t="str">
        <f t="shared" si="187"/>
        <v>OUTUBRO</v>
      </c>
      <c r="C1702" s="12" t="s">
        <v>14</v>
      </c>
      <c r="D1702" s="12" t="s">
        <v>12</v>
      </c>
      <c r="E1702" s="30">
        <v>960</v>
      </c>
      <c r="F1702" s="30">
        <v>1005</v>
      </c>
      <c r="G1702" s="29">
        <v>105</v>
      </c>
      <c r="H1702" s="31">
        <v>103</v>
      </c>
      <c r="I1702" s="29">
        <f>IFERROR(IF(T_PROD[[#This Row],[PREVISTO]]-T_PROD[[#This Row],[EFETIVO]]&lt; 0,0,T_PROD[[#This Row],[PREVISTO]]-T_PROD[[#This Row],[EFETIVO]] ),"")</f>
        <v>2</v>
      </c>
      <c r="J1702" s="32">
        <f>IFERROR(IF(T_PROD[[#This Row],[META]]&gt;0,(T_PROD[[#This Row],[META]]/T_PROD[[#This Row],[PREVISTO]]),""),"")</f>
        <v>9.1428571428571423</v>
      </c>
      <c r="K1702" s="32">
        <f>IFERROR(IF(T_PROD[[#This Row],[PRODUÇÃO]]&gt;0,(T_PROD[[#This Row],[PRODUÇÃO]]/T_PROD[[#This Row],[EFETIVO]]),""),"")</f>
        <v>9.7572815533980588</v>
      </c>
    </row>
    <row r="1703" spans="1:11" x14ac:dyDescent="0.3">
      <c r="A1703" s="28">
        <v>46302</v>
      </c>
      <c r="B1703" s="29" t="str">
        <f>UPPER(TEXT(A1703,"MMMM"))</f>
        <v>OUTUBRO</v>
      </c>
      <c r="C1703" s="6" t="s">
        <v>15</v>
      </c>
      <c r="D1703" s="12" t="s">
        <v>12</v>
      </c>
      <c r="E1703" s="30">
        <v>45</v>
      </c>
      <c r="F1703" s="30">
        <v>6</v>
      </c>
      <c r="G1703" s="29">
        <v>3</v>
      </c>
      <c r="H1703" s="31">
        <v>3</v>
      </c>
      <c r="I1703" s="29">
        <f>IFERROR(IF(T_PROD[[#This Row],[PREVISTO]]-T_PROD[[#This Row],[EFETIVO]]&lt; 0,0,T_PROD[[#This Row],[PREVISTO]]-T_PROD[[#This Row],[EFETIVO]] ),"")</f>
        <v>0</v>
      </c>
      <c r="J1703" s="32">
        <f>IFERROR(IF(T_PROD[[#This Row],[META]]&gt;0,(T_PROD[[#This Row],[META]]/T_PROD[[#This Row],[PREVISTO]]),""),"")</f>
        <v>15</v>
      </c>
      <c r="K1703" s="32">
        <f>IFERROR(IF(T_PROD[[#This Row],[PRODUÇÃO]]&gt;0,(T_PROD[[#This Row],[PRODUÇÃO]]/T_PROD[[#This Row],[EFETIVO]]),""),"")</f>
        <v>2</v>
      </c>
    </row>
    <row r="1704" spans="1:11" x14ac:dyDescent="0.3">
      <c r="A1704" s="28">
        <v>46302</v>
      </c>
      <c r="B1704" s="29" t="str">
        <f t="shared" ref="B1704:B1711" si="188">UPPER(TEXT(A1704,"MMMM"))</f>
        <v>OUTUBRO</v>
      </c>
      <c r="C1704" s="12" t="s">
        <v>16</v>
      </c>
      <c r="D1704" s="12" t="s">
        <v>12</v>
      </c>
      <c r="E1704" s="30">
        <v>272</v>
      </c>
      <c r="F1704" s="30">
        <v>280</v>
      </c>
      <c r="G1704" s="29">
        <v>8</v>
      </c>
      <c r="H1704" s="31">
        <v>8</v>
      </c>
      <c r="I1704" s="29">
        <f>IFERROR(IF(T_PROD[[#This Row],[PREVISTO]]-T_PROD[[#This Row],[EFETIVO]]&lt; 0,0,T_PROD[[#This Row],[PREVISTO]]-T_PROD[[#This Row],[EFETIVO]] ),"")</f>
        <v>0</v>
      </c>
      <c r="J1704" s="32">
        <f>IFERROR(IF(T_PROD[[#This Row],[META]]&gt;0,(T_PROD[[#This Row],[META]]/T_PROD[[#This Row],[PREVISTO]]),""),"")</f>
        <v>34</v>
      </c>
      <c r="K1704" s="32">
        <f>IFERROR(IF(T_PROD[[#This Row],[PRODUÇÃO]]&gt;0,(T_PROD[[#This Row],[PRODUÇÃO]]/T_PROD[[#This Row],[EFETIVO]]),""),"")</f>
        <v>35</v>
      </c>
    </row>
    <row r="1705" spans="1:11" x14ac:dyDescent="0.3">
      <c r="A1705" s="28">
        <v>46302</v>
      </c>
      <c r="B1705" s="29" t="str">
        <f t="shared" si="188"/>
        <v>OUTUBRO</v>
      </c>
      <c r="C1705" s="12" t="s">
        <v>17</v>
      </c>
      <c r="D1705" s="12" t="s">
        <v>12</v>
      </c>
      <c r="E1705" s="30">
        <v>330</v>
      </c>
      <c r="F1705" s="30">
        <v>313</v>
      </c>
      <c r="G1705" s="29">
        <v>16</v>
      </c>
      <c r="H1705" s="31">
        <v>16</v>
      </c>
      <c r="I1705" s="29">
        <f>IFERROR(IF(T_PROD[[#This Row],[PREVISTO]]-T_PROD[[#This Row],[EFETIVO]]&lt; 0,0,T_PROD[[#This Row],[PREVISTO]]-T_PROD[[#This Row],[EFETIVO]] ),"")</f>
        <v>0</v>
      </c>
      <c r="J1705" s="32">
        <f>IFERROR(IF(T_PROD[[#This Row],[META]]&gt;0,(T_PROD[[#This Row],[META]]/T_PROD[[#This Row],[PREVISTO]]),""),"")</f>
        <v>20.625</v>
      </c>
      <c r="K1705" s="32">
        <f>IFERROR(IF(T_PROD[[#This Row],[PRODUÇÃO]]&gt;0,(T_PROD[[#This Row],[PRODUÇÃO]]/T_PROD[[#This Row],[EFETIVO]]),""),"")</f>
        <v>19.5625</v>
      </c>
    </row>
    <row r="1706" spans="1:11" x14ac:dyDescent="0.3">
      <c r="A1706" s="28">
        <v>46302</v>
      </c>
      <c r="B1706" s="29" t="str">
        <f t="shared" si="188"/>
        <v>OUTUBRO</v>
      </c>
      <c r="C1706" s="12" t="s">
        <v>18</v>
      </c>
      <c r="D1706" s="12" t="s">
        <v>12</v>
      </c>
      <c r="E1706" s="30"/>
      <c r="F1706" s="30"/>
      <c r="G1706" s="29"/>
      <c r="H1706" s="31"/>
      <c r="I1706" s="29">
        <f>IFERROR(IF(T_PROD[[#This Row],[PREVISTO]]-T_PROD[[#This Row],[EFETIVO]]&lt; 0,0,T_PROD[[#This Row],[PREVISTO]]-T_PROD[[#This Row],[EFETIVO]] ),"")</f>
        <v>0</v>
      </c>
      <c r="J1706" s="32" t="str">
        <f>IFERROR(IF(T_PROD[[#This Row],[META]]&gt;0,(T_PROD[[#This Row],[META]]/T_PROD[[#This Row],[PREVISTO]]),""),"")</f>
        <v/>
      </c>
      <c r="K1706" s="32" t="str">
        <f>IFERROR(IF(T_PROD[[#This Row],[PRODUÇÃO]]&gt;0,(T_PROD[[#This Row],[PRODUÇÃO]]/T_PROD[[#This Row],[EFETIVO]]),""),"")</f>
        <v/>
      </c>
    </row>
    <row r="1707" spans="1:11" x14ac:dyDescent="0.3">
      <c r="A1707" s="28">
        <v>46302</v>
      </c>
      <c r="B1707" s="29" t="str">
        <f t="shared" si="188"/>
        <v>OUTUBRO</v>
      </c>
      <c r="C1707" s="12" t="s">
        <v>19</v>
      </c>
      <c r="D1707" s="12" t="s">
        <v>12</v>
      </c>
      <c r="E1707" s="30"/>
      <c r="F1707" s="30"/>
      <c r="G1707" s="29"/>
      <c r="H1707" s="31"/>
      <c r="I1707" s="29">
        <f>IFERROR(IF(T_PROD[[#This Row],[PREVISTO]]-T_PROD[[#This Row],[EFETIVO]]&lt; 0,0,T_PROD[[#This Row],[PREVISTO]]-T_PROD[[#This Row],[EFETIVO]] ),"")</f>
        <v>0</v>
      </c>
      <c r="J1707" s="32" t="str">
        <f>IFERROR(IF(T_PROD[[#This Row],[META]]&gt;0,(T_PROD[[#This Row],[META]]/T_PROD[[#This Row],[PREVISTO]]),""),"")</f>
        <v/>
      </c>
      <c r="K1707" s="32" t="str">
        <f>IFERROR(IF(T_PROD[[#This Row],[PRODUÇÃO]]&gt;0,(T_PROD[[#This Row],[PRODUÇÃO]]/T_PROD[[#This Row],[EFETIVO]]),""),"")</f>
        <v/>
      </c>
    </row>
    <row r="1708" spans="1:11" x14ac:dyDescent="0.3">
      <c r="A1708" s="28">
        <v>46302</v>
      </c>
      <c r="B1708" s="29" t="str">
        <f t="shared" si="188"/>
        <v>OUTUBRO</v>
      </c>
      <c r="C1708" s="12" t="s">
        <v>20</v>
      </c>
      <c r="D1708" s="12" t="s">
        <v>12</v>
      </c>
      <c r="E1708" s="30">
        <v>647</v>
      </c>
      <c r="F1708" s="30">
        <v>599</v>
      </c>
      <c r="G1708" s="29">
        <v>120</v>
      </c>
      <c r="H1708" s="31">
        <v>120</v>
      </c>
      <c r="I1708" s="29">
        <f>IFERROR(IF(T_PROD[[#This Row],[PREVISTO]]-T_PROD[[#This Row],[EFETIVO]]&lt; 0,0,T_PROD[[#This Row],[PREVISTO]]-T_PROD[[#This Row],[EFETIVO]] ),"")</f>
        <v>0</v>
      </c>
      <c r="J1708" s="32">
        <f>IFERROR(IF(T_PROD[[#This Row],[META]]&gt;0,(T_PROD[[#This Row],[META]]/T_PROD[[#This Row],[PREVISTO]]),""),"")</f>
        <v>5.3916666666666666</v>
      </c>
      <c r="K1708" s="32">
        <f>IFERROR(IF(T_PROD[[#This Row],[PRODUÇÃO]]&gt;0,(T_PROD[[#This Row],[PRODUÇÃO]]/T_PROD[[#This Row],[EFETIVO]]),""),"")</f>
        <v>4.9916666666666663</v>
      </c>
    </row>
    <row r="1709" spans="1:11" x14ac:dyDescent="0.3">
      <c r="A1709" s="28">
        <v>46302</v>
      </c>
      <c r="B1709" s="29" t="str">
        <f t="shared" si="188"/>
        <v>OUTUBRO</v>
      </c>
      <c r="C1709" s="12" t="s">
        <v>11</v>
      </c>
      <c r="D1709" s="12" t="s">
        <v>12</v>
      </c>
      <c r="E1709" s="30">
        <v>860</v>
      </c>
      <c r="F1709" s="30">
        <v>870</v>
      </c>
      <c r="G1709" s="29">
        <v>43</v>
      </c>
      <c r="H1709" s="31">
        <v>43</v>
      </c>
      <c r="I1709" s="29">
        <f>IFERROR(IF(T_PROD[[#This Row],[PREVISTO]]-T_PROD[[#This Row],[EFETIVO]]&lt; 0,0,T_PROD[[#This Row],[PREVISTO]]-T_PROD[[#This Row],[EFETIVO]] ),"")</f>
        <v>0</v>
      </c>
      <c r="J1709" s="32">
        <f>IFERROR(IF(T_PROD[[#This Row],[META]]&gt;0,(T_PROD[[#This Row],[META]]/T_PROD[[#This Row],[PREVISTO]]),""),"")</f>
        <v>20</v>
      </c>
      <c r="K1709" s="32">
        <f>IFERROR(IF(T_PROD[[#This Row],[PRODUÇÃO]]&gt;0,(T_PROD[[#This Row],[PRODUÇÃO]]/T_PROD[[#This Row],[EFETIVO]]),""),"")</f>
        <v>20.232558139534884</v>
      </c>
    </row>
    <row r="1710" spans="1:11" x14ac:dyDescent="0.3">
      <c r="A1710" s="28">
        <v>46302</v>
      </c>
      <c r="B1710" s="29" t="str">
        <f t="shared" si="188"/>
        <v>OUTUBRO</v>
      </c>
      <c r="C1710" s="12" t="s">
        <v>32</v>
      </c>
      <c r="D1710" s="12" t="s">
        <v>12</v>
      </c>
      <c r="E1710" s="30">
        <v>88</v>
      </c>
      <c r="F1710" s="30">
        <v>94</v>
      </c>
      <c r="G1710" s="29">
        <v>8</v>
      </c>
      <c r="H1710" s="31">
        <v>8</v>
      </c>
      <c r="I1710" s="29">
        <f>IFERROR(IF(T_PROD[[#This Row],[PREVISTO]]-T_PROD[[#This Row],[EFETIVO]]&lt; 0,0,T_PROD[[#This Row],[PREVISTO]]-T_PROD[[#This Row],[EFETIVO]] ),"")</f>
        <v>0</v>
      </c>
      <c r="J1710" s="32">
        <f>IFERROR(IF(T_PROD[[#This Row],[META]]&gt;0,(T_PROD[[#This Row],[META]]/T_PROD[[#This Row],[PREVISTO]]),""),"")</f>
        <v>11</v>
      </c>
      <c r="K1710" s="32">
        <f>IFERROR(IF(T_PROD[[#This Row],[PRODUÇÃO]]&gt;0,(T_PROD[[#This Row],[PRODUÇÃO]]/T_PROD[[#This Row],[EFETIVO]]),""),"")</f>
        <v>11.75</v>
      </c>
    </row>
    <row r="1711" spans="1:11" x14ac:dyDescent="0.3">
      <c r="A1711" s="28">
        <v>46302</v>
      </c>
      <c r="B1711" s="29" t="str">
        <f t="shared" si="188"/>
        <v>OUTUBRO</v>
      </c>
      <c r="C1711" s="12" t="s">
        <v>14</v>
      </c>
      <c r="D1711" s="12" t="s">
        <v>12</v>
      </c>
      <c r="E1711" s="30">
        <v>948</v>
      </c>
      <c r="F1711" s="30">
        <v>964</v>
      </c>
      <c r="G1711" s="29">
        <v>105</v>
      </c>
      <c r="H1711" s="31">
        <v>105</v>
      </c>
      <c r="I1711" s="29">
        <f>IFERROR(IF(T_PROD[[#This Row],[PREVISTO]]-T_PROD[[#This Row],[EFETIVO]]&lt; 0,0,T_PROD[[#This Row],[PREVISTO]]-T_PROD[[#This Row],[EFETIVO]] ),"")</f>
        <v>0</v>
      </c>
      <c r="J1711" s="32">
        <f>IFERROR(IF(T_PROD[[#This Row],[META]]&gt;0,(T_PROD[[#This Row],[META]]/T_PROD[[#This Row],[PREVISTO]]),""),"")</f>
        <v>9.0285714285714285</v>
      </c>
      <c r="K1711" s="32">
        <f>IFERROR(IF(T_PROD[[#This Row],[PRODUÇÃO]]&gt;0,(T_PROD[[#This Row],[PRODUÇÃO]]/T_PROD[[#This Row],[EFETIVO]]),""),"")</f>
        <v>9.1809523809523803</v>
      </c>
    </row>
    <row r="1712" spans="1:11" x14ac:dyDescent="0.3">
      <c r="A1712" s="28">
        <v>46303</v>
      </c>
      <c r="B1712" s="29" t="str">
        <f>UPPER(TEXT(A1712,"MMMM"))</f>
        <v>OUTUBRO</v>
      </c>
      <c r="C1712" s="6" t="s">
        <v>15</v>
      </c>
      <c r="D1712" s="12" t="s">
        <v>12</v>
      </c>
      <c r="E1712" s="30"/>
      <c r="F1712" s="30"/>
      <c r="G1712" s="29"/>
      <c r="H1712" s="31"/>
      <c r="I1712" s="29">
        <f>IFERROR(IF(T_PROD[[#This Row],[PREVISTO]]-T_PROD[[#This Row],[EFETIVO]]&lt; 0,0,T_PROD[[#This Row],[PREVISTO]]-T_PROD[[#This Row],[EFETIVO]] ),"")</f>
        <v>0</v>
      </c>
      <c r="J1712" s="32" t="str">
        <f>IFERROR(IF(T_PROD[[#This Row],[META]]&gt;0,(T_PROD[[#This Row],[META]]/T_PROD[[#This Row],[PREVISTO]]),""),"")</f>
        <v/>
      </c>
      <c r="K1712" s="32" t="str">
        <f>IFERROR(IF(T_PROD[[#This Row],[PRODUÇÃO]]&gt;0,(T_PROD[[#This Row],[PRODUÇÃO]]/T_PROD[[#This Row],[EFETIVO]]),""),"")</f>
        <v/>
      </c>
    </row>
    <row r="1713" spans="1:11" x14ac:dyDescent="0.3">
      <c r="A1713" s="28">
        <v>46303</v>
      </c>
      <c r="B1713" s="29" t="str">
        <f t="shared" ref="B1713:B1720" si="189">UPPER(TEXT(A1713,"MMMM"))</f>
        <v>OUTUBRO</v>
      </c>
      <c r="C1713" s="12" t="s">
        <v>16</v>
      </c>
      <c r="D1713" s="12" t="s">
        <v>12</v>
      </c>
      <c r="E1713" s="30">
        <v>238</v>
      </c>
      <c r="F1713" s="30">
        <v>256</v>
      </c>
      <c r="G1713" s="29">
        <v>8</v>
      </c>
      <c r="H1713" s="31">
        <v>8</v>
      </c>
      <c r="I1713" s="29">
        <f>IFERROR(IF(T_PROD[[#This Row],[PREVISTO]]-T_PROD[[#This Row],[EFETIVO]]&lt; 0,0,T_PROD[[#This Row],[PREVISTO]]-T_PROD[[#This Row],[EFETIVO]] ),"")</f>
        <v>0</v>
      </c>
      <c r="J1713" s="32">
        <f>IFERROR(IF(T_PROD[[#This Row],[META]]&gt;0,(T_PROD[[#This Row],[META]]/T_PROD[[#This Row],[PREVISTO]]),""),"")</f>
        <v>29.75</v>
      </c>
      <c r="K1713" s="32">
        <f>IFERROR(IF(T_PROD[[#This Row],[PRODUÇÃO]]&gt;0,(T_PROD[[#This Row],[PRODUÇÃO]]/T_PROD[[#This Row],[EFETIVO]]),""),"")</f>
        <v>32</v>
      </c>
    </row>
    <row r="1714" spans="1:11" x14ac:dyDescent="0.3">
      <c r="A1714" s="28">
        <v>46303</v>
      </c>
      <c r="B1714" s="29" t="str">
        <f t="shared" si="189"/>
        <v>OUTUBRO</v>
      </c>
      <c r="C1714" s="12" t="s">
        <v>17</v>
      </c>
      <c r="D1714" s="12" t="s">
        <v>12</v>
      </c>
      <c r="E1714" s="30">
        <v>330</v>
      </c>
      <c r="F1714" s="30">
        <v>304</v>
      </c>
      <c r="G1714" s="29">
        <v>16</v>
      </c>
      <c r="H1714" s="31">
        <v>16</v>
      </c>
      <c r="I1714" s="29">
        <f>IFERROR(IF(T_PROD[[#This Row],[PREVISTO]]-T_PROD[[#This Row],[EFETIVO]]&lt; 0,0,T_PROD[[#This Row],[PREVISTO]]-T_PROD[[#This Row],[EFETIVO]] ),"")</f>
        <v>0</v>
      </c>
      <c r="J1714" s="32">
        <f>IFERROR(IF(T_PROD[[#This Row],[META]]&gt;0,(T_PROD[[#This Row],[META]]/T_PROD[[#This Row],[PREVISTO]]),""),"")</f>
        <v>20.625</v>
      </c>
      <c r="K1714" s="32">
        <f>IFERROR(IF(T_PROD[[#This Row],[PRODUÇÃO]]&gt;0,(T_PROD[[#This Row],[PRODUÇÃO]]/T_PROD[[#This Row],[EFETIVO]]),""),"")</f>
        <v>19</v>
      </c>
    </row>
    <row r="1715" spans="1:11" x14ac:dyDescent="0.3">
      <c r="A1715" s="28">
        <v>46303</v>
      </c>
      <c r="B1715" s="29" t="str">
        <f t="shared" si="189"/>
        <v>OUTUBRO</v>
      </c>
      <c r="C1715" s="12" t="s">
        <v>18</v>
      </c>
      <c r="D1715" s="12" t="s">
        <v>12</v>
      </c>
      <c r="E1715" s="30"/>
      <c r="F1715" s="30"/>
      <c r="G1715" s="29"/>
      <c r="H1715" s="31"/>
      <c r="I1715" s="29">
        <f>IFERROR(IF(T_PROD[[#This Row],[PREVISTO]]-T_PROD[[#This Row],[EFETIVO]]&lt; 0,0,T_PROD[[#This Row],[PREVISTO]]-T_PROD[[#This Row],[EFETIVO]] ),"")</f>
        <v>0</v>
      </c>
      <c r="J1715" s="32" t="str">
        <f>IFERROR(IF(T_PROD[[#This Row],[META]]&gt;0,(T_PROD[[#This Row],[META]]/T_PROD[[#This Row],[PREVISTO]]),""),"")</f>
        <v/>
      </c>
      <c r="K1715" s="32" t="str">
        <f>IFERROR(IF(T_PROD[[#This Row],[PRODUÇÃO]]&gt;0,(T_PROD[[#This Row],[PRODUÇÃO]]/T_PROD[[#This Row],[EFETIVO]]),""),"")</f>
        <v/>
      </c>
    </row>
    <row r="1716" spans="1:11" x14ac:dyDescent="0.3">
      <c r="A1716" s="28">
        <v>46303</v>
      </c>
      <c r="B1716" s="29" t="str">
        <f t="shared" si="189"/>
        <v>OUTUBRO</v>
      </c>
      <c r="C1716" s="12" t="s">
        <v>19</v>
      </c>
      <c r="D1716" s="12" t="s">
        <v>12</v>
      </c>
      <c r="E1716" s="30"/>
      <c r="F1716" s="30"/>
      <c r="G1716" s="29"/>
      <c r="H1716" s="31"/>
      <c r="I1716" s="29">
        <f>IFERROR(IF(T_PROD[[#This Row],[PREVISTO]]-T_PROD[[#This Row],[EFETIVO]]&lt; 0,0,T_PROD[[#This Row],[PREVISTO]]-T_PROD[[#This Row],[EFETIVO]] ),"")</f>
        <v>0</v>
      </c>
      <c r="J1716" s="32" t="str">
        <f>IFERROR(IF(T_PROD[[#This Row],[META]]&gt;0,(T_PROD[[#This Row],[META]]/T_PROD[[#This Row],[PREVISTO]]),""),"")</f>
        <v/>
      </c>
      <c r="K1716" s="32" t="str">
        <f>IFERROR(IF(T_PROD[[#This Row],[PRODUÇÃO]]&gt;0,(T_PROD[[#This Row],[PRODUÇÃO]]/T_PROD[[#This Row],[EFETIVO]]),""),"")</f>
        <v/>
      </c>
    </row>
    <row r="1717" spans="1:11" x14ac:dyDescent="0.3">
      <c r="A1717" s="28">
        <v>46303</v>
      </c>
      <c r="B1717" s="29" t="str">
        <f t="shared" si="189"/>
        <v>OUTUBRO</v>
      </c>
      <c r="C1717" s="12" t="s">
        <v>20</v>
      </c>
      <c r="D1717" s="12" t="s">
        <v>12</v>
      </c>
      <c r="E1717" s="30">
        <v>568</v>
      </c>
      <c r="F1717" s="30">
        <v>560</v>
      </c>
      <c r="G1717" s="29">
        <v>120</v>
      </c>
      <c r="H1717" s="31">
        <v>120</v>
      </c>
      <c r="I1717" s="29">
        <f>IFERROR(IF(T_PROD[[#This Row],[PREVISTO]]-T_PROD[[#This Row],[EFETIVO]]&lt; 0,0,T_PROD[[#This Row],[PREVISTO]]-T_PROD[[#This Row],[EFETIVO]] ),"")</f>
        <v>0</v>
      </c>
      <c r="J1717" s="32">
        <f>IFERROR(IF(T_PROD[[#This Row],[META]]&gt;0,(T_PROD[[#This Row],[META]]/T_PROD[[#This Row],[PREVISTO]]),""),"")</f>
        <v>4.7333333333333334</v>
      </c>
      <c r="K1717" s="32">
        <f>IFERROR(IF(T_PROD[[#This Row],[PRODUÇÃO]]&gt;0,(T_PROD[[#This Row],[PRODUÇÃO]]/T_PROD[[#This Row],[EFETIVO]]),""),"")</f>
        <v>4.666666666666667</v>
      </c>
    </row>
    <row r="1718" spans="1:11" x14ac:dyDescent="0.3">
      <c r="A1718" s="28">
        <v>46303</v>
      </c>
      <c r="B1718" s="29" t="str">
        <f t="shared" si="189"/>
        <v>OUTUBRO</v>
      </c>
      <c r="C1718" s="12" t="s">
        <v>11</v>
      </c>
      <c r="D1718" s="12" t="s">
        <v>12</v>
      </c>
      <c r="E1718" s="30">
        <v>840</v>
      </c>
      <c r="F1718" s="30">
        <v>851</v>
      </c>
      <c r="G1718" s="29">
        <v>42</v>
      </c>
      <c r="H1718" s="31">
        <v>42</v>
      </c>
      <c r="I1718" s="29">
        <f>IFERROR(IF(T_PROD[[#This Row],[PREVISTO]]-T_PROD[[#This Row],[EFETIVO]]&lt; 0,0,T_PROD[[#This Row],[PREVISTO]]-T_PROD[[#This Row],[EFETIVO]] ),"")</f>
        <v>0</v>
      </c>
      <c r="J1718" s="32">
        <f>IFERROR(IF(T_PROD[[#This Row],[META]]&gt;0,(T_PROD[[#This Row],[META]]/T_PROD[[#This Row],[PREVISTO]]),""),"")</f>
        <v>20</v>
      </c>
      <c r="K1718" s="32">
        <f>IFERROR(IF(T_PROD[[#This Row],[PRODUÇÃO]]&gt;0,(T_PROD[[#This Row],[PRODUÇÃO]]/T_PROD[[#This Row],[EFETIVO]]),""),"")</f>
        <v>20.261904761904763</v>
      </c>
    </row>
    <row r="1719" spans="1:11" x14ac:dyDescent="0.3">
      <c r="A1719" s="28">
        <v>46303</v>
      </c>
      <c r="B1719" s="29" t="str">
        <f t="shared" si="189"/>
        <v>OUTUBRO</v>
      </c>
      <c r="C1719" s="12" t="s">
        <v>32</v>
      </c>
      <c r="D1719" s="12" t="s">
        <v>12</v>
      </c>
      <c r="E1719" s="30">
        <v>160</v>
      </c>
      <c r="F1719" s="30">
        <v>164</v>
      </c>
      <c r="G1719" s="29">
        <v>14</v>
      </c>
      <c r="H1719" s="31">
        <v>13</v>
      </c>
      <c r="I1719" s="29">
        <f>IFERROR(IF(T_PROD[[#This Row],[PREVISTO]]-T_PROD[[#This Row],[EFETIVO]]&lt; 0,0,T_PROD[[#This Row],[PREVISTO]]-T_PROD[[#This Row],[EFETIVO]] ),"")</f>
        <v>1</v>
      </c>
      <c r="J1719" s="32">
        <f>IFERROR(IF(T_PROD[[#This Row],[META]]&gt;0,(T_PROD[[#This Row],[META]]/T_PROD[[#This Row],[PREVISTO]]),""),"")</f>
        <v>11.428571428571429</v>
      </c>
      <c r="K1719" s="32">
        <f>IFERROR(IF(T_PROD[[#This Row],[PRODUÇÃO]]&gt;0,(T_PROD[[#This Row],[PRODUÇÃO]]/T_PROD[[#This Row],[EFETIVO]]),""),"")</f>
        <v>12.615384615384615</v>
      </c>
    </row>
    <row r="1720" spans="1:11" x14ac:dyDescent="0.3">
      <c r="A1720" s="28">
        <v>46303</v>
      </c>
      <c r="B1720" s="29" t="str">
        <f t="shared" si="189"/>
        <v>OUTUBRO</v>
      </c>
      <c r="C1720" s="12" t="s">
        <v>14</v>
      </c>
      <c r="D1720" s="12" t="s">
        <v>12</v>
      </c>
      <c r="E1720" s="30">
        <v>1000</v>
      </c>
      <c r="F1720" s="30">
        <v>1015</v>
      </c>
      <c r="G1720" s="29">
        <v>105</v>
      </c>
      <c r="H1720" s="31">
        <v>105</v>
      </c>
      <c r="I1720" s="29">
        <f>IFERROR(IF(T_PROD[[#This Row],[PREVISTO]]-T_PROD[[#This Row],[EFETIVO]]&lt; 0,0,T_PROD[[#This Row],[PREVISTO]]-T_PROD[[#This Row],[EFETIVO]] ),"")</f>
        <v>0</v>
      </c>
      <c r="J1720" s="32">
        <f>IFERROR(IF(T_PROD[[#This Row],[META]]&gt;0,(T_PROD[[#This Row],[META]]/T_PROD[[#This Row],[PREVISTO]]),""),"")</f>
        <v>9.5238095238095237</v>
      </c>
      <c r="K1720" s="32">
        <f>IFERROR(IF(T_PROD[[#This Row],[PRODUÇÃO]]&gt;0,(T_PROD[[#This Row],[PRODUÇÃO]]/T_PROD[[#This Row],[EFETIVO]]),""),"")</f>
        <v>9.6666666666666661</v>
      </c>
    </row>
    <row r="1721" spans="1:11" x14ac:dyDescent="0.3">
      <c r="A1721" s="28">
        <v>46304</v>
      </c>
      <c r="B1721" s="29" t="str">
        <f>UPPER(TEXT(A1721,"MMMM"))</f>
        <v>OUTUBRO</v>
      </c>
      <c r="C1721" s="6" t="s">
        <v>15</v>
      </c>
      <c r="D1721" s="12" t="s">
        <v>12</v>
      </c>
      <c r="E1721" s="30">
        <v>45</v>
      </c>
      <c r="F1721" s="30">
        <v>72</v>
      </c>
      <c r="G1721" s="29">
        <v>3</v>
      </c>
      <c r="H1721" s="31">
        <v>3</v>
      </c>
      <c r="I1721" s="29">
        <f>IFERROR(IF(T_PROD[[#This Row],[PREVISTO]]-T_PROD[[#This Row],[EFETIVO]]&lt; 0,0,T_PROD[[#This Row],[PREVISTO]]-T_PROD[[#This Row],[EFETIVO]] ),"")</f>
        <v>0</v>
      </c>
      <c r="J1721" s="32">
        <f>IFERROR(IF(T_PROD[[#This Row],[META]]&gt;0,(T_PROD[[#This Row],[META]]/T_PROD[[#This Row],[PREVISTO]]),""),"")</f>
        <v>15</v>
      </c>
      <c r="K1721" s="32">
        <f>IFERROR(IF(T_PROD[[#This Row],[PRODUÇÃO]]&gt;0,(T_PROD[[#This Row],[PRODUÇÃO]]/T_PROD[[#This Row],[EFETIVO]]),""),"")</f>
        <v>24</v>
      </c>
    </row>
    <row r="1722" spans="1:11" x14ac:dyDescent="0.3">
      <c r="A1722" s="28">
        <v>46304</v>
      </c>
      <c r="B1722" s="29" t="str">
        <f t="shared" ref="B1722:B1729" si="190">UPPER(TEXT(A1722,"MMMM"))</f>
        <v>OUTUBRO</v>
      </c>
      <c r="C1722" s="12" t="s">
        <v>16</v>
      </c>
      <c r="D1722" s="12" t="s">
        <v>12</v>
      </c>
      <c r="E1722" s="30"/>
      <c r="F1722" s="30"/>
      <c r="G1722" s="29"/>
      <c r="H1722" s="31"/>
      <c r="I1722" s="29">
        <f>IFERROR(IF(T_PROD[[#This Row],[PREVISTO]]-T_PROD[[#This Row],[EFETIVO]]&lt; 0,0,T_PROD[[#This Row],[PREVISTO]]-T_PROD[[#This Row],[EFETIVO]] ),"")</f>
        <v>0</v>
      </c>
      <c r="J1722" s="32" t="str">
        <f>IFERROR(IF(T_PROD[[#This Row],[META]]&gt;0,(T_PROD[[#This Row],[META]]/T_PROD[[#This Row],[PREVISTO]]),""),"")</f>
        <v/>
      </c>
      <c r="K1722" s="32" t="str">
        <f>IFERROR(IF(T_PROD[[#This Row],[PRODUÇÃO]]&gt;0,(T_PROD[[#This Row],[PRODUÇÃO]]/T_PROD[[#This Row],[EFETIVO]]),""),"")</f>
        <v/>
      </c>
    </row>
    <row r="1723" spans="1:11" x14ac:dyDescent="0.3">
      <c r="A1723" s="28">
        <v>46304</v>
      </c>
      <c r="B1723" s="29" t="str">
        <f t="shared" si="190"/>
        <v>OUTUBRO</v>
      </c>
      <c r="C1723" s="12" t="s">
        <v>17</v>
      </c>
      <c r="D1723" s="12" t="s">
        <v>12</v>
      </c>
      <c r="E1723" s="30">
        <v>330</v>
      </c>
      <c r="F1723" s="30">
        <v>273</v>
      </c>
      <c r="G1723" s="29">
        <v>16</v>
      </c>
      <c r="H1723" s="31">
        <v>16</v>
      </c>
      <c r="I1723" s="29">
        <f>IFERROR(IF(T_PROD[[#This Row],[PREVISTO]]-T_PROD[[#This Row],[EFETIVO]]&lt; 0,0,T_PROD[[#This Row],[PREVISTO]]-T_PROD[[#This Row],[EFETIVO]] ),"")</f>
        <v>0</v>
      </c>
      <c r="J1723" s="32">
        <f>IFERROR(IF(T_PROD[[#This Row],[META]]&gt;0,(T_PROD[[#This Row],[META]]/T_PROD[[#This Row],[PREVISTO]]),""),"")</f>
        <v>20.625</v>
      </c>
      <c r="K1723" s="32">
        <f>IFERROR(IF(T_PROD[[#This Row],[PRODUÇÃO]]&gt;0,(T_PROD[[#This Row],[PRODUÇÃO]]/T_PROD[[#This Row],[EFETIVO]]),""),"")</f>
        <v>17.0625</v>
      </c>
    </row>
    <row r="1724" spans="1:11" x14ac:dyDescent="0.3">
      <c r="A1724" s="28">
        <v>46304</v>
      </c>
      <c r="B1724" s="29" t="str">
        <f t="shared" si="190"/>
        <v>OUTUBRO</v>
      </c>
      <c r="C1724" s="12" t="s">
        <v>18</v>
      </c>
      <c r="D1724" s="12" t="s">
        <v>12</v>
      </c>
      <c r="E1724" s="30"/>
      <c r="F1724" s="30"/>
      <c r="G1724" s="29"/>
      <c r="H1724" s="31"/>
      <c r="I1724" s="29">
        <f>IFERROR(IF(T_PROD[[#This Row],[PREVISTO]]-T_PROD[[#This Row],[EFETIVO]]&lt; 0,0,T_PROD[[#This Row],[PREVISTO]]-T_PROD[[#This Row],[EFETIVO]] ),"")</f>
        <v>0</v>
      </c>
      <c r="J1724" s="32" t="str">
        <f>IFERROR(IF(T_PROD[[#This Row],[META]]&gt;0,(T_PROD[[#This Row],[META]]/T_PROD[[#This Row],[PREVISTO]]),""),"")</f>
        <v/>
      </c>
      <c r="K1724" s="32" t="str">
        <f>IFERROR(IF(T_PROD[[#This Row],[PRODUÇÃO]]&gt;0,(T_PROD[[#This Row],[PRODUÇÃO]]/T_PROD[[#This Row],[EFETIVO]]),""),"")</f>
        <v/>
      </c>
    </row>
    <row r="1725" spans="1:11" x14ac:dyDescent="0.3">
      <c r="A1725" s="28">
        <v>46304</v>
      </c>
      <c r="B1725" s="29" t="str">
        <f t="shared" si="190"/>
        <v>OUTUBRO</v>
      </c>
      <c r="C1725" s="12" t="s">
        <v>19</v>
      </c>
      <c r="D1725" s="12" t="s">
        <v>12</v>
      </c>
      <c r="E1725" s="30"/>
      <c r="F1725" s="30"/>
      <c r="G1725" s="29"/>
      <c r="H1725" s="31"/>
      <c r="I1725" s="29">
        <f>IFERROR(IF(T_PROD[[#This Row],[PREVISTO]]-T_PROD[[#This Row],[EFETIVO]]&lt; 0,0,T_PROD[[#This Row],[PREVISTO]]-T_PROD[[#This Row],[EFETIVO]] ),"")</f>
        <v>0</v>
      </c>
      <c r="J1725" s="32" t="str">
        <f>IFERROR(IF(T_PROD[[#This Row],[META]]&gt;0,(T_PROD[[#This Row],[META]]/T_PROD[[#This Row],[PREVISTO]]),""),"")</f>
        <v/>
      </c>
      <c r="K1725" s="32" t="str">
        <f>IFERROR(IF(T_PROD[[#This Row],[PRODUÇÃO]]&gt;0,(T_PROD[[#This Row],[PRODUÇÃO]]/T_PROD[[#This Row],[EFETIVO]]),""),"")</f>
        <v/>
      </c>
    </row>
    <row r="1726" spans="1:11" x14ac:dyDescent="0.3">
      <c r="A1726" s="28">
        <v>46304</v>
      </c>
      <c r="B1726" s="29" t="str">
        <f t="shared" si="190"/>
        <v>OUTUBRO</v>
      </c>
      <c r="C1726" s="12" t="s">
        <v>20</v>
      </c>
      <c r="D1726" s="12" t="s">
        <v>12</v>
      </c>
      <c r="E1726" s="30">
        <v>375</v>
      </c>
      <c r="F1726" s="30">
        <v>345</v>
      </c>
      <c r="G1726" s="29">
        <v>120</v>
      </c>
      <c r="H1726" s="31">
        <v>120</v>
      </c>
      <c r="I1726" s="29">
        <f>IFERROR(IF(T_PROD[[#This Row],[PREVISTO]]-T_PROD[[#This Row],[EFETIVO]]&lt; 0,0,T_PROD[[#This Row],[PREVISTO]]-T_PROD[[#This Row],[EFETIVO]] ),"")</f>
        <v>0</v>
      </c>
      <c r="J1726" s="32">
        <f>IFERROR(IF(T_PROD[[#This Row],[META]]&gt;0,(T_PROD[[#This Row],[META]]/T_PROD[[#This Row],[PREVISTO]]),""),"")</f>
        <v>3.125</v>
      </c>
      <c r="K1726" s="32">
        <f>IFERROR(IF(T_PROD[[#This Row],[PRODUÇÃO]]&gt;0,(T_PROD[[#This Row],[PRODUÇÃO]]/T_PROD[[#This Row],[EFETIVO]]),""),"")</f>
        <v>2.875</v>
      </c>
    </row>
    <row r="1727" spans="1:11" x14ac:dyDescent="0.3">
      <c r="A1727" s="28">
        <v>46304</v>
      </c>
      <c r="B1727" s="29" t="str">
        <f t="shared" si="190"/>
        <v>OUTUBRO</v>
      </c>
      <c r="C1727" s="12" t="s">
        <v>11</v>
      </c>
      <c r="D1727" s="12" t="s">
        <v>12</v>
      </c>
      <c r="E1727" s="30">
        <v>660</v>
      </c>
      <c r="F1727" s="30">
        <v>670</v>
      </c>
      <c r="G1727" s="29">
        <v>33</v>
      </c>
      <c r="H1727" s="31">
        <v>33</v>
      </c>
      <c r="I1727" s="29">
        <f>IFERROR(IF(T_PROD[[#This Row],[PREVISTO]]-T_PROD[[#This Row],[EFETIVO]]&lt; 0,0,T_PROD[[#This Row],[PREVISTO]]-T_PROD[[#This Row],[EFETIVO]] ),"")</f>
        <v>0</v>
      </c>
      <c r="J1727" s="32">
        <f>IFERROR(IF(T_PROD[[#This Row],[META]]&gt;0,(T_PROD[[#This Row],[META]]/T_PROD[[#This Row],[PREVISTO]]),""),"")</f>
        <v>20</v>
      </c>
      <c r="K1727" s="32">
        <f>IFERROR(IF(T_PROD[[#This Row],[PRODUÇÃO]]&gt;0,(T_PROD[[#This Row],[PRODUÇÃO]]/T_PROD[[#This Row],[EFETIVO]]),""),"")</f>
        <v>20.303030303030305</v>
      </c>
    </row>
    <row r="1728" spans="1:11" x14ac:dyDescent="0.3">
      <c r="A1728" s="28">
        <v>46304</v>
      </c>
      <c r="B1728" s="29" t="str">
        <f t="shared" si="190"/>
        <v>OUTUBRO</v>
      </c>
      <c r="C1728" s="12" t="s">
        <v>32</v>
      </c>
      <c r="D1728" s="12" t="s">
        <v>12</v>
      </c>
      <c r="E1728" s="30">
        <v>60</v>
      </c>
      <c r="F1728" s="30">
        <v>50</v>
      </c>
      <c r="G1728" s="29">
        <v>6</v>
      </c>
      <c r="H1728" s="31">
        <v>6</v>
      </c>
      <c r="I1728" s="29">
        <f>IFERROR(IF(T_PROD[[#This Row],[PREVISTO]]-T_PROD[[#This Row],[EFETIVO]]&lt; 0,0,T_PROD[[#This Row],[PREVISTO]]-T_PROD[[#This Row],[EFETIVO]] ),"")</f>
        <v>0</v>
      </c>
      <c r="J1728" s="32">
        <f>IFERROR(IF(T_PROD[[#This Row],[META]]&gt;0,(T_PROD[[#This Row],[META]]/T_PROD[[#This Row],[PREVISTO]]),""),"")</f>
        <v>10</v>
      </c>
      <c r="K1728" s="32">
        <f>IFERROR(IF(T_PROD[[#This Row],[PRODUÇÃO]]&gt;0,(T_PROD[[#This Row],[PRODUÇÃO]]/T_PROD[[#This Row],[EFETIVO]]),""),"")</f>
        <v>8.3333333333333339</v>
      </c>
    </row>
    <row r="1729" spans="1:11" x14ac:dyDescent="0.3">
      <c r="A1729" s="28">
        <v>46304</v>
      </c>
      <c r="B1729" s="29" t="str">
        <f t="shared" si="190"/>
        <v>OUTUBRO</v>
      </c>
      <c r="C1729" s="12" t="s">
        <v>14</v>
      </c>
      <c r="D1729" s="12" t="s">
        <v>12</v>
      </c>
      <c r="E1729" s="30">
        <v>720</v>
      </c>
      <c r="F1729" s="30">
        <v>720</v>
      </c>
      <c r="G1729" s="29">
        <v>80</v>
      </c>
      <c r="H1729" s="31">
        <v>78</v>
      </c>
      <c r="I1729" s="29">
        <f>IFERROR(IF(T_PROD[[#This Row],[PREVISTO]]-T_PROD[[#This Row],[EFETIVO]]&lt; 0,0,T_PROD[[#This Row],[PREVISTO]]-T_PROD[[#This Row],[EFETIVO]] ),"")</f>
        <v>2</v>
      </c>
      <c r="J1729" s="32">
        <f>IFERROR(IF(T_PROD[[#This Row],[META]]&gt;0,(T_PROD[[#This Row],[META]]/T_PROD[[#This Row],[PREVISTO]]),""),"")</f>
        <v>9</v>
      </c>
      <c r="K1729" s="32">
        <f>IFERROR(IF(T_PROD[[#This Row],[PRODUÇÃO]]&gt;0,(T_PROD[[#This Row],[PRODUÇÃO]]/T_PROD[[#This Row],[EFETIVO]]),""),"")</f>
        <v>9.2307692307692299</v>
      </c>
    </row>
    <row r="1730" spans="1:11" x14ac:dyDescent="0.3">
      <c r="A1730" s="28">
        <v>46308</v>
      </c>
      <c r="B1730" s="29" t="str">
        <f>UPPER(TEXT(A1730,"MMMM"))</f>
        <v>OUTUBRO</v>
      </c>
      <c r="C1730" s="6" t="s">
        <v>15</v>
      </c>
      <c r="D1730" s="12" t="s">
        <v>12</v>
      </c>
      <c r="E1730" s="30">
        <v>75</v>
      </c>
      <c r="F1730" s="30">
        <v>51</v>
      </c>
      <c r="G1730" s="29">
        <v>5</v>
      </c>
      <c r="H1730" s="31">
        <v>5</v>
      </c>
      <c r="I1730" s="29">
        <f>IFERROR(IF(T_PROD[[#This Row],[PREVISTO]]-T_PROD[[#This Row],[EFETIVO]]&lt; 0,0,T_PROD[[#This Row],[PREVISTO]]-T_PROD[[#This Row],[EFETIVO]] ),"")</f>
        <v>0</v>
      </c>
      <c r="J1730" s="32">
        <f>IFERROR(IF(T_PROD[[#This Row],[META]]&gt;0,(T_PROD[[#This Row],[META]]/T_PROD[[#This Row],[PREVISTO]]),""),"")</f>
        <v>15</v>
      </c>
      <c r="K1730" s="32">
        <f>IFERROR(IF(T_PROD[[#This Row],[PRODUÇÃO]]&gt;0,(T_PROD[[#This Row],[PRODUÇÃO]]/T_PROD[[#This Row],[EFETIVO]]),""),"")</f>
        <v>10.199999999999999</v>
      </c>
    </row>
    <row r="1731" spans="1:11" x14ac:dyDescent="0.3">
      <c r="A1731" s="28">
        <v>46308</v>
      </c>
      <c r="B1731" s="29" t="str">
        <f t="shared" ref="B1731:B1738" si="191">UPPER(TEXT(A1731,"MMMM"))</f>
        <v>OUTUBRO</v>
      </c>
      <c r="C1731" s="12" t="s">
        <v>16</v>
      </c>
      <c r="D1731" s="12" t="s">
        <v>12</v>
      </c>
      <c r="E1731" s="30">
        <v>238</v>
      </c>
      <c r="F1731" s="30">
        <v>230</v>
      </c>
      <c r="G1731" s="29">
        <v>7</v>
      </c>
      <c r="H1731" s="31">
        <v>7</v>
      </c>
      <c r="I1731" s="29">
        <f>IFERROR(IF(T_PROD[[#This Row],[PREVISTO]]-T_PROD[[#This Row],[EFETIVO]]&lt; 0,0,T_PROD[[#This Row],[PREVISTO]]-T_PROD[[#This Row],[EFETIVO]] ),"")</f>
        <v>0</v>
      </c>
      <c r="J1731" s="32">
        <f>IFERROR(IF(T_PROD[[#This Row],[META]]&gt;0,(T_PROD[[#This Row],[META]]/T_PROD[[#This Row],[PREVISTO]]),""),"")</f>
        <v>34</v>
      </c>
      <c r="K1731" s="32">
        <f>IFERROR(IF(T_PROD[[#This Row],[PRODUÇÃO]]&gt;0,(T_PROD[[#This Row],[PRODUÇÃO]]/T_PROD[[#This Row],[EFETIVO]]),""),"")</f>
        <v>32.857142857142854</v>
      </c>
    </row>
    <row r="1732" spans="1:11" x14ac:dyDescent="0.3">
      <c r="A1732" s="28">
        <v>46308</v>
      </c>
      <c r="B1732" s="29" t="str">
        <f t="shared" si="191"/>
        <v>OUTUBRO</v>
      </c>
      <c r="C1732" s="12" t="s">
        <v>17</v>
      </c>
      <c r="D1732" s="12" t="s">
        <v>12</v>
      </c>
      <c r="E1732" s="30">
        <v>352</v>
      </c>
      <c r="F1732" s="30">
        <v>272</v>
      </c>
      <c r="G1732" s="29">
        <v>16</v>
      </c>
      <c r="H1732" s="31">
        <v>16</v>
      </c>
      <c r="I1732" s="29">
        <f>IFERROR(IF(T_PROD[[#This Row],[PREVISTO]]-T_PROD[[#This Row],[EFETIVO]]&lt; 0,0,T_PROD[[#This Row],[PREVISTO]]-T_PROD[[#This Row],[EFETIVO]] ),"")</f>
        <v>0</v>
      </c>
      <c r="J1732" s="32">
        <f>IFERROR(IF(T_PROD[[#This Row],[META]]&gt;0,(T_PROD[[#This Row],[META]]/T_PROD[[#This Row],[PREVISTO]]),""),"")</f>
        <v>22</v>
      </c>
      <c r="K1732" s="32">
        <f>IFERROR(IF(T_PROD[[#This Row],[PRODUÇÃO]]&gt;0,(T_PROD[[#This Row],[PRODUÇÃO]]/T_PROD[[#This Row],[EFETIVO]]),""),"")</f>
        <v>17</v>
      </c>
    </row>
    <row r="1733" spans="1:11" x14ac:dyDescent="0.3">
      <c r="A1733" s="28">
        <v>46308</v>
      </c>
      <c r="B1733" s="29" t="str">
        <f t="shared" si="191"/>
        <v>OUTUBRO</v>
      </c>
      <c r="C1733" s="12" t="s">
        <v>18</v>
      </c>
      <c r="D1733" s="12" t="s">
        <v>12</v>
      </c>
      <c r="E1733" s="30"/>
      <c r="F1733" s="30"/>
      <c r="G1733" s="29"/>
      <c r="H1733" s="31"/>
      <c r="I1733" s="29">
        <f>IFERROR(IF(T_PROD[[#This Row],[PREVISTO]]-T_PROD[[#This Row],[EFETIVO]]&lt; 0,0,T_PROD[[#This Row],[PREVISTO]]-T_PROD[[#This Row],[EFETIVO]] ),"")</f>
        <v>0</v>
      </c>
      <c r="J1733" s="32" t="str">
        <f>IFERROR(IF(T_PROD[[#This Row],[META]]&gt;0,(T_PROD[[#This Row],[META]]/T_PROD[[#This Row],[PREVISTO]]),""),"")</f>
        <v/>
      </c>
      <c r="K1733" s="32" t="str">
        <f>IFERROR(IF(T_PROD[[#This Row],[PRODUÇÃO]]&gt;0,(T_PROD[[#This Row],[PRODUÇÃO]]/T_PROD[[#This Row],[EFETIVO]]),""),"")</f>
        <v/>
      </c>
    </row>
    <row r="1734" spans="1:11" x14ac:dyDescent="0.3">
      <c r="A1734" s="28">
        <v>46308</v>
      </c>
      <c r="B1734" s="29" t="str">
        <f t="shared" si="191"/>
        <v>OUTUBRO</v>
      </c>
      <c r="C1734" s="12" t="s">
        <v>19</v>
      </c>
      <c r="D1734" s="12" t="s">
        <v>12</v>
      </c>
      <c r="E1734" s="30"/>
      <c r="F1734" s="30"/>
      <c r="G1734" s="29"/>
      <c r="H1734" s="31"/>
      <c r="I1734" s="29">
        <f>IFERROR(IF(T_PROD[[#This Row],[PREVISTO]]-T_PROD[[#This Row],[EFETIVO]]&lt; 0,0,T_PROD[[#This Row],[PREVISTO]]-T_PROD[[#This Row],[EFETIVO]] ),"")</f>
        <v>0</v>
      </c>
      <c r="J1734" s="32" t="str">
        <f>IFERROR(IF(T_PROD[[#This Row],[META]]&gt;0,(T_PROD[[#This Row],[META]]/T_PROD[[#This Row],[PREVISTO]]),""),"")</f>
        <v/>
      </c>
      <c r="K1734" s="32" t="str">
        <f>IFERROR(IF(T_PROD[[#This Row],[PRODUÇÃO]]&gt;0,(T_PROD[[#This Row],[PRODUÇÃO]]/T_PROD[[#This Row],[EFETIVO]]),""),"")</f>
        <v/>
      </c>
    </row>
    <row r="1735" spans="1:11" x14ac:dyDescent="0.3">
      <c r="A1735" s="28">
        <v>46308</v>
      </c>
      <c r="B1735" s="29" t="str">
        <f t="shared" si="191"/>
        <v>OUTUBRO</v>
      </c>
      <c r="C1735" s="12" t="s">
        <v>20</v>
      </c>
      <c r="D1735" s="12" t="s">
        <v>12</v>
      </c>
      <c r="E1735" s="30">
        <v>665</v>
      </c>
      <c r="F1735" s="30">
        <v>553</v>
      </c>
      <c r="G1735" s="29">
        <v>120</v>
      </c>
      <c r="H1735" s="31">
        <v>120</v>
      </c>
      <c r="I1735" s="29">
        <f>IFERROR(IF(T_PROD[[#This Row],[PREVISTO]]-T_PROD[[#This Row],[EFETIVO]]&lt; 0,0,T_PROD[[#This Row],[PREVISTO]]-T_PROD[[#This Row],[EFETIVO]] ),"")</f>
        <v>0</v>
      </c>
      <c r="J1735" s="32">
        <f>IFERROR(IF(T_PROD[[#This Row],[META]]&gt;0,(T_PROD[[#This Row],[META]]/T_PROD[[#This Row],[PREVISTO]]),""),"")</f>
        <v>5.541666666666667</v>
      </c>
      <c r="K1735" s="32">
        <f>IFERROR(IF(T_PROD[[#This Row],[PRODUÇÃO]]&gt;0,(T_PROD[[#This Row],[PRODUÇÃO]]/T_PROD[[#This Row],[EFETIVO]]),""),"")</f>
        <v>4.6083333333333334</v>
      </c>
    </row>
    <row r="1736" spans="1:11" x14ac:dyDescent="0.3">
      <c r="A1736" s="28">
        <v>46308</v>
      </c>
      <c r="B1736" s="29" t="str">
        <f t="shared" si="191"/>
        <v>OUTUBRO</v>
      </c>
      <c r="C1736" s="12" t="s">
        <v>11</v>
      </c>
      <c r="D1736" s="12" t="s">
        <v>12</v>
      </c>
      <c r="E1736" s="30">
        <v>760</v>
      </c>
      <c r="F1736" s="30">
        <v>630</v>
      </c>
      <c r="G1736" s="29">
        <v>38</v>
      </c>
      <c r="H1736" s="31">
        <v>38</v>
      </c>
      <c r="I1736" s="29">
        <f>IFERROR(IF(T_PROD[[#This Row],[PREVISTO]]-T_PROD[[#This Row],[EFETIVO]]&lt; 0,0,T_PROD[[#This Row],[PREVISTO]]-T_PROD[[#This Row],[EFETIVO]] ),"")</f>
        <v>0</v>
      </c>
      <c r="J1736" s="32">
        <f>IFERROR(IF(T_PROD[[#This Row],[META]]&gt;0,(T_PROD[[#This Row],[META]]/T_PROD[[#This Row],[PREVISTO]]),""),"")</f>
        <v>20</v>
      </c>
      <c r="K1736" s="32">
        <f>IFERROR(IF(T_PROD[[#This Row],[PRODUÇÃO]]&gt;0,(T_PROD[[#This Row],[PRODUÇÃO]]/T_PROD[[#This Row],[EFETIVO]]),""),"")</f>
        <v>16.578947368421051</v>
      </c>
    </row>
    <row r="1737" spans="1:11" x14ac:dyDescent="0.3">
      <c r="A1737" s="28">
        <v>46308</v>
      </c>
      <c r="B1737" s="29" t="str">
        <f t="shared" si="191"/>
        <v>OUTUBRO</v>
      </c>
      <c r="C1737" s="12" t="s">
        <v>32</v>
      </c>
      <c r="D1737" s="12" t="s">
        <v>12</v>
      </c>
      <c r="E1737" s="30">
        <v>120</v>
      </c>
      <c r="F1737" s="30">
        <v>134</v>
      </c>
      <c r="G1737" s="29">
        <v>10</v>
      </c>
      <c r="H1737" s="31">
        <v>10</v>
      </c>
      <c r="I1737" s="29">
        <f>IFERROR(IF(T_PROD[[#This Row],[PREVISTO]]-T_PROD[[#This Row],[EFETIVO]]&lt; 0,0,T_PROD[[#This Row],[PREVISTO]]-T_PROD[[#This Row],[EFETIVO]] ),"")</f>
        <v>0</v>
      </c>
      <c r="J1737" s="32">
        <f>IFERROR(IF(T_PROD[[#This Row],[META]]&gt;0,(T_PROD[[#This Row],[META]]/T_PROD[[#This Row],[PREVISTO]]),""),"")</f>
        <v>12</v>
      </c>
      <c r="K1737" s="32">
        <f>IFERROR(IF(T_PROD[[#This Row],[PRODUÇÃO]]&gt;0,(T_PROD[[#This Row],[PRODUÇÃO]]/T_PROD[[#This Row],[EFETIVO]]),""),"")</f>
        <v>13.4</v>
      </c>
    </row>
    <row r="1738" spans="1:11" x14ac:dyDescent="0.3">
      <c r="A1738" s="28">
        <v>46308</v>
      </c>
      <c r="B1738" s="29" t="str">
        <f t="shared" si="191"/>
        <v>OUTUBRO</v>
      </c>
      <c r="C1738" s="12" t="s">
        <v>14</v>
      </c>
      <c r="D1738" s="12" t="s">
        <v>12</v>
      </c>
      <c r="E1738" s="30">
        <v>880</v>
      </c>
      <c r="F1738" s="30">
        <v>764</v>
      </c>
      <c r="G1738" s="29">
        <v>95</v>
      </c>
      <c r="H1738" s="31">
        <v>90</v>
      </c>
      <c r="I1738" s="29">
        <f>IFERROR(IF(T_PROD[[#This Row],[PREVISTO]]-T_PROD[[#This Row],[EFETIVO]]&lt; 0,0,T_PROD[[#This Row],[PREVISTO]]-T_PROD[[#This Row],[EFETIVO]] ),"")</f>
        <v>5</v>
      </c>
      <c r="J1738" s="32">
        <f>IFERROR(IF(T_PROD[[#This Row],[META]]&gt;0,(T_PROD[[#This Row],[META]]/T_PROD[[#This Row],[PREVISTO]]),""),"")</f>
        <v>9.2631578947368425</v>
      </c>
      <c r="K1738" s="32">
        <f>IFERROR(IF(T_PROD[[#This Row],[PRODUÇÃO]]&gt;0,(T_PROD[[#This Row],[PRODUÇÃO]]/T_PROD[[#This Row],[EFETIVO]]),""),"")</f>
        <v>8.4888888888888889</v>
      </c>
    </row>
    <row r="1739" spans="1:11" x14ac:dyDescent="0.3">
      <c r="A1739" s="28">
        <v>46309</v>
      </c>
      <c r="B1739" s="29" t="str">
        <f>UPPER(TEXT(A1739,"MMMM"))</f>
        <v>OUTUBRO</v>
      </c>
      <c r="C1739" s="6" t="s">
        <v>15</v>
      </c>
      <c r="D1739" s="12" t="s">
        <v>12</v>
      </c>
      <c r="E1739" s="30">
        <v>60</v>
      </c>
      <c r="F1739" s="30">
        <v>30</v>
      </c>
      <c r="G1739" s="29">
        <v>4</v>
      </c>
      <c r="H1739" s="31">
        <v>4</v>
      </c>
      <c r="I1739" s="29">
        <f>IFERROR(IF(T_PROD[[#This Row],[PREVISTO]]-T_PROD[[#This Row],[EFETIVO]]&lt; 0,0,T_PROD[[#This Row],[PREVISTO]]-T_PROD[[#This Row],[EFETIVO]] ),"")</f>
        <v>0</v>
      </c>
      <c r="J1739" s="32">
        <f>IFERROR(IF(T_PROD[[#This Row],[META]]&gt;0,(T_PROD[[#This Row],[META]]/T_PROD[[#This Row],[PREVISTO]]),""),"")</f>
        <v>15</v>
      </c>
      <c r="K1739" s="32">
        <f>IFERROR(IF(T_PROD[[#This Row],[PRODUÇÃO]]&gt;0,(T_PROD[[#This Row],[PRODUÇÃO]]/T_PROD[[#This Row],[EFETIVO]]),""),"")</f>
        <v>7.5</v>
      </c>
    </row>
    <row r="1740" spans="1:11" x14ac:dyDescent="0.3">
      <c r="A1740" s="28">
        <v>46309</v>
      </c>
      <c r="B1740" s="29" t="str">
        <f t="shared" ref="B1740:B1747" si="192">UPPER(TEXT(A1740,"MMMM"))</f>
        <v>OUTUBRO</v>
      </c>
      <c r="C1740" s="12" t="s">
        <v>16</v>
      </c>
      <c r="D1740" s="12" t="s">
        <v>12</v>
      </c>
      <c r="E1740" s="30">
        <v>238</v>
      </c>
      <c r="F1740" s="30">
        <v>205</v>
      </c>
      <c r="G1740" s="29">
        <v>7</v>
      </c>
      <c r="H1740" s="31">
        <v>7</v>
      </c>
      <c r="I1740" s="29">
        <f>IFERROR(IF(T_PROD[[#This Row],[PREVISTO]]-T_PROD[[#This Row],[EFETIVO]]&lt; 0,0,T_PROD[[#This Row],[PREVISTO]]-T_PROD[[#This Row],[EFETIVO]] ),"")</f>
        <v>0</v>
      </c>
      <c r="J1740" s="32">
        <f>IFERROR(IF(T_PROD[[#This Row],[META]]&gt;0,(T_PROD[[#This Row],[META]]/T_PROD[[#This Row],[PREVISTO]]),""),"")</f>
        <v>34</v>
      </c>
      <c r="K1740" s="32">
        <f>IFERROR(IF(T_PROD[[#This Row],[PRODUÇÃO]]&gt;0,(T_PROD[[#This Row],[PRODUÇÃO]]/T_PROD[[#This Row],[EFETIVO]]),""),"")</f>
        <v>29.285714285714285</v>
      </c>
    </row>
    <row r="1741" spans="1:11" x14ac:dyDescent="0.3">
      <c r="A1741" s="28">
        <v>46309</v>
      </c>
      <c r="B1741" s="29" t="str">
        <f t="shared" si="192"/>
        <v>OUTUBRO</v>
      </c>
      <c r="C1741" s="12" t="s">
        <v>17</v>
      </c>
      <c r="D1741" s="12" t="s">
        <v>12</v>
      </c>
      <c r="E1741" s="30">
        <v>352</v>
      </c>
      <c r="F1741" s="30">
        <v>333</v>
      </c>
      <c r="G1741" s="29">
        <v>16</v>
      </c>
      <c r="H1741" s="31">
        <v>16</v>
      </c>
      <c r="I1741" s="29">
        <f>IFERROR(IF(T_PROD[[#This Row],[PREVISTO]]-T_PROD[[#This Row],[EFETIVO]]&lt; 0,0,T_PROD[[#This Row],[PREVISTO]]-T_PROD[[#This Row],[EFETIVO]] ),"")</f>
        <v>0</v>
      </c>
      <c r="J1741" s="32">
        <f>IFERROR(IF(T_PROD[[#This Row],[META]]&gt;0,(T_PROD[[#This Row],[META]]/T_PROD[[#This Row],[PREVISTO]]),""),"")</f>
        <v>22</v>
      </c>
      <c r="K1741" s="32">
        <f>IFERROR(IF(T_PROD[[#This Row],[PRODUÇÃO]]&gt;0,(T_PROD[[#This Row],[PRODUÇÃO]]/T_PROD[[#This Row],[EFETIVO]]),""),"")</f>
        <v>20.8125</v>
      </c>
    </row>
    <row r="1742" spans="1:11" x14ac:dyDescent="0.3">
      <c r="A1742" s="28">
        <v>46309</v>
      </c>
      <c r="B1742" s="29" t="str">
        <f t="shared" si="192"/>
        <v>OUTUBRO</v>
      </c>
      <c r="C1742" s="12" t="s">
        <v>18</v>
      </c>
      <c r="D1742" s="12" t="s">
        <v>12</v>
      </c>
      <c r="E1742" s="30"/>
      <c r="F1742" s="30"/>
      <c r="G1742" s="29"/>
      <c r="H1742" s="31"/>
      <c r="I1742" s="29">
        <f>IFERROR(IF(T_PROD[[#This Row],[PREVISTO]]-T_PROD[[#This Row],[EFETIVO]]&lt; 0,0,T_PROD[[#This Row],[PREVISTO]]-T_PROD[[#This Row],[EFETIVO]] ),"")</f>
        <v>0</v>
      </c>
      <c r="J1742" s="32" t="str">
        <f>IFERROR(IF(T_PROD[[#This Row],[META]]&gt;0,(T_PROD[[#This Row],[META]]/T_PROD[[#This Row],[PREVISTO]]),""),"")</f>
        <v/>
      </c>
      <c r="K1742" s="32" t="str">
        <f>IFERROR(IF(T_PROD[[#This Row],[PRODUÇÃO]]&gt;0,(T_PROD[[#This Row],[PRODUÇÃO]]/T_PROD[[#This Row],[EFETIVO]]),""),"")</f>
        <v/>
      </c>
    </row>
    <row r="1743" spans="1:11" x14ac:dyDescent="0.3">
      <c r="A1743" s="28">
        <v>46309</v>
      </c>
      <c r="B1743" s="29" t="str">
        <f t="shared" si="192"/>
        <v>OUTUBRO</v>
      </c>
      <c r="C1743" s="12" t="s">
        <v>19</v>
      </c>
      <c r="D1743" s="12" t="s">
        <v>12</v>
      </c>
      <c r="E1743" s="30"/>
      <c r="F1743" s="30"/>
      <c r="G1743" s="29"/>
      <c r="H1743" s="31"/>
      <c r="I1743" s="29">
        <f>IFERROR(IF(T_PROD[[#This Row],[PREVISTO]]-T_PROD[[#This Row],[EFETIVO]]&lt; 0,0,T_PROD[[#This Row],[PREVISTO]]-T_PROD[[#This Row],[EFETIVO]] ),"")</f>
        <v>0</v>
      </c>
      <c r="J1743" s="32" t="str">
        <f>IFERROR(IF(T_PROD[[#This Row],[META]]&gt;0,(T_PROD[[#This Row],[META]]/T_PROD[[#This Row],[PREVISTO]]),""),"")</f>
        <v/>
      </c>
      <c r="K1743" s="32" t="str">
        <f>IFERROR(IF(T_PROD[[#This Row],[PRODUÇÃO]]&gt;0,(T_PROD[[#This Row],[PRODUÇÃO]]/T_PROD[[#This Row],[EFETIVO]]),""),"")</f>
        <v/>
      </c>
    </row>
    <row r="1744" spans="1:11" x14ac:dyDescent="0.3">
      <c r="A1744" s="28">
        <v>46309</v>
      </c>
      <c r="B1744" s="29" t="str">
        <f t="shared" si="192"/>
        <v>OUTUBRO</v>
      </c>
      <c r="C1744" s="12" t="s">
        <v>20</v>
      </c>
      <c r="D1744" s="12" t="s">
        <v>12</v>
      </c>
      <c r="E1744" s="30">
        <v>650</v>
      </c>
      <c r="F1744" s="30">
        <v>568</v>
      </c>
      <c r="G1744" s="29">
        <v>120</v>
      </c>
      <c r="H1744" s="31">
        <v>120</v>
      </c>
      <c r="I1744" s="29">
        <f>IFERROR(IF(T_PROD[[#This Row],[PREVISTO]]-T_PROD[[#This Row],[EFETIVO]]&lt; 0,0,T_PROD[[#This Row],[PREVISTO]]-T_PROD[[#This Row],[EFETIVO]] ),"")</f>
        <v>0</v>
      </c>
      <c r="J1744" s="32">
        <f>IFERROR(IF(T_PROD[[#This Row],[META]]&gt;0,(T_PROD[[#This Row],[META]]/T_PROD[[#This Row],[PREVISTO]]),""),"")</f>
        <v>5.416666666666667</v>
      </c>
      <c r="K1744" s="32">
        <f>IFERROR(IF(T_PROD[[#This Row],[PRODUÇÃO]]&gt;0,(T_PROD[[#This Row],[PRODUÇÃO]]/T_PROD[[#This Row],[EFETIVO]]),""),"")</f>
        <v>4.7333333333333334</v>
      </c>
    </row>
    <row r="1745" spans="1:11" x14ac:dyDescent="0.3">
      <c r="A1745" s="28">
        <v>46309</v>
      </c>
      <c r="B1745" s="29" t="str">
        <f t="shared" si="192"/>
        <v>OUTUBRO</v>
      </c>
      <c r="C1745" s="12" t="s">
        <v>11</v>
      </c>
      <c r="D1745" s="12" t="s">
        <v>12</v>
      </c>
      <c r="E1745" s="30">
        <v>800</v>
      </c>
      <c r="F1745" s="30">
        <v>770</v>
      </c>
      <c r="G1745" s="29">
        <v>40</v>
      </c>
      <c r="H1745" s="31">
        <v>40</v>
      </c>
      <c r="I1745" s="29">
        <f>IFERROR(IF(T_PROD[[#This Row],[PREVISTO]]-T_PROD[[#This Row],[EFETIVO]]&lt; 0,0,T_PROD[[#This Row],[PREVISTO]]-T_PROD[[#This Row],[EFETIVO]] ),"")</f>
        <v>0</v>
      </c>
      <c r="J1745" s="32">
        <f>IFERROR(IF(T_PROD[[#This Row],[META]]&gt;0,(T_PROD[[#This Row],[META]]/T_PROD[[#This Row],[PREVISTO]]),""),"")</f>
        <v>20</v>
      </c>
      <c r="K1745" s="32">
        <f>IFERROR(IF(T_PROD[[#This Row],[PRODUÇÃO]]&gt;0,(T_PROD[[#This Row],[PRODUÇÃO]]/T_PROD[[#This Row],[EFETIVO]]),""),"")</f>
        <v>19.25</v>
      </c>
    </row>
    <row r="1746" spans="1:11" x14ac:dyDescent="0.3">
      <c r="A1746" s="28">
        <v>46309</v>
      </c>
      <c r="B1746" s="29" t="str">
        <f t="shared" si="192"/>
        <v>OUTUBRO</v>
      </c>
      <c r="C1746" s="12" t="s">
        <v>32</v>
      </c>
      <c r="D1746" s="12" t="s">
        <v>12</v>
      </c>
      <c r="E1746" s="30">
        <v>160</v>
      </c>
      <c r="F1746" s="30">
        <v>170</v>
      </c>
      <c r="G1746" s="29">
        <v>14</v>
      </c>
      <c r="H1746" s="31">
        <v>14</v>
      </c>
      <c r="I1746" s="29">
        <f>IFERROR(IF(T_PROD[[#This Row],[PREVISTO]]-T_PROD[[#This Row],[EFETIVO]]&lt; 0,0,T_PROD[[#This Row],[PREVISTO]]-T_PROD[[#This Row],[EFETIVO]] ),"")</f>
        <v>0</v>
      </c>
      <c r="J1746" s="32">
        <f>IFERROR(IF(T_PROD[[#This Row],[META]]&gt;0,(T_PROD[[#This Row],[META]]/T_PROD[[#This Row],[PREVISTO]]),""),"")</f>
        <v>11.428571428571429</v>
      </c>
      <c r="K1746" s="32">
        <f>IFERROR(IF(T_PROD[[#This Row],[PRODUÇÃO]]&gt;0,(T_PROD[[#This Row],[PRODUÇÃO]]/T_PROD[[#This Row],[EFETIVO]]),""),"")</f>
        <v>12.142857142857142</v>
      </c>
    </row>
    <row r="1747" spans="1:11" x14ac:dyDescent="0.3">
      <c r="A1747" s="28">
        <v>46309</v>
      </c>
      <c r="B1747" s="29" t="str">
        <f t="shared" si="192"/>
        <v>OUTUBRO</v>
      </c>
      <c r="C1747" s="12" t="s">
        <v>14</v>
      </c>
      <c r="D1747" s="12" t="s">
        <v>12</v>
      </c>
      <c r="E1747" s="30">
        <v>960</v>
      </c>
      <c r="F1747" s="30">
        <v>940</v>
      </c>
      <c r="G1747" s="29">
        <v>110</v>
      </c>
      <c r="H1747" s="31">
        <v>108</v>
      </c>
      <c r="I1747" s="29">
        <f>IFERROR(IF(T_PROD[[#This Row],[PREVISTO]]-T_PROD[[#This Row],[EFETIVO]]&lt; 0,0,T_PROD[[#This Row],[PREVISTO]]-T_PROD[[#This Row],[EFETIVO]] ),"")</f>
        <v>2</v>
      </c>
      <c r="J1747" s="32">
        <f>IFERROR(IF(T_PROD[[#This Row],[META]]&gt;0,(T_PROD[[#This Row],[META]]/T_PROD[[#This Row],[PREVISTO]]),""),"")</f>
        <v>8.7272727272727266</v>
      </c>
      <c r="K1747" s="32">
        <f>IFERROR(IF(T_PROD[[#This Row],[PRODUÇÃO]]&gt;0,(T_PROD[[#This Row],[PRODUÇÃO]]/T_PROD[[#This Row],[EFETIVO]]),""),"")</f>
        <v>8.7037037037037042</v>
      </c>
    </row>
    <row r="1748" spans="1:11" x14ac:dyDescent="0.3">
      <c r="A1748" s="28">
        <v>46310</v>
      </c>
      <c r="B1748" s="29" t="str">
        <f>UPPER(TEXT(A1748,"MMMM"))</f>
        <v>OUTUBRO</v>
      </c>
      <c r="C1748" s="6" t="s">
        <v>15</v>
      </c>
      <c r="D1748" s="12" t="s">
        <v>12</v>
      </c>
      <c r="E1748" s="30">
        <v>60</v>
      </c>
      <c r="F1748" s="30">
        <v>30</v>
      </c>
      <c r="G1748" s="29">
        <v>4</v>
      </c>
      <c r="H1748" s="31">
        <v>4</v>
      </c>
      <c r="I1748" s="29">
        <f>IFERROR(IF(T_PROD[[#This Row],[PREVISTO]]-T_PROD[[#This Row],[EFETIVO]]&lt; 0,0,T_PROD[[#This Row],[PREVISTO]]-T_PROD[[#This Row],[EFETIVO]] ),"")</f>
        <v>0</v>
      </c>
      <c r="J1748" s="32">
        <f>IFERROR(IF(T_PROD[[#This Row],[META]]&gt;0,(T_PROD[[#This Row],[META]]/T_PROD[[#This Row],[PREVISTO]]),""),"")</f>
        <v>15</v>
      </c>
      <c r="K1748" s="32">
        <f>IFERROR(IF(T_PROD[[#This Row],[PRODUÇÃO]]&gt;0,(T_PROD[[#This Row],[PRODUÇÃO]]/T_PROD[[#This Row],[EFETIVO]]),""),"")</f>
        <v>7.5</v>
      </c>
    </row>
    <row r="1749" spans="1:11" x14ac:dyDescent="0.3">
      <c r="A1749" s="28">
        <v>46310</v>
      </c>
      <c r="B1749" s="29" t="str">
        <f t="shared" ref="B1749:B1756" si="193">UPPER(TEXT(A1749,"MMMM"))</f>
        <v>OUTUBRO</v>
      </c>
      <c r="C1749" s="12" t="s">
        <v>16</v>
      </c>
      <c r="D1749" s="12" t="s">
        <v>12</v>
      </c>
      <c r="E1749" s="30">
        <v>238</v>
      </c>
      <c r="F1749" s="30">
        <v>238</v>
      </c>
      <c r="G1749" s="29">
        <v>7</v>
      </c>
      <c r="H1749" s="31">
        <v>7</v>
      </c>
      <c r="I1749" s="29">
        <f>IFERROR(IF(T_PROD[[#This Row],[PREVISTO]]-T_PROD[[#This Row],[EFETIVO]]&lt; 0,0,T_PROD[[#This Row],[PREVISTO]]-T_PROD[[#This Row],[EFETIVO]] ),"")</f>
        <v>0</v>
      </c>
      <c r="J1749" s="32">
        <f>IFERROR(IF(T_PROD[[#This Row],[META]]&gt;0,(T_PROD[[#This Row],[META]]/T_PROD[[#This Row],[PREVISTO]]),""),"")</f>
        <v>34</v>
      </c>
      <c r="K1749" s="32">
        <f>IFERROR(IF(T_PROD[[#This Row],[PRODUÇÃO]]&gt;0,(T_PROD[[#This Row],[PRODUÇÃO]]/T_PROD[[#This Row],[EFETIVO]]),""),"")</f>
        <v>34</v>
      </c>
    </row>
    <row r="1750" spans="1:11" x14ac:dyDescent="0.3">
      <c r="A1750" s="28">
        <v>46310</v>
      </c>
      <c r="B1750" s="29" t="str">
        <f t="shared" si="193"/>
        <v>OUTUBRO</v>
      </c>
      <c r="C1750" s="12" t="s">
        <v>17</v>
      </c>
      <c r="D1750" s="12" t="s">
        <v>12</v>
      </c>
      <c r="E1750" s="30">
        <v>352</v>
      </c>
      <c r="F1750" s="30">
        <v>398</v>
      </c>
      <c r="G1750" s="29">
        <v>16</v>
      </c>
      <c r="H1750" s="31">
        <v>16</v>
      </c>
      <c r="I1750" s="29">
        <f>IFERROR(IF(T_PROD[[#This Row],[PREVISTO]]-T_PROD[[#This Row],[EFETIVO]]&lt; 0,0,T_PROD[[#This Row],[PREVISTO]]-T_PROD[[#This Row],[EFETIVO]] ),"")</f>
        <v>0</v>
      </c>
      <c r="J1750" s="32">
        <f>IFERROR(IF(T_PROD[[#This Row],[META]]&gt;0,(T_PROD[[#This Row],[META]]/T_PROD[[#This Row],[PREVISTO]]),""),"")</f>
        <v>22</v>
      </c>
      <c r="K1750" s="32">
        <f>IFERROR(IF(T_PROD[[#This Row],[PRODUÇÃO]]&gt;0,(T_PROD[[#This Row],[PRODUÇÃO]]/T_PROD[[#This Row],[EFETIVO]]),""),"")</f>
        <v>24.875</v>
      </c>
    </row>
    <row r="1751" spans="1:11" x14ac:dyDescent="0.3">
      <c r="A1751" s="28">
        <v>46310</v>
      </c>
      <c r="B1751" s="29" t="str">
        <f t="shared" si="193"/>
        <v>OUTUBRO</v>
      </c>
      <c r="C1751" s="12" t="s">
        <v>18</v>
      </c>
      <c r="D1751" s="12" t="s">
        <v>12</v>
      </c>
      <c r="E1751" s="30"/>
      <c r="F1751" s="30"/>
      <c r="G1751" s="29"/>
      <c r="H1751" s="31"/>
      <c r="I1751" s="29">
        <f>IFERROR(IF(T_PROD[[#This Row],[PREVISTO]]-T_PROD[[#This Row],[EFETIVO]]&lt; 0,0,T_PROD[[#This Row],[PREVISTO]]-T_PROD[[#This Row],[EFETIVO]] ),"")</f>
        <v>0</v>
      </c>
      <c r="J1751" s="32" t="str">
        <f>IFERROR(IF(T_PROD[[#This Row],[META]]&gt;0,(T_PROD[[#This Row],[META]]/T_PROD[[#This Row],[PREVISTO]]),""),"")</f>
        <v/>
      </c>
      <c r="K1751" s="32" t="str">
        <f>IFERROR(IF(T_PROD[[#This Row],[PRODUÇÃO]]&gt;0,(T_PROD[[#This Row],[PRODUÇÃO]]/T_PROD[[#This Row],[EFETIVO]]),""),"")</f>
        <v/>
      </c>
    </row>
    <row r="1752" spans="1:11" x14ac:dyDescent="0.3">
      <c r="A1752" s="28">
        <v>46310</v>
      </c>
      <c r="B1752" s="29" t="str">
        <f t="shared" si="193"/>
        <v>OUTUBRO</v>
      </c>
      <c r="C1752" s="12" t="s">
        <v>19</v>
      </c>
      <c r="D1752" s="12" t="s">
        <v>12</v>
      </c>
      <c r="E1752" s="30"/>
      <c r="F1752" s="30"/>
      <c r="G1752" s="29"/>
      <c r="H1752" s="31"/>
      <c r="I1752" s="29">
        <f>IFERROR(IF(T_PROD[[#This Row],[PREVISTO]]-T_PROD[[#This Row],[EFETIVO]]&lt; 0,0,T_PROD[[#This Row],[PREVISTO]]-T_PROD[[#This Row],[EFETIVO]] ),"")</f>
        <v>0</v>
      </c>
      <c r="J1752" s="32" t="str">
        <f>IFERROR(IF(T_PROD[[#This Row],[META]]&gt;0,(T_PROD[[#This Row],[META]]/T_PROD[[#This Row],[PREVISTO]]),""),"")</f>
        <v/>
      </c>
      <c r="K1752" s="32" t="str">
        <f>IFERROR(IF(T_PROD[[#This Row],[PRODUÇÃO]]&gt;0,(T_PROD[[#This Row],[PRODUÇÃO]]/T_PROD[[#This Row],[EFETIVO]]),""),"")</f>
        <v/>
      </c>
    </row>
    <row r="1753" spans="1:11" x14ac:dyDescent="0.3">
      <c r="A1753" s="28">
        <v>46310</v>
      </c>
      <c r="B1753" s="29" t="str">
        <f t="shared" si="193"/>
        <v>OUTUBRO</v>
      </c>
      <c r="C1753" s="12" t="s">
        <v>20</v>
      </c>
      <c r="D1753" s="12" t="s">
        <v>12</v>
      </c>
      <c r="E1753" s="30">
        <v>650</v>
      </c>
      <c r="F1753" s="30">
        <v>666</v>
      </c>
      <c r="G1753" s="29">
        <v>120</v>
      </c>
      <c r="H1753" s="31">
        <v>120</v>
      </c>
      <c r="I1753" s="29">
        <f>IFERROR(IF(T_PROD[[#This Row],[PREVISTO]]-T_PROD[[#This Row],[EFETIVO]]&lt; 0,0,T_PROD[[#This Row],[PREVISTO]]-T_PROD[[#This Row],[EFETIVO]] ),"")</f>
        <v>0</v>
      </c>
      <c r="J1753" s="32">
        <f>IFERROR(IF(T_PROD[[#This Row],[META]]&gt;0,(T_PROD[[#This Row],[META]]/T_PROD[[#This Row],[PREVISTO]]),""),"")</f>
        <v>5.416666666666667</v>
      </c>
      <c r="K1753" s="32">
        <f>IFERROR(IF(T_PROD[[#This Row],[PRODUÇÃO]]&gt;0,(T_PROD[[#This Row],[PRODUÇÃO]]/T_PROD[[#This Row],[EFETIVO]]),""),"")</f>
        <v>5.55</v>
      </c>
    </row>
    <row r="1754" spans="1:11" x14ac:dyDescent="0.3">
      <c r="A1754" s="28">
        <v>46310</v>
      </c>
      <c r="B1754" s="29" t="str">
        <f t="shared" si="193"/>
        <v>OUTUBRO</v>
      </c>
      <c r="C1754" s="12" t="s">
        <v>11</v>
      </c>
      <c r="D1754" s="12" t="s">
        <v>12</v>
      </c>
      <c r="E1754" s="30">
        <v>154</v>
      </c>
      <c r="F1754" s="30">
        <v>161</v>
      </c>
      <c r="G1754" s="29">
        <v>14</v>
      </c>
      <c r="H1754" s="31">
        <v>14</v>
      </c>
      <c r="I1754" s="29">
        <f>IFERROR(IF(T_PROD[[#This Row],[PREVISTO]]-T_PROD[[#This Row],[EFETIVO]]&lt; 0,0,T_PROD[[#This Row],[PREVISTO]]-T_PROD[[#This Row],[EFETIVO]] ),"")</f>
        <v>0</v>
      </c>
      <c r="J1754" s="32">
        <f>IFERROR(IF(T_PROD[[#This Row],[META]]&gt;0,(T_PROD[[#This Row],[META]]/T_PROD[[#This Row],[PREVISTO]]),""),"")</f>
        <v>11</v>
      </c>
      <c r="K1754" s="32">
        <f>IFERROR(IF(T_PROD[[#This Row],[PRODUÇÃO]]&gt;0,(T_PROD[[#This Row],[PRODUÇÃO]]/T_PROD[[#This Row],[EFETIVO]]),""),"")</f>
        <v>11.5</v>
      </c>
    </row>
    <row r="1755" spans="1:11" x14ac:dyDescent="0.3">
      <c r="A1755" s="28">
        <v>46310</v>
      </c>
      <c r="B1755" s="29" t="str">
        <f t="shared" si="193"/>
        <v>OUTUBRO</v>
      </c>
      <c r="C1755" s="12" t="s">
        <v>32</v>
      </c>
      <c r="D1755" s="12" t="s">
        <v>12</v>
      </c>
      <c r="E1755" s="30">
        <v>820</v>
      </c>
      <c r="F1755" s="30">
        <v>830</v>
      </c>
      <c r="G1755" s="29">
        <v>41</v>
      </c>
      <c r="H1755" s="31">
        <v>41</v>
      </c>
      <c r="I1755" s="29">
        <f>IFERROR(IF(T_PROD[[#This Row],[PREVISTO]]-T_PROD[[#This Row],[EFETIVO]]&lt; 0,0,T_PROD[[#This Row],[PREVISTO]]-T_PROD[[#This Row],[EFETIVO]] ),"")</f>
        <v>0</v>
      </c>
      <c r="J1755" s="32">
        <f>IFERROR(IF(T_PROD[[#This Row],[META]]&gt;0,(T_PROD[[#This Row],[META]]/T_PROD[[#This Row],[PREVISTO]]),""),"")</f>
        <v>20</v>
      </c>
      <c r="K1755" s="32">
        <f>IFERROR(IF(T_PROD[[#This Row],[PRODUÇÃO]]&gt;0,(T_PROD[[#This Row],[PRODUÇÃO]]/T_PROD[[#This Row],[EFETIVO]]),""),"")</f>
        <v>20.243902439024389</v>
      </c>
    </row>
    <row r="1756" spans="1:11" x14ac:dyDescent="0.3">
      <c r="A1756" s="28">
        <v>46310</v>
      </c>
      <c r="B1756" s="29" t="str">
        <f t="shared" si="193"/>
        <v>OUTUBRO</v>
      </c>
      <c r="C1756" s="12" t="s">
        <v>14</v>
      </c>
      <c r="D1756" s="12" t="s">
        <v>12</v>
      </c>
      <c r="E1756" s="30">
        <v>974</v>
      </c>
      <c r="F1756" s="30">
        <v>991</v>
      </c>
      <c r="G1756" s="29">
        <v>110</v>
      </c>
      <c r="H1756" s="31">
        <v>107</v>
      </c>
      <c r="I1756" s="29">
        <f>IFERROR(IF(T_PROD[[#This Row],[PREVISTO]]-T_PROD[[#This Row],[EFETIVO]]&lt; 0,0,T_PROD[[#This Row],[PREVISTO]]-T_PROD[[#This Row],[EFETIVO]] ),"")</f>
        <v>3</v>
      </c>
      <c r="J1756" s="32">
        <f>IFERROR(IF(T_PROD[[#This Row],[META]]&gt;0,(T_PROD[[#This Row],[META]]/T_PROD[[#This Row],[PREVISTO]]),""),"")</f>
        <v>8.8545454545454554</v>
      </c>
      <c r="K1756" s="32">
        <f>IFERROR(IF(T_PROD[[#This Row],[PRODUÇÃO]]&gt;0,(T_PROD[[#This Row],[PRODUÇÃO]]/T_PROD[[#This Row],[EFETIVO]]),""),"")</f>
        <v>9.2616822429906538</v>
      </c>
    </row>
    <row r="1757" spans="1:11" x14ac:dyDescent="0.3">
      <c r="A1757" s="28">
        <v>46311</v>
      </c>
      <c r="B1757" s="29" t="str">
        <f>UPPER(TEXT(A1757,"MMMM"))</f>
        <v>OUTUBRO</v>
      </c>
      <c r="C1757" s="6" t="s">
        <v>15</v>
      </c>
      <c r="D1757" s="12" t="s">
        <v>12</v>
      </c>
      <c r="E1757" s="30">
        <v>60</v>
      </c>
      <c r="F1757" s="30">
        <v>46</v>
      </c>
      <c r="G1757" s="29">
        <v>4</v>
      </c>
      <c r="H1757" s="31">
        <v>4</v>
      </c>
      <c r="I1757" s="29">
        <f>IFERROR(IF(T_PROD[[#This Row],[PREVISTO]]-T_PROD[[#This Row],[EFETIVO]]&lt; 0,0,T_PROD[[#This Row],[PREVISTO]]-T_PROD[[#This Row],[EFETIVO]] ),"")</f>
        <v>0</v>
      </c>
      <c r="J1757" s="32">
        <f>IFERROR(IF(T_PROD[[#This Row],[META]]&gt;0,(T_PROD[[#This Row],[META]]/T_PROD[[#This Row],[PREVISTO]]),""),"")</f>
        <v>15</v>
      </c>
      <c r="K1757" s="32">
        <f>IFERROR(IF(T_PROD[[#This Row],[PRODUÇÃO]]&gt;0,(T_PROD[[#This Row],[PRODUÇÃO]]/T_PROD[[#This Row],[EFETIVO]]),""),"")</f>
        <v>11.5</v>
      </c>
    </row>
    <row r="1758" spans="1:11" x14ac:dyDescent="0.3">
      <c r="A1758" s="28">
        <v>46311</v>
      </c>
      <c r="B1758" s="29" t="str">
        <f t="shared" ref="B1758:B1765" si="194">UPPER(TEXT(A1758,"MMMM"))</f>
        <v>OUTUBRO</v>
      </c>
      <c r="C1758" s="12" t="s">
        <v>16</v>
      </c>
      <c r="D1758" s="12" t="s">
        <v>12</v>
      </c>
      <c r="E1758" s="30">
        <v>238</v>
      </c>
      <c r="F1758" s="30">
        <v>175</v>
      </c>
      <c r="G1758" s="29">
        <v>7</v>
      </c>
      <c r="H1758" s="31">
        <v>7</v>
      </c>
      <c r="I1758" s="29">
        <f>IFERROR(IF(T_PROD[[#This Row],[PREVISTO]]-T_PROD[[#This Row],[EFETIVO]]&lt; 0,0,T_PROD[[#This Row],[PREVISTO]]-T_PROD[[#This Row],[EFETIVO]] ),"")</f>
        <v>0</v>
      </c>
      <c r="J1758" s="32">
        <f>IFERROR(IF(T_PROD[[#This Row],[META]]&gt;0,(T_PROD[[#This Row],[META]]/T_PROD[[#This Row],[PREVISTO]]),""),"")</f>
        <v>34</v>
      </c>
      <c r="K1758" s="32">
        <f>IFERROR(IF(T_PROD[[#This Row],[PRODUÇÃO]]&gt;0,(T_PROD[[#This Row],[PRODUÇÃO]]/T_PROD[[#This Row],[EFETIVO]]),""),"")</f>
        <v>25</v>
      </c>
    </row>
    <row r="1759" spans="1:11" x14ac:dyDescent="0.3">
      <c r="A1759" s="28">
        <v>46311</v>
      </c>
      <c r="B1759" s="29" t="str">
        <f t="shared" si="194"/>
        <v>OUTUBRO</v>
      </c>
      <c r="C1759" s="12" t="s">
        <v>17</v>
      </c>
      <c r="D1759" s="12" t="s">
        <v>12</v>
      </c>
      <c r="E1759" s="30">
        <v>352</v>
      </c>
      <c r="F1759" s="30">
        <v>317</v>
      </c>
      <c r="G1759" s="29">
        <v>16</v>
      </c>
      <c r="H1759" s="31">
        <v>16</v>
      </c>
      <c r="I1759" s="29">
        <f>IFERROR(IF(T_PROD[[#This Row],[PREVISTO]]-T_PROD[[#This Row],[EFETIVO]]&lt; 0,0,T_PROD[[#This Row],[PREVISTO]]-T_PROD[[#This Row],[EFETIVO]] ),"")</f>
        <v>0</v>
      </c>
      <c r="J1759" s="32">
        <f>IFERROR(IF(T_PROD[[#This Row],[META]]&gt;0,(T_PROD[[#This Row],[META]]/T_PROD[[#This Row],[PREVISTO]]),""),"")</f>
        <v>22</v>
      </c>
      <c r="K1759" s="32">
        <f>IFERROR(IF(T_PROD[[#This Row],[PRODUÇÃO]]&gt;0,(T_PROD[[#This Row],[PRODUÇÃO]]/T_PROD[[#This Row],[EFETIVO]]),""),"")</f>
        <v>19.8125</v>
      </c>
    </row>
    <row r="1760" spans="1:11" x14ac:dyDescent="0.3">
      <c r="A1760" s="28">
        <v>46311</v>
      </c>
      <c r="B1760" s="29" t="str">
        <f t="shared" si="194"/>
        <v>OUTUBRO</v>
      </c>
      <c r="C1760" s="12" t="s">
        <v>18</v>
      </c>
      <c r="D1760" s="12" t="s">
        <v>12</v>
      </c>
      <c r="E1760" s="30"/>
      <c r="F1760" s="30"/>
      <c r="G1760" s="29"/>
      <c r="H1760" s="31"/>
      <c r="I1760" s="29">
        <f>IFERROR(IF(T_PROD[[#This Row],[PREVISTO]]-T_PROD[[#This Row],[EFETIVO]]&lt; 0,0,T_PROD[[#This Row],[PREVISTO]]-T_PROD[[#This Row],[EFETIVO]] ),"")</f>
        <v>0</v>
      </c>
      <c r="J1760" s="32" t="str">
        <f>IFERROR(IF(T_PROD[[#This Row],[META]]&gt;0,(T_PROD[[#This Row],[META]]/T_PROD[[#This Row],[PREVISTO]]),""),"")</f>
        <v/>
      </c>
      <c r="K1760" s="32" t="str">
        <f>IFERROR(IF(T_PROD[[#This Row],[PRODUÇÃO]]&gt;0,(T_PROD[[#This Row],[PRODUÇÃO]]/T_PROD[[#This Row],[EFETIVO]]),""),"")</f>
        <v/>
      </c>
    </row>
    <row r="1761" spans="1:11" x14ac:dyDescent="0.3">
      <c r="A1761" s="28">
        <v>46311</v>
      </c>
      <c r="B1761" s="29" t="str">
        <f t="shared" si="194"/>
        <v>OUTUBRO</v>
      </c>
      <c r="C1761" s="12" t="s">
        <v>19</v>
      </c>
      <c r="D1761" s="12" t="s">
        <v>12</v>
      </c>
      <c r="E1761" s="30"/>
      <c r="F1761" s="30"/>
      <c r="G1761" s="29"/>
      <c r="H1761" s="31"/>
      <c r="I1761" s="29">
        <f>IFERROR(IF(T_PROD[[#This Row],[PREVISTO]]-T_PROD[[#This Row],[EFETIVO]]&lt; 0,0,T_PROD[[#This Row],[PREVISTO]]-T_PROD[[#This Row],[EFETIVO]] ),"")</f>
        <v>0</v>
      </c>
      <c r="J1761" s="32" t="str">
        <f>IFERROR(IF(T_PROD[[#This Row],[META]]&gt;0,(T_PROD[[#This Row],[META]]/T_PROD[[#This Row],[PREVISTO]]),""),"")</f>
        <v/>
      </c>
      <c r="K1761" s="32" t="str">
        <f>IFERROR(IF(T_PROD[[#This Row],[PRODUÇÃO]]&gt;0,(T_PROD[[#This Row],[PRODUÇÃO]]/T_PROD[[#This Row],[EFETIVO]]),""),"")</f>
        <v/>
      </c>
    </row>
    <row r="1762" spans="1:11" x14ac:dyDescent="0.3">
      <c r="A1762" s="28">
        <v>46311</v>
      </c>
      <c r="B1762" s="29" t="str">
        <f t="shared" si="194"/>
        <v>OUTUBRO</v>
      </c>
      <c r="C1762" s="12" t="s">
        <v>20</v>
      </c>
      <c r="D1762" s="12" t="s">
        <v>12</v>
      </c>
      <c r="E1762" s="30">
        <v>650</v>
      </c>
      <c r="F1762" s="30">
        <v>538</v>
      </c>
      <c r="G1762" s="29">
        <v>120</v>
      </c>
      <c r="H1762" s="31">
        <v>120</v>
      </c>
      <c r="I1762" s="29">
        <f>IFERROR(IF(T_PROD[[#This Row],[PREVISTO]]-T_PROD[[#This Row],[EFETIVO]]&lt; 0,0,T_PROD[[#This Row],[PREVISTO]]-T_PROD[[#This Row],[EFETIVO]] ),"")</f>
        <v>0</v>
      </c>
      <c r="J1762" s="32">
        <f>IFERROR(IF(T_PROD[[#This Row],[META]]&gt;0,(T_PROD[[#This Row],[META]]/T_PROD[[#This Row],[PREVISTO]]),""),"")</f>
        <v>5.416666666666667</v>
      </c>
      <c r="K1762" s="32">
        <f>IFERROR(IF(T_PROD[[#This Row],[PRODUÇÃO]]&gt;0,(T_PROD[[#This Row],[PRODUÇÃO]]/T_PROD[[#This Row],[EFETIVO]]),""),"")</f>
        <v>4.4833333333333334</v>
      </c>
    </row>
    <row r="1763" spans="1:11" x14ac:dyDescent="0.3">
      <c r="A1763" s="28">
        <v>46311</v>
      </c>
      <c r="B1763" s="29" t="str">
        <f t="shared" si="194"/>
        <v>OUTUBRO</v>
      </c>
      <c r="C1763" s="12" t="s">
        <v>11</v>
      </c>
      <c r="D1763" s="12" t="s">
        <v>12</v>
      </c>
      <c r="E1763" s="30">
        <v>680</v>
      </c>
      <c r="F1763" s="30">
        <v>700</v>
      </c>
      <c r="G1763" s="29">
        <v>34</v>
      </c>
      <c r="H1763" s="31">
        <v>34</v>
      </c>
      <c r="I1763" s="29">
        <f>IFERROR(IF(T_PROD[[#This Row],[PREVISTO]]-T_PROD[[#This Row],[EFETIVO]]&lt; 0,0,T_PROD[[#This Row],[PREVISTO]]-T_PROD[[#This Row],[EFETIVO]] ),"")</f>
        <v>0</v>
      </c>
      <c r="J1763" s="32">
        <f>IFERROR(IF(T_PROD[[#This Row],[META]]&gt;0,(T_PROD[[#This Row],[META]]/T_PROD[[#This Row],[PREVISTO]]),""),"")</f>
        <v>20</v>
      </c>
      <c r="K1763" s="32">
        <f>IFERROR(IF(T_PROD[[#This Row],[PRODUÇÃO]]&gt;0,(T_PROD[[#This Row],[PRODUÇÃO]]/T_PROD[[#This Row],[EFETIVO]]),""),"")</f>
        <v>20.588235294117649</v>
      </c>
    </row>
    <row r="1764" spans="1:11" x14ac:dyDescent="0.3">
      <c r="A1764" s="28">
        <v>46311</v>
      </c>
      <c r="B1764" s="29" t="str">
        <f t="shared" si="194"/>
        <v>OUTUBRO</v>
      </c>
      <c r="C1764" s="12" t="s">
        <v>32</v>
      </c>
      <c r="D1764" s="12" t="s">
        <v>12</v>
      </c>
      <c r="E1764" s="30">
        <v>110</v>
      </c>
      <c r="F1764" s="30">
        <v>112</v>
      </c>
      <c r="G1764" s="29">
        <v>10</v>
      </c>
      <c r="H1764" s="31">
        <v>10</v>
      </c>
      <c r="I1764" s="29">
        <f>IFERROR(IF(T_PROD[[#This Row],[PREVISTO]]-T_PROD[[#This Row],[EFETIVO]]&lt; 0,0,T_PROD[[#This Row],[PREVISTO]]-T_PROD[[#This Row],[EFETIVO]] ),"")</f>
        <v>0</v>
      </c>
      <c r="J1764" s="32">
        <f>IFERROR(IF(T_PROD[[#This Row],[META]]&gt;0,(T_PROD[[#This Row],[META]]/T_PROD[[#This Row],[PREVISTO]]),""),"")</f>
        <v>11</v>
      </c>
      <c r="K1764" s="32">
        <f>IFERROR(IF(T_PROD[[#This Row],[PRODUÇÃO]]&gt;0,(T_PROD[[#This Row],[PRODUÇÃO]]/T_PROD[[#This Row],[EFETIVO]]),""),"")</f>
        <v>11.2</v>
      </c>
    </row>
    <row r="1765" spans="1:11" x14ac:dyDescent="0.3">
      <c r="A1765" s="28">
        <v>46311</v>
      </c>
      <c r="B1765" s="29" t="str">
        <f t="shared" si="194"/>
        <v>OUTUBRO</v>
      </c>
      <c r="C1765" s="12" t="s">
        <v>14</v>
      </c>
      <c r="D1765" s="12" t="s">
        <v>12</v>
      </c>
      <c r="E1765" s="30">
        <v>790</v>
      </c>
      <c r="F1765" s="30">
        <v>812</v>
      </c>
      <c r="G1765" s="29">
        <v>100</v>
      </c>
      <c r="H1765" s="31">
        <v>95</v>
      </c>
      <c r="I1765" s="29">
        <f>IFERROR(IF(T_PROD[[#This Row],[PREVISTO]]-T_PROD[[#This Row],[EFETIVO]]&lt; 0,0,T_PROD[[#This Row],[PREVISTO]]-T_PROD[[#This Row],[EFETIVO]] ),"")</f>
        <v>5</v>
      </c>
      <c r="J1765" s="32">
        <f>IFERROR(IF(T_PROD[[#This Row],[META]]&gt;0,(T_PROD[[#This Row],[META]]/T_PROD[[#This Row],[PREVISTO]]),""),"")</f>
        <v>7.9</v>
      </c>
      <c r="K1765" s="32">
        <f>IFERROR(IF(T_PROD[[#This Row],[PRODUÇÃO]]&gt;0,(T_PROD[[#This Row],[PRODUÇÃO]]/T_PROD[[#This Row],[EFETIVO]]),""),"")</f>
        <v>8.5473684210526315</v>
      </c>
    </row>
    <row r="1766" spans="1:11" x14ac:dyDescent="0.3">
      <c r="A1766" s="28">
        <v>46314</v>
      </c>
      <c r="B1766" s="29" t="str">
        <f>UPPER(TEXT(A1766,"MMMM"))</f>
        <v>OUTUBRO</v>
      </c>
      <c r="C1766" s="6" t="s">
        <v>15</v>
      </c>
      <c r="D1766" s="12" t="s">
        <v>12</v>
      </c>
      <c r="E1766" s="30">
        <v>60</v>
      </c>
      <c r="F1766" s="30">
        <v>51</v>
      </c>
      <c r="G1766" s="29">
        <v>4</v>
      </c>
      <c r="H1766" s="31">
        <v>4</v>
      </c>
      <c r="I1766" s="29">
        <f>IFERROR(IF(T_PROD[[#This Row],[PREVISTO]]-T_PROD[[#This Row],[EFETIVO]]&lt; 0,0,T_PROD[[#This Row],[PREVISTO]]-T_PROD[[#This Row],[EFETIVO]] ),"")</f>
        <v>0</v>
      </c>
      <c r="J1766" s="32">
        <f>IFERROR(IF(T_PROD[[#This Row],[META]]&gt;0,(T_PROD[[#This Row],[META]]/T_PROD[[#This Row],[PREVISTO]]),""),"")</f>
        <v>15</v>
      </c>
      <c r="K1766" s="32">
        <f>IFERROR(IF(T_PROD[[#This Row],[PRODUÇÃO]]&gt;0,(T_PROD[[#This Row],[PRODUÇÃO]]/T_PROD[[#This Row],[EFETIVO]]),""),"")</f>
        <v>12.75</v>
      </c>
    </row>
    <row r="1767" spans="1:11" x14ac:dyDescent="0.3">
      <c r="A1767" s="28">
        <v>46314</v>
      </c>
      <c r="B1767" s="29" t="str">
        <f t="shared" ref="B1767:B1774" si="195">UPPER(TEXT(A1767,"MMMM"))</f>
        <v>OUTUBRO</v>
      </c>
      <c r="C1767" s="12" t="s">
        <v>16</v>
      </c>
      <c r="D1767" s="12" t="s">
        <v>12</v>
      </c>
      <c r="E1767" s="30">
        <v>238</v>
      </c>
      <c r="F1767" s="30">
        <v>240</v>
      </c>
      <c r="G1767" s="29">
        <v>7</v>
      </c>
      <c r="H1767" s="31">
        <v>7</v>
      </c>
      <c r="I1767" s="29">
        <f>IFERROR(IF(T_PROD[[#This Row],[PREVISTO]]-T_PROD[[#This Row],[EFETIVO]]&lt; 0,0,T_PROD[[#This Row],[PREVISTO]]-T_PROD[[#This Row],[EFETIVO]] ),"")</f>
        <v>0</v>
      </c>
      <c r="J1767" s="32">
        <f>IFERROR(IF(T_PROD[[#This Row],[META]]&gt;0,(T_PROD[[#This Row],[META]]/T_PROD[[#This Row],[PREVISTO]]),""),"")</f>
        <v>34</v>
      </c>
      <c r="K1767" s="32">
        <f>IFERROR(IF(T_PROD[[#This Row],[PRODUÇÃO]]&gt;0,(T_PROD[[#This Row],[PRODUÇÃO]]/T_PROD[[#This Row],[EFETIVO]]),""),"")</f>
        <v>34.285714285714285</v>
      </c>
    </row>
    <row r="1768" spans="1:11" x14ac:dyDescent="0.3">
      <c r="A1768" s="28">
        <v>46314</v>
      </c>
      <c r="B1768" s="29" t="str">
        <f t="shared" si="195"/>
        <v>OUTUBRO</v>
      </c>
      <c r="C1768" s="12" t="s">
        <v>17</v>
      </c>
      <c r="D1768" s="12" t="s">
        <v>12</v>
      </c>
      <c r="E1768" s="30">
        <v>352</v>
      </c>
      <c r="F1768" s="30">
        <v>367</v>
      </c>
      <c r="G1768" s="29">
        <v>16</v>
      </c>
      <c r="H1768" s="31">
        <v>16</v>
      </c>
      <c r="I1768" s="29">
        <f>IFERROR(IF(T_PROD[[#This Row],[PREVISTO]]-T_PROD[[#This Row],[EFETIVO]]&lt; 0,0,T_PROD[[#This Row],[PREVISTO]]-T_PROD[[#This Row],[EFETIVO]] ),"")</f>
        <v>0</v>
      </c>
      <c r="J1768" s="32">
        <f>IFERROR(IF(T_PROD[[#This Row],[META]]&gt;0,(T_PROD[[#This Row],[META]]/T_PROD[[#This Row],[PREVISTO]]),""),"")</f>
        <v>22</v>
      </c>
      <c r="K1768" s="32">
        <f>IFERROR(IF(T_PROD[[#This Row],[PRODUÇÃO]]&gt;0,(T_PROD[[#This Row],[PRODUÇÃO]]/T_PROD[[#This Row],[EFETIVO]]),""),"")</f>
        <v>22.9375</v>
      </c>
    </row>
    <row r="1769" spans="1:11" x14ac:dyDescent="0.3">
      <c r="A1769" s="28">
        <v>46314</v>
      </c>
      <c r="B1769" s="29" t="str">
        <f t="shared" si="195"/>
        <v>OUTUBRO</v>
      </c>
      <c r="C1769" s="12" t="s">
        <v>18</v>
      </c>
      <c r="D1769" s="12" t="s">
        <v>12</v>
      </c>
      <c r="E1769" s="30"/>
      <c r="F1769" s="30"/>
      <c r="G1769" s="29"/>
      <c r="H1769" s="31"/>
      <c r="I1769" s="29">
        <f>IFERROR(IF(T_PROD[[#This Row],[PREVISTO]]-T_PROD[[#This Row],[EFETIVO]]&lt; 0,0,T_PROD[[#This Row],[PREVISTO]]-T_PROD[[#This Row],[EFETIVO]] ),"")</f>
        <v>0</v>
      </c>
      <c r="J1769" s="32" t="str">
        <f>IFERROR(IF(T_PROD[[#This Row],[META]]&gt;0,(T_PROD[[#This Row],[META]]/T_PROD[[#This Row],[PREVISTO]]),""),"")</f>
        <v/>
      </c>
      <c r="K1769" s="32" t="str">
        <f>IFERROR(IF(T_PROD[[#This Row],[PRODUÇÃO]]&gt;0,(T_PROD[[#This Row],[PRODUÇÃO]]/T_PROD[[#This Row],[EFETIVO]]),""),"")</f>
        <v/>
      </c>
    </row>
    <row r="1770" spans="1:11" x14ac:dyDescent="0.3">
      <c r="A1770" s="28">
        <v>46314</v>
      </c>
      <c r="B1770" s="29" t="str">
        <f t="shared" si="195"/>
        <v>OUTUBRO</v>
      </c>
      <c r="C1770" s="12" t="s">
        <v>19</v>
      </c>
      <c r="D1770" s="12" t="s">
        <v>12</v>
      </c>
      <c r="E1770" s="30"/>
      <c r="F1770" s="30"/>
      <c r="G1770" s="29"/>
      <c r="H1770" s="31"/>
      <c r="I1770" s="29">
        <f>IFERROR(IF(T_PROD[[#This Row],[PREVISTO]]-T_PROD[[#This Row],[EFETIVO]]&lt; 0,0,T_PROD[[#This Row],[PREVISTO]]-T_PROD[[#This Row],[EFETIVO]] ),"")</f>
        <v>0</v>
      </c>
      <c r="J1770" s="32" t="str">
        <f>IFERROR(IF(T_PROD[[#This Row],[META]]&gt;0,(T_PROD[[#This Row],[META]]/T_PROD[[#This Row],[PREVISTO]]),""),"")</f>
        <v/>
      </c>
      <c r="K1770" s="32" t="str">
        <f>IFERROR(IF(T_PROD[[#This Row],[PRODUÇÃO]]&gt;0,(T_PROD[[#This Row],[PRODUÇÃO]]/T_PROD[[#This Row],[EFETIVO]]),""),"")</f>
        <v/>
      </c>
    </row>
    <row r="1771" spans="1:11" x14ac:dyDescent="0.3">
      <c r="A1771" s="28">
        <v>46314</v>
      </c>
      <c r="B1771" s="29" t="str">
        <f t="shared" si="195"/>
        <v>OUTUBRO</v>
      </c>
      <c r="C1771" s="12" t="s">
        <v>20</v>
      </c>
      <c r="D1771" s="12" t="s">
        <v>12</v>
      </c>
      <c r="E1771" s="30">
        <v>650</v>
      </c>
      <c r="F1771" s="30">
        <v>658</v>
      </c>
      <c r="G1771" s="29">
        <v>120</v>
      </c>
      <c r="H1771" s="31">
        <v>120</v>
      </c>
      <c r="I1771" s="29">
        <f>IFERROR(IF(T_PROD[[#This Row],[PREVISTO]]-T_PROD[[#This Row],[EFETIVO]]&lt; 0,0,T_PROD[[#This Row],[PREVISTO]]-T_PROD[[#This Row],[EFETIVO]] ),"")</f>
        <v>0</v>
      </c>
      <c r="J1771" s="32">
        <f>IFERROR(IF(T_PROD[[#This Row],[META]]&gt;0,(T_PROD[[#This Row],[META]]/T_PROD[[#This Row],[PREVISTO]]),""),"")</f>
        <v>5.416666666666667</v>
      </c>
      <c r="K1771" s="32">
        <f>IFERROR(IF(T_PROD[[#This Row],[PRODUÇÃO]]&gt;0,(T_PROD[[#This Row],[PRODUÇÃO]]/T_PROD[[#This Row],[EFETIVO]]),""),"")</f>
        <v>5.4833333333333334</v>
      </c>
    </row>
    <row r="1772" spans="1:11" x14ac:dyDescent="0.3">
      <c r="A1772" s="28">
        <v>46314</v>
      </c>
      <c r="B1772" s="29" t="str">
        <f t="shared" si="195"/>
        <v>OUTUBRO</v>
      </c>
      <c r="C1772" s="12" t="s">
        <v>11</v>
      </c>
      <c r="D1772" s="12" t="s">
        <v>12</v>
      </c>
      <c r="E1772" s="30">
        <v>720</v>
      </c>
      <c r="F1772" s="30">
        <v>720</v>
      </c>
      <c r="G1772" s="29">
        <v>36</v>
      </c>
      <c r="H1772" s="31">
        <v>36</v>
      </c>
      <c r="I1772" s="29">
        <f>IFERROR(IF(T_PROD[[#This Row],[PREVISTO]]-T_PROD[[#This Row],[EFETIVO]]&lt; 0,0,T_PROD[[#This Row],[PREVISTO]]-T_PROD[[#This Row],[EFETIVO]] ),"")</f>
        <v>0</v>
      </c>
      <c r="J1772" s="32">
        <f>IFERROR(IF(T_PROD[[#This Row],[META]]&gt;0,(T_PROD[[#This Row],[META]]/T_PROD[[#This Row],[PREVISTO]]),""),"")</f>
        <v>20</v>
      </c>
      <c r="K1772" s="32">
        <f>IFERROR(IF(T_PROD[[#This Row],[PRODUÇÃO]]&gt;0,(T_PROD[[#This Row],[PRODUÇÃO]]/T_PROD[[#This Row],[EFETIVO]]),""),"")</f>
        <v>20</v>
      </c>
    </row>
    <row r="1773" spans="1:11" x14ac:dyDescent="0.3">
      <c r="A1773" s="28">
        <v>46314</v>
      </c>
      <c r="B1773" s="29" t="str">
        <f t="shared" si="195"/>
        <v>OUTUBRO</v>
      </c>
      <c r="C1773" s="12" t="s">
        <v>32</v>
      </c>
      <c r="D1773" s="12" t="s">
        <v>12</v>
      </c>
      <c r="E1773" s="30">
        <v>140</v>
      </c>
      <c r="F1773" s="30">
        <v>151</v>
      </c>
      <c r="G1773" s="29">
        <v>13</v>
      </c>
      <c r="H1773" s="31">
        <v>13</v>
      </c>
      <c r="I1773" s="29">
        <f>IFERROR(IF(T_PROD[[#This Row],[PREVISTO]]-T_PROD[[#This Row],[EFETIVO]]&lt; 0,0,T_PROD[[#This Row],[PREVISTO]]-T_PROD[[#This Row],[EFETIVO]] ),"")</f>
        <v>0</v>
      </c>
      <c r="J1773" s="32">
        <f>IFERROR(IF(T_PROD[[#This Row],[META]]&gt;0,(T_PROD[[#This Row],[META]]/T_PROD[[#This Row],[PREVISTO]]),""),"")</f>
        <v>10.76923076923077</v>
      </c>
      <c r="K1773" s="32">
        <f>IFERROR(IF(T_PROD[[#This Row],[PRODUÇÃO]]&gt;0,(T_PROD[[#This Row],[PRODUÇÃO]]/T_PROD[[#This Row],[EFETIVO]]),""),"")</f>
        <v>11.615384615384615</v>
      </c>
    </row>
    <row r="1774" spans="1:11" x14ac:dyDescent="0.3">
      <c r="A1774" s="28">
        <v>46314</v>
      </c>
      <c r="B1774" s="29" t="str">
        <f t="shared" si="195"/>
        <v>OUTUBRO</v>
      </c>
      <c r="C1774" s="12" t="s">
        <v>14</v>
      </c>
      <c r="D1774" s="12" t="s">
        <v>12</v>
      </c>
      <c r="E1774" s="30">
        <v>860</v>
      </c>
      <c r="F1774" s="30">
        <v>871</v>
      </c>
      <c r="G1774" s="29">
        <v>100</v>
      </c>
      <c r="H1774" s="31">
        <v>98</v>
      </c>
      <c r="I1774" s="29">
        <f>IFERROR(IF(T_PROD[[#This Row],[PREVISTO]]-T_PROD[[#This Row],[EFETIVO]]&lt; 0,0,T_PROD[[#This Row],[PREVISTO]]-T_PROD[[#This Row],[EFETIVO]] ),"")</f>
        <v>2</v>
      </c>
      <c r="J1774" s="32">
        <f>IFERROR(IF(T_PROD[[#This Row],[META]]&gt;0,(T_PROD[[#This Row],[META]]/T_PROD[[#This Row],[PREVISTO]]),""),"")</f>
        <v>8.6</v>
      </c>
      <c r="K1774" s="32">
        <f>IFERROR(IF(T_PROD[[#This Row],[PRODUÇÃO]]&gt;0,(T_PROD[[#This Row],[PRODUÇÃO]]/T_PROD[[#This Row],[EFETIVO]]),""),"")</f>
        <v>8.887755102040817</v>
      </c>
    </row>
    <row r="1775" spans="1:11" x14ac:dyDescent="0.3">
      <c r="A1775" s="28">
        <v>46315</v>
      </c>
      <c r="B1775" s="29" t="str">
        <f>UPPER(TEXT(A1775,"MMMM"))</f>
        <v>OUTUBRO</v>
      </c>
      <c r="C1775" s="6" t="s">
        <v>15</v>
      </c>
      <c r="D1775" s="12" t="s">
        <v>12</v>
      </c>
      <c r="E1775" s="30">
        <v>75</v>
      </c>
      <c r="F1775" s="30">
        <v>38</v>
      </c>
      <c r="G1775" s="29">
        <v>5</v>
      </c>
      <c r="H1775" s="31">
        <v>5</v>
      </c>
      <c r="I1775" s="29">
        <f>IFERROR(IF(T_PROD[[#This Row],[PREVISTO]]-T_PROD[[#This Row],[EFETIVO]]&lt; 0,0,T_PROD[[#This Row],[PREVISTO]]-T_PROD[[#This Row],[EFETIVO]] ),"")</f>
        <v>0</v>
      </c>
      <c r="J1775" s="32">
        <f>IFERROR(IF(T_PROD[[#This Row],[META]]&gt;0,(T_PROD[[#This Row],[META]]/T_PROD[[#This Row],[PREVISTO]]),""),"")</f>
        <v>15</v>
      </c>
      <c r="K1775" s="32">
        <f>IFERROR(IF(T_PROD[[#This Row],[PRODUÇÃO]]&gt;0,(T_PROD[[#This Row],[PRODUÇÃO]]/T_PROD[[#This Row],[EFETIVO]]),""),"")</f>
        <v>7.6</v>
      </c>
    </row>
    <row r="1776" spans="1:11" x14ac:dyDescent="0.3">
      <c r="A1776" s="28">
        <v>46315</v>
      </c>
      <c r="B1776" s="29" t="str">
        <f t="shared" ref="B1776:B1783" si="196">UPPER(TEXT(A1776,"MMMM"))</f>
        <v>OUTUBRO</v>
      </c>
      <c r="C1776" s="12" t="s">
        <v>16</v>
      </c>
      <c r="D1776" s="12" t="s">
        <v>12</v>
      </c>
      <c r="E1776" s="30">
        <v>306</v>
      </c>
      <c r="F1776" s="30">
        <v>183</v>
      </c>
      <c r="G1776" s="29">
        <v>9</v>
      </c>
      <c r="H1776" s="31">
        <v>9</v>
      </c>
      <c r="I1776" s="29">
        <f>IFERROR(IF(T_PROD[[#This Row],[PREVISTO]]-T_PROD[[#This Row],[EFETIVO]]&lt; 0,0,T_PROD[[#This Row],[PREVISTO]]-T_PROD[[#This Row],[EFETIVO]] ),"")</f>
        <v>0</v>
      </c>
      <c r="J1776" s="32">
        <f>IFERROR(IF(T_PROD[[#This Row],[META]]&gt;0,(T_PROD[[#This Row],[META]]/T_PROD[[#This Row],[PREVISTO]]),""),"")</f>
        <v>34</v>
      </c>
      <c r="K1776" s="32">
        <f>IFERROR(IF(T_PROD[[#This Row],[PRODUÇÃO]]&gt;0,(T_PROD[[#This Row],[PRODUÇÃO]]/T_PROD[[#This Row],[EFETIVO]]),""),"")</f>
        <v>20.333333333333332</v>
      </c>
    </row>
    <row r="1777" spans="1:11" x14ac:dyDescent="0.3">
      <c r="A1777" s="28">
        <v>46315</v>
      </c>
      <c r="B1777" s="29" t="str">
        <f t="shared" si="196"/>
        <v>OUTUBRO</v>
      </c>
      <c r="C1777" s="12" t="s">
        <v>17</v>
      </c>
      <c r="D1777" s="12" t="s">
        <v>12</v>
      </c>
      <c r="E1777" s="30">
        <v>396</v>
      </c>
      <c r="F1777" s="30">
        <v>325</v>
      </c>
      <c r="G1777" s="29">
        <v>18</v>
      </c>
      <c r="H1777" s="31">
        <v>18</v>
      </c>
      <c r="I1777" s="29">
        <f>IFERROR(IF(T_PROD[[#This Row],[PREVISTO]]-T_PROD[[#This Row],[EFETIVO]]&lt; 0,0,T_PROD[[#This Row],[PREVISTO]]-T_PROD[[#This Row],[EFETIVO]] ),"")</f>
        <v>0</v>
      </c>
      <c r="J1777" s="32">
        <f>IFERROR(IF(T_PROD[[#This Row],[META]]&gt;0,(T_PROD[[#This Row],[META]]/T_PROD[[#This Row],[PREVISTO]]),""),"")</f>
        <v>22</v>
      </c>
      <c r="K1777" s="32">
        <f>IFERROR(IF(T_PROD[[#This Row],[PRODUÇÃO]]&gt;0,(T_PROD[[#This Row],[PRODUÇÃO]]/T_PROD[[#This Row],[EFETIVO]]),""),"")</f>
        <v>18.055555555555557</v>
      </c>
    </row>
    <row r="1778" spans="1:11" x14ac:dyDescent="0.3">
      <c r="A1778" s="28">
        <v>46315</v>
      </c>
      <c r="B1778" s="29" t="str">
        <f t="shared" si="196"/>
        <v>OUTUBRO</v>
      </c>
      <c r="C1778" s="12" t="s">
        <v>18</v>
      </c>
      <c r="D1778" s="12" t="s">
        <v>12</v>
      </c>
      <c r="E1778" s="30"/>
      <c r="F1778" s="30"/>
      <c r="G1778" s="29"/>
      <c r="H1778" s="31"/>
      <c r="I1778" s="29">
        <f>IFERROR(IF(T_PROD[[#This Row],[PREVISTO]]-T_PROD[[#This Row],[EFETIVO]]&lt; 0,0,T_PROD[[#This Row],[PREVISTO]]-T_PROD[[#This Row],[EFETIVO]] ),"")</f>
        <v>0</v>
      </c>
      <c r="J1778" s="32" t="str">
        <f>IFERROR(IF(T_PROD[[#This Row],[META]]&gt;0,(T_PROD[[#This Row],[META]]/T_PROD[[#This Row],[PREVISTO]]),""),"")</f>
        <v/>
      </c>
      <c r="K1778" s="32" t="str">
        <f>IFERROR(IF(T_PROD[[#This Row],[PRODUÇÃO]]&gt;0,(T_PROD[[#This Row],[PRODUÇÃO]]/T_PROD[[#This Row],[EFETIVO]]),""),"")</f>
        <v/>
      </c>
    </row>
    <row r="1779" spans="1:11" x14ac:dyDescent="0.3">
      <c r="A1779" s="28">
        <v>46315</v>
      </c>
      <c r="B1779" s="29" t="str">
        <f t="shared" si="196"/>
        <v>OUTUBRO</v>
      </c>
      <c r="C1779" s="12" t="s">
        <v>19</v>
      </c>
      <c r="D1779" s="12" t="s">
        <v>12</v>
      </c>
      <c r="E1779" s="30"/>
      <c r="F1779" s="30"/>
      <c r="G1779" s="29"/>
      <c r="H1779" s="31"/>
      <c r="I1779" s="29">
        <f>IFERROR(IF(T_PROD[[#This Row],[PREVISTO]]-T_PROD[[#This Row],[EFETIVO]]&lt; 0,0,T_PROD[[#This Row],[PREVISTO]]-T_PROD[[#This Row],[EFETIVO]] ),"")</f>
        <v>0</v>
      </c>
      <c r="J1779" s="32" t="str">
        <f>IFERROR(IF(T_PROD[[#This Row],[META]]&gt;0,(T_PROD[[#This Row],[META]]/T_PROD[[#This Row],[PREVISTO]]),""),"")</f>
        <v/>
      </c>
      <c r="K1779" s="32" t="str">
        <f>IFERROR(IF(T_PROD[[#This Row],[PRODUÇÃO]]&gt;0,(T_PROD[[#This Row],[PRODUÇÃO]]/T_PROD[[#This Row],[EFETIVO]]),""),"")</f>
        <v/>
      </c>
    </row>
    <row r="1780" spans="1:11" x14ac:dyDescent="0.3">
      <c r="A1780" s="28">
        <v>46315</v>
      </c>
      <c r="B1780" s="29" t="str">
        <f t="shared" si="196"/>
        <v>OUTUBRO</v>
      </c>
      <c r="C1780" s="12" t="s">
        <v>20</v>
      </c>
      <c r="D1780" s="12" t="s">
        <v>12</v>
      </c>
      <c r="E1780" s="30">
        <v>777</v>
      </c>
      <c r="F1780" s="30">
        <v>546</v>
      </c>
      <c r="G1780" s="29">
        <v>120</v>
      </c>
      <c r="H1780" s="31">
        <v>120</v>
      </c>
      <c r="I1780" s="29">
        <f>IFERROR(IF(T_PROD[[#This Row],[PREVISTO]]-T_PROD[[#This Row],[EFETIVO]]&lt; 0,0,T_PROD[[#This Row],[PREVISTO]]-T_PROD[[#This Row],[EFETIVO]] ),"")</f>
        <v>0</v>
      </c>
      <c r="J1780" s="32">
        <f>IFERROR(IF(T_PROD[[#This Row],[META]]&gt;0,(T_PROD[[#This Row],[META]]/T_PROD[[#This Row],[PREVISTO]]),""),"")</f>
        <v>6.4749999999999996</v>
      </c>
      <c r="K1780" s="32">
        <f>IFERROR(IF(T_PROD[[#This Row],[PRODUÇÃO]]&gt;0,(T_PROD[[#This Row],[PRODUÇÃO]]/T_PROD[[#This Row],[EFETIVO]]),""),"")</f>
        <v>4.55</v>
      </c>
    </row>
    <row r="1781" spans="1:11" x14ac:dyDescent="0.3">
      <c r="A1781" s="28">
        <v>46315</v>
      </c>
      <c r="B1781" s="29" t="str">
        <f t="shared" si="196"/>
        <v>OUTUBRO</v>
      </c>
      <c r="C1781" s="12" t="s">
        <v>11</v>
      </c>
      <c r="D1781" s="12" t="s">
        <v>12</v>
      </c>
      <c r="E1781" s="30">
        <v>800</v>
      </c>
      <c r="F1781" s="30">
        <v>710</v>
      </c>
      <c r="G1781" s="29">
        <v>40</v>
      </c>
      <c r="H1781" s="31">
        <v>40</v>
      </c>
      <c r="I1781" s="29">
        <f>IFERROR(IF(T_PROD[[#This Row],[PREVISTO]]-T_PROD[[#This Row],[EFETIVO]]&lt; 0,0,T_PROD[[#This Row],[PREVISTO]]-T_PROD[[#This Row],[EFETIVO]] ),"")</f>
        <v>0</v>
      </c>
      <c r="J1781" s="32">
        <f>IFERROR(IF(T_PROD[[#This Row],[META]]&gt;0,(T_PROD[[#This Row],[META]]/T_PROD[[#This Row],[PREVISTO]]),""),"")</f>
        <v>20</v>
      </c>
      <c r="K1781" s="32">
        <f>IFERROR(IF(T_PROD[[#This Row],[PRODUÇÃO]]&gt;0,(T_PROD[[#This Row],[PRODUÇÃO]]/T_PROD[[#This Row],[EFETIVO]]),""),"")</f>
        <v>17.75</v>
      </c>
    </row>
    <row r="1782" spans="1:11" x14ac:dyDescent="0.3">
      <c r="A1782" s="28">
        <v>46315</v>
      </c>
      <c r="B1782" s="29" t="str">
        <f t="shared" si="196"/>
        <v>OUTUBRO</v>
      </c>
      <c r="C1782" s="12" t="s">
        <v>32</v>
      </c>
      <c r="D1782" s="12" t="s">
        <v>12</v>
      </c>
      <c r="E1782" s="30">
        <v>150</v>
      </c>
      <c r="F1782" s="30">
        <v>160</v>
      </c>
      <c r="G1782" s="29">
        <v>13</v>
      </c>
      <c r="H1782" s="31">
        <v>13</v>
      </c>
      <c r="I1782" s="29">
        <f>IFERROR(IF(T_PROD[[#This Row],[PREVISTO]]-T_PROD[[#This Row],[EFETIVO]]&lt; 0,0,T_PROD[[#This Row],[PREVISTO]]-T_PROD[[#This Row],[EFETIVO]] ),"")</f>
        <v>0</v>
      </c>
      <c r="J1782" s="32">
        <f>IFERROR(IF(T_PROD[[#This Row],[META]]&gt;0,(T_PROD[[#This Row],[META]]/T_PROD[[#This Row],[PREVISTO]]),""),"")</f>
        <v>11.538461538461538</v>
      </c>
      <c r="K1782" s="32">
        <f>IFERROR(IF(T_PROD[[#This Row],[PRODUÇÃO]]&gt;0,(T_PROD[[#This Row],[PRODUÇÃO]]/T_PROD[[#This Row],[EFETIVO]]),""),"")</f>
        <v>12.307692307692308</v>
      </c>
    </row>
    <row r="1783" spans="1:11" x14ac:dyDescent="0.3">
      <c r="A1783" s="28">
        <v>46315</v>
      </c>
      <c r="B1783" s="29" t="str">
        <f t="shared" si="196"/>
        <v>OUTUBRO</v>
      </c>
      <c r="C1783" s="12" t="s">
        <v>14</v>
      </c>
      <c r="D1783" s="12" t="s">
        <v>12</v>
      </c>
      <c r="E1783" s="30">
        <v>950</v>
      </c>
      <c r="F1783" s="30">
        <v>870</v>
      </c>
      <c r="G1783" s="29">
        <v>100</v>
      </c>
      <c r="H1783" s="31">
        <v>95</v>
      </c>
      <c r="I1783" s="29">
        <f>IFERROR(IF(T_PROD[[#This Row],[PREVISTO]]-T_PROD[[#This Row],[EFETIVO]]&lt; 0,0,T_PROD[[#This Row],[PREVISTO]]-T_PROD[[#This Row],[EFETIVO]] ),"")</f>
        <v>5</v>
      </c>
      <c r="J1783" s="32">
        <f>IFERROR(IF(T_PROD[[#This Row],[META]]&gt;0,(T_PROD[[#This Row],[META]]/T_PROD[[#This Row],[PREVISTO]]),""),"")</f>
        <v>9.5</v>
      </c>
      <c r="K1783" s="32">
        <f>IFERROR(IF(T_PROD[[#This Row],[PRODUÇÃO]]&gt;0,(T_PROD[[#This Row],[PRODUÇÃO]]/T_PROD[[#This Row],[EFETIVO]]),""),"")</f>
        <v>9.1578947368421044</v>
      </c>
    </row>
    <row r="1784" spans="1:11" x14ac:dyDescent="0.3">
      <c r="A1784" s="33">
        <v>46316</v>
      </c>
      <c r="B1784" s="34" t="str">
        <f>UPPER(TEXT(A1784,"MMMM"))</f>
        <v>OUTUBRO</v>
      </c>
      <c r="C1784" s="6" t="s">
        <v>15</v>
      </c>
      <c r="D1784" s="12" t="s">
        <v>12</v>
      </c>
      <c r="E1784" s="30">
        <v>75</v>
      </c>
      <c r="F1784" s="35">
        <v>20</v>
      </c>
      <c r="G1784" s="29">
        <v>5</v>
      </c>
      <c r="H1784" s="31">
        <v>5</v>
      </c>
      <c r="I1784" s="34">
        <f>IFERROR(IF(T_PROD[[#This Row],[PREVISTO]]-T_PROD[[#This Row],[EFETIVO]]&lt; 0,0,T_PROD[[#This Row],[PREVISTO]]-T_PROD[[#This Row],[EFETIVO]] ),"")</f>
        <v>0</v>
      </c>
      <c r="J1784" s="32">
        <f>IFERROR(IF(T_PROD[[#This Row],[META]]&gt;0,(T_PROD[[#This Row],[META]]/T_PROD[[#This Row],[PREVISTO]]),""),"")</f>
        <v>15</v>
      </c>
      <c r="K1784" s="32">
        <f>IFERROR(IF(T_PROD[[#This Row],[PRODUÇÃO]]&gt;0,(T_PROD[[#This Row],[PRODUÇÃO]]/T_PROD[[#This Row],[EFETIVO]]),""),"")</f>
        <v>4</v>
      </c>
    </row>
    <row r="1785" spans="1:11" x14ac:dyDescent="0.3">
      <c r="A1785" s="33">
        <v>46316</v>
      </c>
      <c r="B1785" s="34" t="str">
        <f t="shared" ref="B1785:B1792" si="197">UPPER(TEXT(A1785,"MMMM"))</f>
        <v>OUTUBRO</v>
      </c>
      <c r="C1785" s="12" t="s">
        <v>16</v>
      </c>
      <c r="D1785" s="12" t="s">
        <v>12</v>
      </c>
      <c r="E1785" s="30">
        <v>306</v>
      </c>
      <c r="F1785" s="35">
        <v>330</v>
      </c>
      <c r="G1785" s="29">
        <v>9</v>
      </c>
      <c r="H1785" s="31">
        <v>9</v>
      </c>
      <c r="I1785" s="34">
        <f>IFERROR(IF(T_PROD[[#This Row],[PREVISTO]]-T_PROD[[#This Row],[EFETIVO]]&lt; 0,0,T_PROD[[#This Row],[PREVISTO]]-T_PROD[[#This Row],[EFETIVO]] ),"")</f>
        <v>0</v>
      </c>
      <c r="J1785" s="32">
        <f>IFERROR(IF(T_PROD[[#This Row],[META]]&gt;0,(T_PROD[[#This Row],[META]]/T_PROD[[#This Row],[PREVISTO]]),""),"")</f>
        <v>34</v>
      </c>
      <c r="K1785" s="32">
        <f>IFERROR(IF(T_PROD[[#This Row],[PRODUÇÃO]]&gt;0,(T_PROD[[#This Row],[PRODUÇÃO]]/T_PROD[[#This Row],[EFETIVO]]),""),"")</f>
        <v>36.666666666666664</v>
      </c>
    </row>
    <row r="1786" spans="1:11" x14ac:dyDescent="0.3">
      <c r="A1786" s="33">
        <v>46316</v>
      </c>
      <c r="B1786" s="34" t="str">
        <f t="shared" si="197"/>
        <v>OUTUBRO</v>
      </c>
      <c r="C1786" s="12" t="s">
        <v>17</v>
      </c>
      <c r="D1786" s="12" t="s">
        <v>12</v>
      </c>
      <c r="E1786" s="30">
        <v>396</v>
      </c>
      <c r="F1786" s="35">
        <v>109</v>
      </c>
      <c r="G1786" s="29">
        <v>18</v>
      </c>
      <c r="H1786" s="31">
        <v>18</v>
      </c>
      <c r="I1786" s="34">
        <f>IFERROR(IF(T_PROD[[#This Row],[PREVISTO]]-T_PROD[[#This Row],[EFETIVO]]&lt; 0,0,T_PROD[[#This Row],[PREVISTO]]-T_PROD[[#This Row],[EFETIVO]] ),"")</f>
        <v>0</v>
      </c>
      <c r="J1786" s="32">
        <f>IFERROR(IF(T_PROD[[#This Row],[META]]&gt;0,(T_PROD[[#This Row],[META]]/T_PROD[[#This Row],[PREVISTO]]),""),"")</f>
        <v>22</v>
      </c>
      <c r="K1786" s="32">
        <f>IFERROR(IF(T_PROD[[#This Row],[PRODUÇÃO]]&gt;0,(T_PROD[[#This Row],[PRODUÇÃO]]/T_PROD[[#This Row],[EFETIVO]]),""),"")</f>
        <v>6.0555555555555554</v>
      </c>
    </row>
    <row r="1787" spans="1:11" x14ac:dyDescent="0.3">
      <c r="A1787" s="33">
        <v>46316</v>
      </c>
      <c r="B1787" s="34" t="str">
        <f t="shared" si="197"/>
        <v>OUTUBRO</v>
      </c>
      <c r="C1787" s="12" t="s">
        <v>18</v>
      </c>
      <c r="D1787" s="12" t="s">
        <v>12</v>
      </c>
      <c r="E1787" s="35"/>
      <c r="F1787" s="35"/>
      <c r="G1787" s="34"/>
      <c r="H1787" s="36"/>
      <c r="I1787" s="34">
        <f>IFERROR(IF(T_PROD[[#This Row],[PREVISTO]]-T_PROD[[#This Row],[EFETIVO]]&lt; 0,0,T_PROD[[#This Row],[PREVISTO]]-T_PROD[[#This Row],[EFETIVO]] ),"")</f>
        <v>0</v>
      </c>
      <c r="J1787" s="32" t="str">
        <f>IFERROR(IF(T_PROD[[#This Row],[META]]&gt;0,(T_PROD[[#This Row],[META]]/T_PROD[[#This Row],[PREVISTO]]),""),"")</f>
        <v/>
      </c>
      <c r="K1787" s="32" t="str">
        <f>IFERROR(IF(T_PROD[[#This Row],[PRODUÇÃO]]&gt;0,(T_PROD[[#This Row],[PRODUÇÃO]]/T_PROD[[#This Row],[EFETIVO]]),""),"")</f>
        <v/>
      </c>
    </row>
    <row r="1788" spans="1:11" x14ac:dyDescent="0.3">
      <c r="A1788" s="33">
        <v>46316</v>
      </c>
      <c r="B1788" s="34" t="str">
        <f t="shared" si="197"/>
        <v>OUTUBRO</v>
      </c>
      <c r="C1788" s="12" t="s">
        <v>19</v>
      </c>
      <c r="D1788" s="12" t="s">
        <v>12</v>
      </c>
      <c r="E1788" s="35"/>
      <c r="F1788" s="35"/>
      <c r="G1788" s="34"/>
      <c r="H1788" s="36"/>
      <c r="I1788" s="34">
        <f>IFERROR(IF(T_PROD[[#This Row],[PREVISTO]]-T_PROD[[#This Row],[EFETIVO]]&lt; 0,0,T_PROD[[#This Row],[PREVISTO]]-T_PROD[[#This Row],[EFETIVO]] ),"")</f>
        <v>0</v>
      </c>
      <c r="J1788" s="32" t="str">
        <f>IFERROR(IF(T_PROD[[#This Row],[META]]&gt;0,(T_PROD[[#This Row],[META]]/T_PROD[[#This Row],[PREVISTO]]),""),"")</f>
        <v/>
      </c>
      <c r="K1788" s="32" t="str">
        <f>IFERROR(IF(T_PROD[[#This Row],[PRODUÇÃO]]&gt;0,(T_PROD[[#This Row],[PRODUÇÃO]]/T_PROD[[#This Row],[EFETIVO]]),""),"")</f>
        <v/>
      </c>
    </row>
    <row r="1789" spans="1:11" x14ac:dyDescent="0.3">
      <c r="A1789" s="33">
        <v>46316</v>
      </c>
      <c r="B1789" s="34" t="str">
        <f t="shared" si="197"/>
        <v>OUTUBRO</v>
      </c>
      <c r="C1789" s="12" t="s">
        <v>20</v>
      </c>
      <c r="D1789" s="12" t="s">
        <v>12</v>
      </c>
      <c r="E1789" s="35">
        <v>777</v>
      </c>
      <c r="F1789" s="35">
        <v>459</v>
      </c>
      <c r="G1789" s="34">
        <v>120</v>
      </c>
      <c r="H1789" s="36">
        <v>120</v>
      </c>
      <c r="I1789" s="34">
        <f>IFERROR(IF(T_PROD[[#This Row],[PREVISTO]]-T_PROD[[#This Row],[EFETIVO]]&lt; 0,0,T_PROD[[#This Row],[PREVISTO]]-T_PROD[[#This Row],[EFETIVO]] ),"")</f>
        <v>0</v>
      </c>
      <c r="J1789" s="32">
        <f>IFERROR(IF(T_PROD[[#This Row],[META]]&gt;0,(T_PROD[[#This Row],[META]]/T_PROD[[#This Row],[PREVISTO]]),""),"")</f>
        <v>6.4749999999999996</v>
      </c>
      <c r="K1789" s="32">
        <f>IFERROR(IF(T_PROD[[#This Row],[PRODUÇÃO]]&gt;0,(T_PROD[[#This Row],[PRODUÇÃO]]/T_PROD[[#This Row],[EFETIVO]]),""),"")</f>
        <v>3.8250000000000002</v>
      </c>
    </row>
    <row r="1790" spans="1:11" x14ac:dyDescent="0.3">
      <c r="A1790" s="33">
        <v>46316</v>
      </c>
      <c r="B1790" s="34" t="str">
        <f t="shared" si="197"/>
        <v>OUTUBRO</v>
      </c>
      <c r="C1790" s="12" t="s">
        <v>11</v>
      </c>
      <c r="D1790" s="12" t="s">
        <v>12</v>
      </c>
      <c r="E1790" s="35">
        <v>480</v>
      </c>
      <c r="F1790" s="35">
        <v>483</v>
      </c>
      <c r="G1790" s="34">
        <v>24</v>
      </c>
      <c r="H1790" s="36">
        <v>24</v>
      </c>
      <c r="I1790" s="34">
        <f>IFERROR(IF(T_PROD[[#This Row],[PREVISTO]]-T_PROD[[#This Row],[EFETIVO]]&lt; 0,0,T_PROD[[#This Row],[PREVISTO]]-T_PROD[[#This Row],[EFETIVO]] ),"")</f>
        <v>0</v>
      </c>
      <c r="J1790" s="32">
        <f>IFERROR(IF(T_PROD[[#This Row],[META]]&gt;0,(T_PROD[[#This Row],[META]]/T_PROD[[#This Row],[PREVISTO]]),""),"")</f>
        <v>20</v>
      </c>
      <c r="K1790" s="32">
        <f>IFERROR(IF(T_PROD[[#This Row],[PRODUÇÃO]]&gt;0,(T_PROD[[#This Row],[PRODUÇÃO]]/T_PROD[[#This Row],[EFETIVO]]),""),"")</f>
        <v>20.125</v>
      </c>
    </row>
    <row r="1791" spans="1:11" x14ac:dyDescent="0.3">
      <c r="A1791" s="33">
        <v>46316</v>
      </c>
      <c r="B1791" s="34" t="str">
        <f t="shared" si="197"/>
        <v>OUTUBRO</v>
      </c>
      <c r="C1791" s="12" t="s">
        <v>32</v>
      </c>
      <c r="D1791" s="12" t="s">
        <v>12</v>
      </c>
      <c r="E1791" s="35">
        <v>150</v>
      </c>
      <c r="F1791" s="35">
        <v>163</v>
      </c>
      <c r="G1791" s="34">
        <v>14</v>
      </c>
      <c r="H1791" s="36">
        <v>14</v>
      </c>
      <c r="I1791" s="34">
        <f>IFERROR(IF(T_PROD[[#This Row],[PREVISTO]]-T_PROD[[#This Row],[EFETIVO]]&lt; 0,0,T_PROD[[#This Row],[PREVISTO]]-T_PROD[[#This Row],[EFETIVO]] ),"")</f>
        <v>0</v>
      </c>
      <c r="J1791" s="32">
        <f>IFERROR(IF(T_PROD[[#This Row],[META]]&gt;0,(T_PROD[[#This Row],[META]]/T_PROD[[#This Row],[PREVISTO]]),""),"")</f>
        <v>10.714285714285714</v>
      </c>
      <c r="K1791" s="32">
        <f>IFERROR(IF(T_PROD[[#This Row],[PRODUÇÃO]]&gt;0,(T_PROD[[#This Row],[PRODUÇÃO]]/T_PROD[[#This Row],[EFETIVO]]),""),"")</f>
        <v>11.642857142857142</v>
      </c>
    </row>
    <row r="1792" spans="1:11" x14ac:dyDescent="0.3">
      <c r="A1792" s="33">
        <v>46316</v>
      </c>
      <c r="B1792" s="34" t="str">
        <f t="shared" si="197"/>
        <v>OUTUBRO</v>
      </c>
      <c r="C1792" s="12" t="s">
        <v>14</v>
      </c>
      <c r="D1792" s="12" t="s">
        <v>12</v>
      </c>
      <c r="E1792" s="35">
        <v>630</v>
      </c>
      <c r="F1792" s="35">
        <v>646</v>
      </c>
      <c r="G1792" s="34">
        <v>100</v>
      </c>
      <c r="H1792" s="36">
        <v>92</v>
      </c>
      <c r="I1792" s="34">
        <f>IFERROR(IF(T_PROD[[#This Row],[PREVISTO]]-T_PROD[[#This Row],[EFETIVO]]&lt; 0,0,T_PROD[[#This Row],[PREVISTO]]-T_PROD[[#This Row],[EFETIVO]] ),"")</f>
        <v>8</v>
      </c>
      <c r="J1792" s="32">
        <f>IFERROR(IF(T_PROD[[#This Row],[META]]&gt;0,(T_PROD[[#This Row],[META]]/T_PROD[[#This Row],[PREVISTO]]),""),"")</f>
        <v>6.3</v>
      </c>
      <c r="K1792" s="32">
        <f>IFERROR(IF(T_PROD[[#This Row],[PRODUÇÃO]]&gt;0,(T_PROD[[#This Row],[PRODUÇÃO]]/T_PROD[[#This Row],[EFETIVO]]),""),"")</f>
        <v>7.0217391304347823</v>
      </c>
    </row>
    <row r="1793" spans="1:11" x14ac:dyDescent="0.3">
      <c r="A1793" s="7"/>
      <c r="B1793" s="6"/>
      <c r="C1793" s="6"/>
      <c r="D1793" s="6"/>
      <c r="E1793" s="8"/>
      <c r="F1793" s="8"/>
      <c r="G1793" s="6"/>
      <c r="H1793" s="9"/>
      <c r="I1793" s="6"/>
      <c r="J1793" s="10"/>
      <c r="K1793" s="10"/>
    </row>
    <row r="1794" spans="1:11" x14ac:dyDescent="0.3">
      <c r="A1794" s="7"/>
      <c r="B1794" s="6"/>
      <c r="C1794" s="6"/>
      <c r="D1794" s="6"/>
      <c r="E1794" s="8"/>
      <c r="F1794" s="8"/>
      <c r="G1794" s="6"/>
      <c r="H1794" s="9"/>
      <c r="I1794" s="6"/>
      <c r="J1794" s="10"/>
      <c r="K1794" s="10"/>
    </row>
    <row r="1795" spans="1:11" x14ac:dyDescent="0.3">
      <c r="A1795" s="7"/>
      <c r="B1795" s="6"/>
      <c r="C1795" s="6"/>
      <c r="D1795" s="6"/>
      <c r="E1795" s="8"/>
      <c r="F1795" s="8"/>
      <c r="G1795" s="6"/>
      <c r="H1795" s="9"/>
      <c r="I1795" s="6"/>
      <c r="J1795" s="10"/>
      <c r="K1795" s="10"/>
    </row>
    <row r="1796" spans="1:11" x14ac:dyDescent="0.3">
      <c r="A1796" s="7"/>
      <c r="B1796" s="6"/>
      <c r="C1796" s="6"/>
      <c r="D1796" s="6"/>
      <c r="E1796" s="8"/>
      <c r="F1796" s="8"/>
      <c r="G1796" s="6"/>
      <c r="H1796" s="9"/>
      <c r="I1796" s="6"/>
      <c r="J1796" s="10"/>
      <c r="K1796" s="10"/>
    </row>
    <row r="1797" spans="1:11" x14ac:dyDescent="0.3">
      <c r="A1797" s="7"/>
      <c r="B1797" s="6"/>
      <c r="C1797" s="6"/>
      <c r="D1797" s="6"/>
      <c r="E1797" s="8"/>
      <c r="F1797" s="8"/>
      <c r="G1797" s="6"/>
      <c r="H1797" s="9"/>
      <c r="I1797" s="6"/>
      <c r="J1797" s="10"/>
      <c r="K1797" s="10"/>
    </row>
    <row r="1798" spans="1:11" x14ac:dyDescent="0.3">
      <c r="A1798" s="7"/>
      <c r="B1798" s="6"/>
      <c r="C1798" s="6"/>
      <c r="D1798" s="6"/>
      <c r="E1798" s="8"/>
      <c r="F1798" s="8"/>
      <c r="G1798" s="6"/>
      <c r="H1798" s="9"/>
      <c r="I1798" s="6"/>
      <c r="J1798" s="10"/>
      <c r="K1798" s="10"/>
    </row>
    <row r="1799" spans="1:11" x14ac:dyDescent="0.3">
      <c r="A1799" s="7"/>
      <c r="B1799" s="6"/>
      <c r="C1799" s="6"/>
      <c r="D1799" s="6"/>
      <c r="E1799" s="8"/>
      <c r="F1799" s="8"/>
      <c r="G1799" s="6"/>
      <c r="H1799" s="9"/>
      <c r="I1799" s="6"/>
      <c r="J1799" s="10"/>
      <c r="K1799" s="10"/>
    </row>
    <row r="1800" spans="1:11" x14ac:dyDescent="0.3">
      <c r="A1800" s="7"/>
      <c r="B1800" s="6"/>
      <c r="C1800" s="6"/>
      <c r="D1800" s="6"/>
      <c r="E1800" s="8"/>
      <c r="F1800" s="8"/>
      <c r="G1800" s="6"/>
      <c r="H1800" s="9"/>
      <c r="I1800" s="6"/>
      <c r="J1800" s="10"/>
      <c r="K1800" s="10"/>
    </row>
    <row r="1801" spans="1:11" x14ac:dyDescent="0.3">
      <c r="A1801" s="7"/>
      <c r="B1801" s="6"/>
      <c r="C1801" s="6"/>
      <c r="D1801" s="6"/>
      <c r="E1801" s="8"/>
      <c r="F1801" s="8"/>
      <c r="G1801" s="6"/>
      <c r="H1801" s="9"/>
      <c r="I1801" s="6"/>
      <c r="J1801" s="10"/>
      <c r="K1801" s="10"/>
    </row>
    <row r="1802" spans="1:11" x14ac:dyDescent="0.3">
      <c r="A1802" s="7"/>
      <c r="B1802" s="6"/>
      <c r="C1802" s="6"/>
      <c r="D1802" s="6"/>
      <c r="E1802" s="8"/>
      <c r="F1802" s="8"/>
      <c r="G1802" s="6"/>
      <c r="H1802" s="9"/>
      <c r="I1802" s="6"/>
      <c r="J1802" s="10"/>
      <c r="K1802" s="10"/>
    </row>
    <row r="1803" spans="1:11" x14ac:dyDescent="0.3">
      <c r="A1803" s="7"/>
      <c r="B1803" s="6"/>
      <c r="C1803" s="6"/>
      <c r="D1803" s="6"/>
      <c r="E1803" s="8"/>
      <c r="F1803" s="8"/>
      <c r="G1803" s="6"/>
      <c r="H1803" s="9"/>
      <c r="I1803" s="6"/>
      <c r="J1803" s="10"/>
      <c r="K1803" s="10"/>
    </row>
    <row r="1804" spans="1:11" x14ac:dyDescent="0.3">
      <c r="A1804" s="7"/>
      <c r="B1804" s="6"/>
      <c r="C1804" s="6"/>
      <c r="D1804" s="6"/>
      <c r="E1804" s="8"/>
      <c r="F1804" s="8"/>
      <c r="G1804" s="6"/>
      <c r="H1804" s="9"/>
      <c r="I1804" s="6"/>
      <c r="J1804" s="10"/>
      <c r="K1804" s="10"/>
    </row>
    <row r="1805" spans="1:11" x14ac:dyDescent="0.3">
      <c r="A1805" s="7"/>
      <c r="B1805" s="6"/>
      <c r="C1805" s="6"/>
      <c r="D1805" s="6"/>
      <c r="E1805" s="8"/>
      <c r="F1805" s="8"/>
      <c r="G1805" s="6"/>
      <c r="H1805" s="9"/>
      <c r="I1805" s="6"/>
      <c r="J1805" s="10"/>
      <c r="K1805" s="10"/>
    </row>
    <row r="1806" spans="1:11" x14ac:dyDescent="0.3">
      <c r="A1806" s="7"/>
      <c r="B1806" s="6"/>
      <c r="C1806" s="6"/>
      <c r="D1806" s="6"/>
      <c r="E1806" s="8"/>
      <c r="F1806" s="8"/>
      <c r="G1806" s="6"/>
      <c r="H1806" s="9"/>
      <c r="I1806" s="6"/>
      <c r="J1806" s="10"/>
      <c r="K1806" s="10"/>
    </row>
    <row r="1807" spans="1:11" x14ac:dyDescent="0.3">
      <c r="A1807" s="7"/>
      <c r="B1807" s="6"/>
      <c r="C1807" s="6"/>
      <c r="D1807" s="6"/>
      <c r="E1807" s="8"/>
      <c r="F1807" s="8"/>
      <c r="G1807" s="6"/>
      <c r="H1807" s="9"/>
      <c r="I1807" s="6"/>
      <c r="J1807" s="10"/>
      <c r="K1807" s="10"/>
    </row>
    <row r="1808" spans="1:11" x14ac:dyDescent="0.3">
      <c r="A1808" s="7"/>
      <c r="B1808" s="6"/>
      <c r="C1808" s="6"/>
      <c r="D1808" s="6"/>
      <c r="E1808" s="8"/>
      <c r="F1808" s="8"/>
      <c r="G1808" s="6"/>
      <c r="H1808" s="9"/>
      <c r="I1808" s="6"/>
      <c r="J1808" s="10"/>
      <c r="K1808" s="10"/>
    </row>
    <row r="1809" spans="1:11" x14ac:dyDescent="0.3">
      <c r="A1809" s="7"/>
      <c r="B1809" s="6"/>
      <c r="C1809" s="6"/>
      <c r="D1809" s="6"/>
      <c r="E1809" s="8"/>
      <c r="F1809" s="8"/>
      <c r="G1809" s="6"/>
      <c r="H1809" s="9"/>
      <c r="I1809" s="6"/>
      <c r="J1809" s="10"/>
      <c r="K1809" s="10"/>
    </row>
    <row r="1810" spans="1:11" x14ac:dyDescent="0.3">
      <c r="A1810" s="7"/>
      <c r="B1810" s="6"/>
      <c r="C1810" s="6"/>
      <c r="D1810" s="6"/>
      <c r="E1810" s="8"/>
      <c r="F1810" s="8"/>
      <c r="G1810" s="6"/>
      <c r="H1810" s="9"/>
      <c r="I1810" s="6"/>
      <c r="J1810" s="10"/>
      <c r="K1810" s="10"/>
    </row>
    <row r="1811" spans="1:11" x14ac:dyDescent="0.3">
      <c r="A1811" s="7"/>
      <c r="B1811" s="6"/>
      <c r="C1811" s="6"/>
      <c r="D1811" s="6"/>
      <c r="E1811" s="8"/>
      <c r="F1811" s="8"/>
      <c r="G1811" s="6"/>
      <c r="H1811" s="9"/>
      <c r="I1811" s="6"/>
      <c r="J1811" s="10"/>
      <c r="K1811" s="10"/>
    </row>
    <row r="1812" spans="1:11" x14ac:dyDescent="0.3">
      <c r="A1812" s="7"/>
      <c r="B1812" s="6"/>
      <c r="C1812" s="6"/>
      <c r="D1812" s="6"/>
      <c r="E1812" s="8"/>
      <c r="F1812" s="8"/>
      <c r="G1812" s="6"/>
      <c r="H1812" s="9"/>
      <c r="I1812" s="6"/>
      <c r="J1812" s="10"/>
      <c r="K1812" s="10"/>
    </row>
    <row r="1813" spans="1:11" x14ac:dyDescent="0.3">
      <c r="A1813" s="7"/>
      <c r="B1813" s="6"/>
      <c r="C1813" s="6"/>
      <c r="D1813" s="6"/>
      <c r="E1813" s="8"/>
      <c r="F1813" s="8"/>
      <c r="G1813" s="6"/>
      <c r="H1813" s="9"/>
      <c r="I1813" s="6"/>
      <c r="J1813" s="10"/>
      <c r="K1813" s="10"/>
    </row>
    <row r="1814" spans="1:11" x14ac:dyDescent="0.3">
      <c r="A1814" s="7"/>
      <c r="B1814" s="6"/>
      <c r="C1814" s="6"/>
      <c r="D1814" s="6"/>
      <c r="E1814" s="8"/>
      <c r="F1814" s="8"/>
      <c r="G1814" s="6"/>
      <c r="H1814" s="9"/>
      <c r="I1814" s="6"/>
      <c r="J1814" s="10"/>
      <c r="K1814" s="10"/>
    </row>
    <row r="1815" spans="1:11" x14ac:dyDescent="0.3">
      <c r="A1815" s="7"/>
      <c r="B1815" s="6"/>
      <c r="C1815" s="6"/>
      <c r="D1815" s="6"/>
      <c r="E1815" s="8"/>
      <c r="F1815" s="8"/>
      <c r="G1815" s="6"/>
      <c r="H1815" s="9"/>
      <c r="I1815" s="6"/>
      <c r="J1815" s="10"/>
      <c r="K1815" s="10"/>
    </row>
    <row r="1816" spans="1:11" x14ac:dyDescent="0.3">
      <c r="A1816" s="7"/>
      <c r="B1816" s="6"/>
      <c r="C1816" s="6"/>
      <c r="D1816" s="6"/>
      <c r="E1816" s="8"/>
      <c r="F1816" s="8"/>
      <c r="G1816" s="6"/>
      <c r="H1816" s="9"/>
      <c r="I1816" s="6"/>
      <c r="J1816" s="10"/>
      <c r="K1816" s="10"/>
    </row>
    <row r="1817" spans="1:11" x14ac:dyDescent="0.3">
      <c r="A1817" s="7"/>
      <c r="B1817" s="6"/>
      <c r="C1817" s="6"/>
      <c r="D1817" s="6"/>
      <c r="E1817" s="8"/>
      <c r="F1817" s="8"/>
      <c r="G1817" s="6"/>
      <c r="H1817" s="9"/>
      <c r="I1817" s="6"/>
      <c r="J1817" s="10"/>
      <c r="K1817" s="10"/>
    </row>
    <row r="1818" spans="1:11" x14ac:dyDescent="0.3">
      <c r="A1818" s="7"/>
      <c r="B1818" s="6"/>
      <c r="C1818" s="6"/>
      <c r="D1818" s="6"/>
      <c r="E1818" s="8"/>
      <c r="F1818" s="8"/>
      <c r="G1818" s="6"/>
      <c r="H1818" s="9"/>
      <c r="I1818" s="6"/>
      <c r="J1818" s="10"/>
      <c r="K1818" s="10"/>
    </row>
    <row r="1819" spans="1:11" x14ac:dyDescent="0.3">
      <c r="A1819" s="7"/>
      <c r="B1819" s="6"/>
      <c r="C1819" s="6"/>
      <c r="D1819" s="6"/>
      <c r="E1819" s="8"/>
      <c r="F1819" s="8"/>
      <c r="G1819" s="6"/>
      <c r="H1819" s="9"/>
      <c r="I1819" s="6"/>
      <c r="J1819" s="10"/>
      <c r="K1819" s="10"/>
    </row>
    <row r="1820" spans="1:11" x14ac:dyDescent="0.3">
      <c r="A1820" s="7"/>
      <c r="B1820" s="6"/>
      <c r="C1820" s="6"/>
      <c r="D1820" s="6"/>
      <c r="E1820" s="8"/>
      <c r="F1820" s="8"/>
      <c r="G1820" s="6"/>
      <c r="H1820" s="9"/>
      <c r="I1820" s="6"/>
      <c r="J1820" s="10"/>
      <c r="K1820" s="10"/>
    </row>
    <row r="1821" spans="1:11" x14ac:dyDescent="0.3">
      <c r="A1821" s="7"/>
      <c r="B1821" s="6"/>
      <c r="C1821" s="6"/>
      <c r="D1821" s="6"/>
      <c r="E1821" s="8"/>
      <c r="F1821" s="8"/>
      <c r="G1821" s="6"/>
      <c r="H1821" s="9"/>
      <c r="I1821" s="6"/>
      <c r="J1821" s="10"/>
      <c r="K1821" s="10"/>
    </row>
    <row r="1822" spans="1:11" x14ac:dyDescent="0.3">
      <c r="A1822" s="7"/>
      <c r="B1822" s="6"/>
      <c r="C1822" s="6"/>
      <c r="D1822" s="6"/>
      <c r="E1822" s="8"/>
      <c r="F1822" s="8"/>
      <c r="G1822" s="6"/>
      <c r="H1822" s="9"/>
      <c r="I1822" s="6"/>
      <c r="J1822" s="10"/>
      <c r="K1822" s="10"/>
    </row>
    <row r="1823" spans="1:11" x14ac:dyDescent="0.3">
      <c r="A1823" s="7"/>
      <c r="B1823" s="6"/>
      <c r="C1823" s="6"/>
      <c r="D1823" s="6"/>
      <c r="E1823" s="8"/>
      <c r="F1823" s="8"/>
      <c r="G1823" s="6"/>
      <c r="H1823" s="9"/>
      <c r="I1823" s="6"/>
      <c r="J1823" s="10"/>
      <c r="K1823" s="10"/>
    </row>
    <row r="1824" spans="1:11" x14ac:dyDescent="0.3">
      <c r="A1824" s="7"/>
      <c r="B1824" s="6"/>
      <c r="C1824" s="6"/>
      <c r="D1824" s="6"/>
      <c r="E1824" s="8"/>
      <c r="F1824" s="8"/>
      <c r="G1824" s="6"/>
      <c r="H1824" s="9"/>
      <c r="I1824" s="6"/>
      <c r="J1824" s="10"/>
      <c r="K1824" s="10"/>
    </row>
    <row r="1825" spans="1:11" x14ac:dyDescent="0.3">
      <c r="A1825" s="7"/>
      <c r="B1825" s="6"/>
      <c r="C1825" s="6"/>
      <c r="D1825" s="6"/>
      <c r="E1825" s="8"/>
      <c r="F1825" s="8"/>
      <c r="G1825" s="6"/>
      <c r="H1825" s="9"/>
      <c r="I1825" s="6"/>
      <c r="J1825" s="10"/>
      <c r="K1825" s="10"/>
    </row>
    <row r="1826" spans="1:11" x14ac:dyDescent="0.3">
      <c r="A1826" s="7"/>
      <c r="B1826" s="6"/>
      <c r="C1826" s="6"/>
      <c r="D1826" s="6"/>
      <c r="E1826" s="8"/>
      <c r="F1826" s="8"/>
      <c r="G1826" s="6"/>
      <c r="H1826" s="9"/>
      <c r="I1826" s="6"/>
      <c r="J1826" s="10"/>
      <c r="K1826" s="10"/>
    </row>
    <row r="1827" spans="1:11" x14ac:dyDescent="0.3">
      <c r="A1827" s="7"/>
      <c r="B1827" s="6"/>
      <c r="C1827" s="6"/>
      <c r="D1827" s="6"/>
      <c r="E1827" s="8"/>
      <c r="F1827" s="8"/>
      <c r="G1827" s="6"/>
      <c r="H1827" s="9"/>
      <c r="I1827" s="6"/>
      <c r="J1827" s="10"/>
      <c r="K1827" s="10"/>
    </row>
    <row r="1828" spans="1:11" x14ac:dyDescent="0.3">
      <c r="A1828" s="7"/>
      <c r="B1828" s="6"/>
      <c r="C1828" s="6"/>
      <c r="D1828" s="6"/>
      <c r="E1828" s="8"/>
      <c r="F1828" s="8"/>
      <c r="G1828" s="6"/>
      <c r="H1828" s="9"/>
      <c r="I1828" s="6"/>
      <c r="J1828" s="10"/>
      <c r="K1828" s="10"/>
    </row>
    <row r="1829" spans="1:11" x14ac:dyDescent="0.3">
      <c r="A1829" s="7"/>
      <c r="B1829" s="6"/>
      <c r="C1829" s="6"/>
      <c r="D1829" s="6"/>
      <c r="E1829" s="8"/>
      <c r="F1829" s="8"/>
      <c r="G1829" s="6"/>
      <c r="H1829" s="9"/>
      <c r="I1829" s="6"/>
      <c r="J1829" s="10"/>
      <c r="K1829" s="10"/>
    </row>
    <row r="1830" spans="1:11" x14ac:dyDescent="0.3">
      <c r="A1830" s="7"/>
      <c r="B1830" s="6"/>
      <c r="C1830" s="6"/>
      <c r="D1830" s="6"/>
      <c r="E1830" s="8"/>
      <c r="F1830" s="8"/>
      <c r="G1830" s="6"/>
      <c r="H1830" s="9"/>
      <c r="I1830" s="6"/>
      <c r="J1830" s="10"/>
      <c r="K1830" s="10"/>
    </row>
    <row r="1831" spans="1:11" x14ac:dyDescent="0.3">
      <c r="A1831" s="7"/>
      <c r="B1831" s="6"/>
      <c r="C1831" s="6"/>
      <c r="D1831" s="6"/>
      <c r="E1831" s="8"/>
      <c r="F1831" s="8"/>
      <c r="G1831" s="6"/>
      <c r="H1831" s="9"/>
      <c r="I1831" s="6"/>
      <c r="J1831" s="10"/>
      <c r="K1831" s="10"/>
    </row>
    <row r="1832" spans="1:11" x14ac:dyDescent="0.3">
      <c r="A1832" s="7"/>
      <c r="B1832" s="6"/>
      <c r="C1832" s="6"/>
      <c r="D1832" s="6"/>
      <c r="E1832" s="8"/>
      <c r="F1832" s="8"/>
      <c r="G1832" s="6"/>
      <c r="H1832" s="9"/>
      <c r="I1832" s="6"/>
      <c r="J1832" s="10"/>
      <c r="K1832" s="10"/>
    </row>
    <row r="1833" spans="1:11" x14ac:dyDescent="0.3">
      <c r="A1833" s="7"/>
      <c r="B1833" s="6"/>
      <c r="C1833" s="6"/>
      <c r="D1833" s="6"/>
      <c r="E1833" s="8"/>
      <c r="F1833" s="8"/>
      <c r="G1833" s="6"/>
      <c r="H1833" s="9"/>
      <c r="I1833" s="6"/>
      <c r="J1833" s="10"/>
      <c r="K1833" s="10"/>
    </row>
    <row r="1834" spans="1:11" x14ac:dyDescent="0.3">
      <c r="A1834" s="7"/>
      <c r="B1834" s="6"/>
      <c r="C1834" s="6"/>
      <c r="D1834" s="6"/>
      <c r="E1834" s="8"/>
      <c r="F1834" s="8"/>
      <c r="G1834" s="6"/>
      <c r="H1834" s="9"/>
      <c r="I1834" s="6"/>
      <c r="J1834" s="10"/>
      <c r="K1834" s="10"/>
    </row>
    <row r="1835" spans="1:11" x14ac:dyDescent="0.3">
      <c r="A1835" s="7"/>
      <c r="B1835" s="6"/>
      <c r="C1835" s="6"/>
      <c r="D1835" s="6"/>
      <c r="E1835" s="8"/>
      <c r="F1835" s="8"/>
      <c r="G1835" s="6"/>
      <c r="H1835" s="9"/>
      <c r="I1835" s="6"/>
      <c r="J1835" s="10"/>
      <c r="K1835" s="10"/>
    </row>
    <row r="1836" spans="1:11" x14ac:dyDescent="0.3">
      <c r="A1836" s="7"/>
      <c r="B1836" s="6"/>
      <c r="C1836" s="6"/>
      <c r="D1836" s="6"/>
      <c r="E1836" s="8"/>
      <c r="F1836" s="8"/>
      <c r="G1836" s="6"/>
      <c r="H1836" s="9"/>
      <c r="I1836" s="6"/>
      <c r="J1836" s="10"/>
      <c r="K1836" s="10"/>
    </row>
    <row r="1837" spans="1:11" x14ac:dyDescent="0.3">
      <c r="A1837" s="7"/>
      <c r="B1837" s="6"/>
      <c r="C1837" s="6"/>
      <c r="D1837" s="6"/>
      <c r="E1837" s="8"/>
      <c r="F1837" s="8"/>
      <c r="G1837" s="6"/>
      <c r="H1837" s="9"/>
      <c r="I1837" s="6"/>
      <c r="J1837" s="10"/>
      <c r="K1837" s="10"/>
    </row>
    <row r="1838" spans="1:11" x14ac:dyDescent="0.3">
      <c r="A1838" s="7"/>
      <c r="B1838" s="6"/>
      <c r="C1838" s="6"/>
      <c r="D1838" s="6"/>
      <c r="E1838" s="8"/>
      <c r="F1838" s="8"/>
      <c r="G1838" s="6"/>
      <c r="H1838" s="9"/>
      <c r="I1838" s="6"/>
      <c r="J1838" s="10"/>
      <c r="K1838" s="10"/>
    </row>
    <row r="1839" spans="1:11" x14ac:dyDescent="0.3">
      <c r="A1839" s="7"/>
      <c r="B1839" s="6"/>
      <c r="C1839" s="6"/>
      <c r="D1839" s="6"/>
      <c r="E1839" s="8"/>
      <c r="F1839" s="8"/>
      <c r="G1839" s="6"/>
      <c r="H1839" s="9"/>
      <c r="I1839" s="6"/>
      <c r="J1839" s="10"/>
      <c r="K1839" s="10"/>
    </row>
    <row r="1840" spans="1:11" x14ac:dyDescent="0.3">
      <c r="A1840" s="7"/>
      <c r="B1840" s="6"/>
      <c r="C1840" s="6"/>
      <c r="D1840" s="6"/>
      <c r="E1840" s="8"/>
      <c r="F1840" s="8"/>
      <c r="G1840" s="6"/>
      <c r="H1840" s="9"/>
      <c r="I1840" s="6"/>
      <c r="J1840" s="10"/>
      <c r="K1840" s="10"/>
    </row>
    <row r="1841" spans="1:11" x14ac:dyDescent="0.3">
      <c r="A1841" s="7"/>
      <c r="B1841" s="6"/>
      <c r="C1841" s="6"/>
      <c r="D1841" s="6"/>
      <c r="E1841" s="8"/>
      <c r="F1841" s="8"/>
      <c r="G1841" s="6"/>
      <c r="H1841" s="9"/>
      <c r="I1841" s="6"/>
      <c r="J1841" s="10"/>
      <c r="K1841" s="10"/>
    </row>
    <row r="1842" spans="1:11" x14ac:dyDescent="0.3">
      <c r="A1842" s="7"/>
      <c r="B1842" s="6"/>
      <c r="C1842" s="6"/>
      <c r="D1842" s="6"/>
      <c r="E1842" s="8"/>
      <c r="F1842" s="8"/>
      <c r="G1842" s="6"/>
      <c r="H1842" s="9"/>
      <c r="I1842" s="6"/>
      <c r="J1842" s="10"/>
      <c r="K1842" s="10"/>
    </row>
    <row r="1843" spans="1:11" x14ac:dyDescent="0.3">
      <c r="A1843" s="7"/>
      <c r="B1843" s="6"/>
      <c r="C1843" s="6"/>
      <c r="D1843" s="6"/>
      <c r="E1843" s="8"/>
      <c r="F1843" s="8"/>
      <c r="G1843" s="6"/>
      <c r="H1843" s="9"/>
      <c r="I1843" s="6"/>
      <c r="J1843" s="10"/>
      <c r="K1843" s="10"/>
    </row>
    <row r="1844" spans="1:11" x14ac:dyDescent="0.3">
      <c r="A1844" s="7"/>
      <c r="B1844" s="6"/>
      <c r="C1844" s="6"/>
      <c r="D1844" s="6"/>
      <c r="E1844" s="8"/>
      <c r="F1844" s="8"/>
      <c r="G1844" s="6"/>
      <c r="H1844" s="9"/>
      <c r="I1844" s="6"/>
      <c r="J1844" s="10"/>
      <c r="K1844" s="10"/>
    </row>
    <row r="1845" spans="1:11" x14ac:dyDescent="0.3">
      <c r="A1845" s="7"/>
      <c r="B1845" s="6"/>
      <c r="C1845" s="6"/>
      <c r="D1845" s="6"/>
      <c r="E1845" s="8"/>
      <c r="F1845" s="8"/>
      <c r="G1845" s="6"/>
      <c r="H1845" s="9"/>
      <c r="I1845" s="6"/>
      <c r="J1845" s="10"/>
      <c r="K1845" s="10"/>
    </row>
    <row r="1846" spans="1:11" x14ac:dyDescent="0.3">
      <c r="A1846" s="7"/>
      <c r="B1846" s="6"/>
      <c r="C1846" s="6"/>
      <c r="D1846" s="6"/>
      <c r="E1846" s="8"/>
      <c r="F1846" s="8"/>
      <c r="G1846" s="6"/>
      <c r="H1846" s="9"/>
      <c r="I1846" s="6"/>
      <c r="J1846" s="10"/>
      <c r="K1846" s="10"/>
    </row>
    <row r="1847" spans="1:11" x14ac:dyDescent="0.3">
      <c r="A1847" s="7"/>
      <c r="B1847" s="6"/>
      <c r="C1847" s="6"/>
      <c r="D1847" s="6"/>
      <c r="E1847" s="8"/>
      <c r="F1847" s="8"/>
      <c r="G1847" s="6"/>
      <c r="H1847" s="9"/>
      <c r="I1847" s="6"/>
      <c r="J1847" s="10"/>
      <c r="K1847" s="10"/>
    </row>
    <row r="1848" spans="1:11" x14ac:dyDescent="0.3">
      <c r="A1848" s="7"/>
      <c r="B1848" s="6"/>
      <c r="C1848" s="6"/>
      <c r="D1848" s="6"/>
      <c r="E1848" s="8"/>
      <c r="F1848" s="8"/>
      <c r="G1848" s="6"/>
      <c r="H1848" s="9"/>
      <c r="I1848" s="6"/>
      <c r="J1848" s="10"/>
      <c r="K1848" s="10"/>
    </row>
    <row r="1849" spans="1:11" x14ac:dyDescent="0.3">
      <c r="A1849" s="7"/>
      <c r="B1849" s="6"/>
      <c r="C1849" s="6"/>
      <c r="D1849" s="6"/>
      <c r="E1849" s="8"/>
      <c r="F1849" s="8"/>
      <c r="G1849" s="6"/>
      <c r="H1849" s="9"/>
      <c r="I1849" s="6"/>
      <c r="J1849" s="10"/>
      <c r="K1849" s="10"/>
    </row>
    <row r="1850" spans="1:11" x14ac:dyDescent="0.3">
      <c r="A1850" s="7"/>
      <c r="B1850" s="6"/>
      <c r="C1850" s="6"/>
      <c r="D1850" s="6"/>
      <c r="E1850" s="8"/>
      <c r="F1850" s="8"/>
      <c r="G1850" s="6"/>
      <c r="H1850" s="9"/>
      <c r="I1850" s="6"/>
      <c r="J1850" s="10"/>
      <c r="K1850" s="10"/>
    </row>
    <row r="1851" spans="1:11" x14ac:dyDescent="0.3">
      <c r="A1851" s="7"/>
      <c r="B1851" s="6"/>
      <c r="C1851" s="6"/>
      <c r="D1851" s="6"/>
      <c r="E1851" s="8"/>
      <c r="F1851" s="8"/>
      <c r="G1851" s="6"/>
      <c r="H1851" s="9"/>
      <c r="I1851" s="6"/>
      <c r="J1851" s="10"/>
      <c r="K1851" s="10"/>
    </row>
    <row r="1852" spans="1:11" x14ac:dyDescent="0.3">
      <c r="A1852" s="7"/>
      <c r="B1852" s="6"/>
      <c r="C1852" s="6"/>
      <c r="D1852" s="6"/>
      <c r="E1852" s="8"/>
      <c r="F1852" s="8"/>
      <c r="G1852" s="6"/>
      <c r="H1852" s="9"/>
      <c r="I1852" s="6"/>
      <c r="J1852" s="10"/>
      <c r="K1852" s="10"/>
    </row>
    <row r="1853" spans="1:11" x14ac:dyDescent="0.3">
      <c r="A1853" s="7"/>
      <c r="B1853" s="6"/>
      <c r="C1853" s="6"/>
      <c r="D1853" s="6"/>
      <c r="E1853" s="8"/>
      <c r="F1853" s="8"/>
      <c r="G1853" s="6"/>
      <c r="H1853" s="9"/>
      <c r="I1853" s="6"/>
      <c r="J1853" s="10"/>
      <c r="K1853" s="10"/>
    </row>
    <row r="1854" spans="1:11" x14ac:dyDescent="0.3">
      <c r="A1854" s="7"/>
      <c r="B1854" s="6"/>
      <c r="C1854" s="6"/>
      <c r="D1854" s="6"/>
      <c r="E1854" s="8"/>
      <c r="F1854" s="8"/>
      <c r="G1854" s="6"/>
      <c r="H1854" s="9"/>
      <c r="I1854" s="6"/>
      <c r="J1854" s="10"/>
      <c r="K1854" s="10"/>
    </row>
    <row r="1855" spans="1:11" x14ac:dyDescent="0.3">
      <c r="A1855" s="7"/>
      <c r="B1855" s="6"/>
      <c r="C1855" s="6"/>
      <c r="D1855" s="6"/>
      <c r="E1855" s="8"/>
      <c r="F1855" s="8"/>
      <c r="G1855" s="6"/>
      <c r="H1855" s="9"/>
      <c r="I1855" s="6"/>
      <c r="J1855" s="10"/>
      <c r="K1855" s="10"/>
    </row>
    <row r="1856" spans="1:11" x14ac:dyDescent="0.3">
      <c r="A1856" s="7"/>
      <c r="B1856" s="6"/>
      <c r="C1856" s="6"/>
      <c r="D1856" s="6"/>
      <c r="E1856" s="8"/>
      <c r="F1856" s="8"/>
      <c r="G1856" s="6"/>
      <c r="H1856" s="9"/>
      <c r="I1856" s="6"/>
      <c r="J1856" s="10"/>
      <c r="K1856" s="10"/>
    </row>
    <row r="1857" spans="1:11" x14ac:dyDescent="0.3">
      <c r="A1857" s="7"/>
      <c r="B1857" s="6"/>
      <c r="C1857" s="6"/>
      <c r="D1857" s="6"/>
      <c r="E1857" s="8"/>
      <c r="F1857" s="8"/>
      <c r="G1857" s="6"/>
      <c r="H1857" s="9"/>
      <c r="I1857" s="6"/>
      <c r="J1857" s="10"/>
      <c r="K1857" s="10"/>
    </row>
    <row r="1858" spans="1:11" x14ac:dyDescent="0.3">
      <c r="A1858" s="7"/>
      <c r="B1858" s="6"/>
      <c r="C1858" s="6"/>
      <c r="D1858" s="6"/>
      <c r="E1858" s="8"/>
      <c r="F1858" s="8"/>
      <c r="G1858" s="6"/>
      <c r="H1858" s="9"/>
      <c r="I1858" s="6"/>
      <c r="J1858" s="10"/>
      <c r="K1858" s="10"/>
    </row>
    <row r="1859" spans="1:11" x14ac:dyDescent="0.3">
      <c r="A1859" s="7"/>
      <c r="B1859" s="6"/>
      <c r="C1859" s="6"/>
      <c r="D1859" s="6"/>
      <c r="E1859" s="8"/>
      <c r="F1859" s="8"/>
      <c r="G1859" s="6"/>
      <c r="H1859" s="9"/>
      <c r="I1859" s="6"/>
      <c r="J1859" s="10"/>
      <c r="K1859" s="10"/>
    </row>
    <row r="1860" spans="1:11" x14ac:dyDescent="0.3">
      <c r="A1860" s="7"/>
      <c r="B1860" s="6"/>
      <c r="C1860" s="6"/>
      <c r="D1860" s="6"/>
      <c r="E1860" s="8"/>
      <c r="F1860" s="8"/>
      <c r="G1860" s="6"/>
      <c r="H1860" s="9"/>
      <c r="I1860" s="6"/>
      <c r="J1860" s="10"/>
      <c r="K1860" s="10"/>
    </row>
    <row r="1861" spans="1:11" x14ac:dyDescent="0.3">
      <c r="A1861" s="7"/>
      <c r="B1861" s="6"/>
      <c r="C1861" s="6"/>
      <c r="D1861" s="6"/>
      <c r="E1861" s="8"/>
      <c r="F1861" s="8"/>
      <c r="G1861" s="6"/>
      <c r="H1861" s="9"/>
      <c r="I1861" s="6"/>
      <c r="J1861" s="10"/>
      <c r="K1861" s="10"/>
    </row>
    <row r="1862" spans="1:11" x14ac:dyDescent="0.3">
      <c r="A1862" s="7"/>
      <c r="B1862" s="6"/>
      <c r="C1862" s="6"/>
      <c r="D1862" s="6"/>
      <c r="E1862" s="8"/>
      <c r="F1862" s="8"/>
      <c r="G1862" s="6"/>
      <c r="H1862" s="9"/>
      <c r="I1862" s="6"/>
      <c r="J1862" s="10"/>
      <c r="K1862" s="10"/>
    </row>
    <row r="1863" spans="1:11" x14ac:dyDescent="0.3">
      <c r="A1863" s="7"/>
      <c r="B1863" s="6"/>
      <c r="C1863" s="6"/>
      <c r="D1863" s="6"/>
      <c r="E1863" s="8"/>
      <c r="F1863" s="8"/>
      <c r="G1863" s="6"/>
      <c r="H1863" s="9"/>
      <c r="I1863" s="6"/>
      <c r="J1863" s="10"/>
      <c r="K1863" s="10"/>
    </row>
    <row r="1864" spans="1:11" x14ac:dyDescent="0.3">
      <c r="A1864" s="7"/>
      <c r="B1864" s="6"/>
      <c r="C1864" s="6"/>
      <c r="D1864" s="6"/>
      <c r="E1864" s="8"/>
      <c r="F1864" s="8"/>
      <c r="G1864" s="6"/>
      <c r="H1864" s="9"/>
      <c r="I1864" s="6"/>
      <c r="J1864" s="10"/>
      <c r="K1864" s="10"/>
    </row>
    <row r="1865" spans="1:11" x14ac:dyDescent="0.3">
      <c r="A1865" s="7"/>
      <c r="B1865" s="6"/>
      <c r="C1865" s="6"/>
      <c r="D1865" s="6"/>
      <c r="E1865" s="8"/>
      <c r="F1865" s="8"/>
      <c r="G1865" s="6"/>
      <c r="H1865" s="9"/>
      <c r="I1865" s="6"/>
      <c r="J1865" s="10"/>
      <c r="K1865" s="10"/>
    </row>
    <row r="1866" spans="1:11" x14ac:dyDescent="0.3">
      <c r="A1866" s="7"/>
      <c r="B1866" s="6"/>
      <c r="C1866" s="6"/>
      <c r="D1866" s="6"/>
      <c r="E1866" s="8"/>
      <c r="F1866" s="8"/>
      <c r="G1866" s="6"/>
      <c r="H1866" s="9"/>
      <c r="I1866" s="6"/>
      <c r="J1866" s="10"/>
      <c r="K1866" s="10"/>
    </row>
    <row r="1867" spans="1:11" x14ac:dyDescent="0.3">
      <c r="A1867" s="7"/>
      <c r="B1867" s="6"/>
      <c r="C1867" s="6"/>
      <c r="D1867" s="6"/>
      <c r="E1867" s="8"/>
      <c r="F1867" s="8"/>
      <c r="G1867" s="6"/>
      <c r="H1867" s="9"/>
      <c r="I1867" s="6"/>
      <c r="J1867" s="10"/>
      <c r="K1867" s="10"/>
    </row>
    <row r="1868" spans="1:11" x14ac:dyDescent="0.3">
      <c r="A1868" s="7"/>
      <c r="B1868" s="6"/>
      <c r="C1868" s="6"/>
      <c r="D1868" s="6"/>
      <c r="E1868" s="8"/>
      <c r="F1868" s="8"/>
      <c r="G1868" s="6"/>
      <c r="H1868" s="9"/>
      <c r="I1868" s="6"/>
      <c r="J1868" s="10"/>
      <c r="K1868" s="10"/>
    </row>
    <row r="1869" spans="1:11" x14ac:dyDescent="0.3">
      <c r="A1869" s="7"/>
      <c r="B1869" s="6"/>
      <c r="C1869" s="6"/>
      <c r="D1869" s="6"/>
      <c r="E1869" s="8"/>
      <c r="F1869" s="8"/>
      <c r="G1869" s="6"/>
      <c r="H1869" s="9"/>
      <c r="I1869" s="6"/>
      <c r="J1869" s="10"/>
      <c r="K1869" s="10"/>
    </row>
    <row r="1870" spans="1:11" x14ac:dyDescent="0.3">
      <c r="A1870" s="7"/>
      <c r="B1870" s="6"/>
      <c r="C1870" s="6"/>
      <c r="D1870" s="6"/>
      <c r="E1870" s="8"/>
      <c r="F1870" s="8"/>
      <c r="G1870" s="6"/>
      <c r="H1870" s="9"/>
      <c r="I1870" s="6"/>
      <c r="J1870" s="10"/>
      <c r="K1870" s="10"/>
    </row>
    <row r="1871" spans="1:11" x14ac:dyDescent="0.3">
      <c r="A1871" s="7"/>
      <c r="B1871" s="6"/>
      <c r="C1871" s="6"/>
      <c r="D1871" s="6"/>
      <c r="E1871" s="8"/>
      <c r="F1871" s="8"/>
      <c r="G1871" s="6"/>
      <c r="H1871" s="9"/>
      <c r="I1871" s="6"/>
      <c r="J1871" s="10"/>
      <c r="K1871" s="10"/>
    </row>
    <row r="1872" spans="1:11" x14ac:dyDescent="0.3">
      <c r="A1872" s="7"/>
      <c r="B1872" s="6"/>
      <c r="C1872" s="6"/>
      <c r="D1872" s="6"/>
      <c r="E1872" s="8"/>
      <c r="F1872" s="8"/>
      <c r="G1872" s="6"/>
      <c r="H1872" s="9"/>
      <c r="I1872" s="6"/>
      <c r="J1872" s="10"/>
      <c r="K1872" s="10"/>
    </row>
    <row r="1873" spans="1:11" x14ac:dyDescent="0.3">
      <c r="A1873" s="7"/>
      <c r="B1873" s="6"/>
      <c r="C1873" s="6"/>
      <c r="D1873" s="6"/>
      <c r="E1873" s="8"/>
      <c r="F1873" s="8"/>
      <c r="G1873" s="6"/>
      <c r="H1873" s="9"/>
      <c r="I1873" s="6"/>
      <c r="J1873" s="10"/>
      <c r="K1873" s="10"/>
    </row>
    <row r="1874" spans="1:11" x14ac:dyDescent="0.3">
      <c r="A1874" s="7"/>
      <c r="B1874" s="6"/>
      <c r="C1874" s="6"/>
      <c r="D1874" s="6"/>
      <c r="E1874" s="8"/>
      <c r="F1874" s="8"/>
      <c r="G1874" s="6"/>
      <c r="H1874" s="9"/>
      <c r="I1874" s="6"/>
      <c r="J1874" s="10"/>
      <c r="K1874" s="10"/>
    </row>
    <row r="1875" spans="1:11" x14ac:dyDescent="0.3">
      <c r="A1875" s="7"/>
      <c r="B1875" s="6"/>
      <c r="C1875" s="6"/>
      <c r="D1875" s="6"/>
      <c r="E1875" s="8"/>
      <c r="F1875" s="8"/>
      <c r="G1875" s="6"/>
      <c r="H1875" s="9"/>
      <c r="I1875" s="6"/>
      <c r="J1875" s="10"/>
      <c r="K1875" s="10"/>
    </row>
    <row r="1876" spans="1:11" x14ac:dyDescent="0.3">
      <c r="A1876" s="7"/>
      <c r="B1876" s="6"/>
      <c r="C1876" s="6"/>
      <c r="D1876" s="6"/>
      <c r="E1876" s="8"/>
      <c r="F1876" s="8"/>
      <c r="G1876" s="6"/>
      <c r="H1876" s="9"/>
      <c r="I1876" s="6"/>
      <c r="J1876" s="10"/>
      <c r="K1876" s="10"/>
    </row>
    <row r="1877" spans="1:11" x14ac:dyDescent="0.3">
      <c r="A1877" s="7"/>
      <c r="B1877" s="6"/>
      <c r="C1877" s="6"/>
      <c r="D1877" s="6"/>
      <c r="E1877" s="8"/>
      <c r="F1877" s="8"/>
      <c r="G1877" s="6"/>
      <c r="H1877" s="9"/>
      <c r="I1877" s="6"/>
      <c r="J1877" s="10"/>
      <c r="K1877" s="10"/>
    </row>
    <row r="1878" spans="1:11" x14ac:dyDescent="0.3">
      <c r="A1878" s="7"/>
      <c r="B1878" s="6"/>
      <c r="C1878" s="6"/>
      <c r="D1878" s="6"/>
      <c r="E1878" s="8"/>
      <c r="F1878" s="8"/>
      <c r="G1878" s="6"/>
      <c r="H1878" s="9"/>
      <c r="I1878" s="6"/>
      <c r="J1878" s="10"/>
      <c r="K1878" s="10"/>
    </row>
    <row r="1879" spans="1:11" x14ac:dyDescent="0.3">
      <c r="A1879" s="7"/>
      <c r="B1879" s="6"/>
      <c r="C1879" s="6"/>
      <c r="D1879" s="6"/>
      <c r="E1879" s="8"/>
      <c r="F1879" s="8"/>
      <c r="G1879" s="6"/>
      <c r="H1879" s="9"/>
      <c r="I1879" s="6"/>
      <c r="J1879" s="10"/>
      <c r="K1879" s="10"/>
    </row>
    <row r="1880" spans="1:11" x14ac:dyDescent="0.3">
      <c r="A1880" s="7"/>
      <c r="B1880" s="6"/>
      <c r="C1880" s="6"/>
      <c r="D1880" s="6"/>
      <c r="E1880" s="8"/>
      <c r="F1880" s="8"/>
      <c r="G1880" s="6"/>
      <c r="H1880" s="9"/>
      <c r="I1880" s="6"/>
      <c r="J1880" s="10"/>
      <c r="K1880" s="10"/>
    </row>
    <row r="1881" spans="1:11" x14ac:dyDescent="0.3">
      <c r="A1881" s="7"/>
      <c r="B1881" s="6"/>
      <c r="C1881" s="6"/>
      <c r="D1881" s="6"/>
      <c r="E1881" s="8"/>
      <c r="F1881" s="8"/>
      <c r="G1881" s="6"/>
      <c r="H1881" s="9"/>
      <c r="I1881" s="6"/>
      <c r="J1881" s="10"/>
      <c r="K1881" s="10"/>
    </row>
    <row r="1882" spans="1:11" x14ac:dyDescent="0.3">
      <c r="A1882" s="7"/>
      <c r="B1882" s="6"/>
      <c r="C1882" s="6"/>
      <c r="D1882" s="6"/>
      <c r="E1882" s="8"/>
      <c r="F1882" s="8"/>
      <c r="G1882" s="6"/>
      <c r="H1882" s="9"/>
      <c r="I1882" s="6"/>
      <c r="J1882" s="10"/>
      <c r="K1882" s="10"/>
    </row>
    <row r="1883" spans="1:11" x14ac:dyDescent="0.3">
      <c r="A1883" s="7"/>
      <c r="B1883" s="6"/>
      <c r="C1883" s="6"/>
      <c r="D1883" s="6"/>
      <c r="E1883" s="8"/>
      <c r="F1883" s="8"/>
      <c r="G1883" s="6"/>
      <c r="H1883" s="9"/>
      <c r="I1883" s="6"/>
      <c r="J1883" s="10"/>
      <c r="K1883" s="10"/>
    </row>
    <row r="1884" spans="1:11" x14ac:dyDescent="0.3">
      <c r="A1884" s="7"/>
      <c r="B1884" s="6"/>
      <c r="C1884" s="6"/>
      <c r="D1884" s="6"/>
      <c r="E1884" s="8"/>
      <c r="F1884" s="8"/>
      <c r="G1884" s="6"/>
      <c r="H1884" s="9"/>
      <c r="I1884" s="6"/>
      <c r="J1884" s="10"/>
      <c r="K1884" s="10"/>
    </row>
    <row r="1885" spans="1:11" x14ac:dyDescent="0.3">
      <c r="A1885" s="7"/>
      <c r="B1885" s="6"/>
      <c r="C1885" s="6"/>
      <c r="D1885" s="6"/>
      <c r="E1885" s="8"/>
      <c r="F1885" s="8"/>
      <c r="G1885" s="6"/>
      <c r="H1885" s="9"/>
      <c r="I1885" s="6"/>
      <c r="J1885" s="10"/>
      <c r="K1885" s="10"/>
    </row>
    <row r="1886" spans="1:11" x14ac:dyDescent="0.3">
      <c r="A1886" s="7"/>
      <c r="B1886" s="6"/>
      <c r="C1886" s="6"/>
      <c r="D1886" s="6"/>
      <c r="E1886" s="8"/>
      <c r="F1886" s="8"/>
      <c r="G1886" s="6"/>
      <c r="H1886" s="9"/>
      <c r="I1886" s="6"/>
      <c r="J1886" s="10"/>
      <c r="K1886" s="10"/>
    </row>
    <row r="1887" spans="1:11" x14ac:dyDescent="0.3">
      <c r="A1887" s="7"/>
      <c r="B1887" s="6"/>
      <c r="C1887" s="6"/>
      <c r="D1887" s="6"/>
      <c r="E1887" s="8"/>
      <c r="F1887" s="8"/>
      <c r="G1887" s="6"/>
      <c r="H1887" s="9"/>
      <c r="I1887" s="6"/>
      <c r="J1887" s="10"/>
      <c r="K1887" s="10"/>
    </row>
    <row r="1888" spans="1:11" x14ac:dyDescent="0.3">
      <c r="A1888" s="7"/>
      <c r="B1888" s="6"/>
      <c r="C1888" s="6"/>
      <c r="D1888" s="6"/>
      <c r="E1888" s="8"/>
      <c r="F1888" s="8"/>
      <c r="G1888" s="6"/>
      <c r="H1888" s="9"/>
      <c r="I1888" s="6"/>
      <c r="J1888" s="10"/>
      <c r="K1888" s="10"/>
    </row>
    <row r="1889" spans="1:11" x14ac:dyDescent="0.3">
      <c r="A1889" s="7"/>
      <c r="B1889" s="6"/>
      <c r="C1889" s="6"/>
      <c r="D1889" s="6"/>
      <c r="E1889" s="8"/>
      <c r="F1889" s="8"/>
      <c r="G1889" s="6"/>
      <c r="H1889" s="9"/>
      <c r="I1889" s="6"/>
      <c r="J1889" s="10"/>
      <c r="K1889" s="10"/>
    </row>
    <row r="1890" spans="1:11" x14ac:dyDescent="0.3">
      <c r="A1890" s="7"/>
      <c r="B1890" s="6"/>
      <c r="C1890" s="6"/>
      <c r="D1890" s="6"/>
      <c r="E1890" s="8"/>
      <c r="F1890" s="8"/>
      <c r="G1890" s="6"/>
      <c r="H1890" s="9"/>
      <c r="I1890" s="6"/>
      <c r="J1890" s="10"/>
      <c r="K1890" s="10"/>
    </row>
    <row r="1891" spans="1:11" x14ac:dyDescent="0.3">
      <c r="A1891" s="7"/>
      <c r="B1891" s="6"/>
      <c r="C1891" s="6"/>
      <c r="D1891" s="6"/>
      <c r="E1891" s="8"/>
      <c r="F1891" s="8"/>
      <c r="G1891" s="6"/>
      <c r="H1891" s="9"/>
      <c r="I1891" s="6"/>
      <c r="J1891" s="10"/>
      <c r="K1891" s="10"/>
    </row>
    <row r="1892" spans="1:11" x14ac:dyDescent="0.3">
      <c r="A1892" s="7"/>
      <c r="B1892" s="6"/>
      <c r="C1892" s="6"/>
      <c r="D1892" s="6"/>
      <c r="E1892" s="8"/>
      <c r="F1892" s="8"/>
      <c r="G1892" s="6"/>
      <c r="H1892" s="9"/>
      <c r="I1892" s="6"/>
      <c r="J1892" s="10"/>
      <c r="K1892" s="10"/>
    </row>
    <row r="1893" spans="1:11" x14ac:dyDescent="0.3">
      <c r="A1893" s="7"/>
      <c r="B1893" s="6"/>
      <c r="C1893" s="6"/>
      <c r="D1893" s="6"/>
      <c r="E1893" s="8"/>
      <c r="F1893" s="8"/>
      <c r="G1893" s="6"/>
      <c r="H1893" s="9"/>
      <c r="I1893" s="6"/>
      <c r="J1893" s="10"/>
      <c r="K1893" s="10"/>
    </row>
    <row r="1894" spans="1:11" x14ac:dyDescent="0.3">
      <c r="A1894" s="7"/>
      <c r="B1894" s="6"/>
      <c r="C1894" s="6"/>
      <c r="D1894" s="6"/>
      <c r="E1894" s="8"/>
      <c r="F1894" s="8"/>
      <c r="G1894" s="6"/>
      <c r="H1894" s="9"/>
      <c r="I1894" s="6"/>
      <c r="J1894" s="10"/>
      <c r="K1894" s="10"/>
    </row>
    <row r="1895" spans="1:11" x14ac:dyDescent="0.3">
      <c r="A1895" s="7"/>
      <c r="B1895" s="6"/>
      <c r="C1895" s="6"/>
      <c r="D1895" s="6"/>
      <c r="E1895" s="8"/>
      <c r="F1895" s="8"/>
      <c r="G1895" s="6"/>
      <c r="H1895" s="9"/>
      <c r="I1895" s="6"/>
      <c r="J1895" s="10"/>
      <c r="K1895" s="10"/>
    </row>
    <row r="1896" spans="1:11" x14ac:dyDescent="0.3">
      <c r="A1896" s="7"/>
      <c r="B1896" s="6"/>
      <c r="C1896" s="6"/>
      <c r="D1896" s="6"/>
      <c r="E1896" s="8"/>
      <c r="F1896" s="8"/>
      <c r="G1896" s="6"/>
      <c r="H1896" s="9"/>
      <c r="I1896" s="6"/>
      <c r="J1896" s="10"/>
      <c r="K1896" s="10"/>
    </row>
    <row r="1897" spans="1:11" x14ac:dyDescent="0.3">
      <c r="A1897" s="7"/>
      <c r="B1897" s="6"/>
      <c r="C1897" s="6"/>
      <c r="D1897" s="6"/>
      <c r="E1897" s="8"/>
      <c r="F1897" s="8"/>
      <c r="G1897" s="6"/>
      <c r="H1897" s="9"/>
      <c r="I1897" s="6"/>
      <c r="J1897" s="10"/>
      <c r="K1897" s="10"/>
    </row>
    <row r="1898" spans="1:11" x14ac:dyDescent="0.3">
      <c r="A1898" s="7"/>
      <c r="B1898" s="6"/>
      <c r="C1898" s="6"/>
      <c r="D1898" s="6"/>
      <c r="E1898" s="8"/>
      <c r="F1898" s="8"/>
      <c r="G1898" s="6"/>
      <c r="H1898" s="9"/>
      <c r="I1898" s="6"/>
      <c r="J1898" s="10"/>
      <c r="K1898" s="10"/>
    </row>
    <row r="1899" spans="1:11" x14ac:dyDescent="0.3">
      <c r="A1899" s="7"/>
      <c r="B1899" s="6"/>
      <c r="C1899" s="6"/>
      <c r="D1899" s="6"/>
      <c r="E1899" s="8"/>
      <c r="F1899" s="8"/>
      <c r="G1899" s="6"/>
      <c r="H1899" s="9"/>
      <c r="I1899" s="6"/>
      <c r="J1899" s="10"/>
      <c r="K1899" s="10"/>
    </row>
    <row r="1900" spans="1:11" x14ac:dyDescent="0.3">
      <c r="A1900" s="7"/>
      <c r="B1900" s="6"/>
      <c r="C1900" s="6"/>
      <c r="D1900" s="6"/>
      <c r="E1900" s="8"/>
      <c r="F1900" s="8"/>
      <c r="G1900" s="6"/>
      <c r="H1900" s="9"/>
      <c r="I1900" s="6"/>
      <c r="J1900" s="10"/>
      <c r="K1900" s="10"/>
    </row>
    <row r="1901" spans="1:11" x14ac:dyDescent="0.3">
      <c r="A1901" s="7"/>
      <c r="B1901" s="6"/>
      <c r="C1901" s="6"/>
      <c r="D1901" s="6"/>
      <c r="E1901" s="8"/>
      <c r="F1901" s="8"/>
      <c r="G1901" s="6"/>
      <c r="H1901" s="9"/>
      <c r="I1901" s="6"/>
      <c r="J1901" s="10"/>
      <c r="K1901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N28"/>
  <sheetViews>
    <sheetView workbookViewId="0">
      <selection activeCell="M8" sqref="M8"/>
    </sheetView>
  </sheetViews>
  <sheetFormatPr defaultRowHeight="14.4" x14ac:dyDescent="0.3"/>
  <cols>
    <col min="1" max="1" width="21.5546875" bestFit="1" customWidth="1"/>
    <col min="7" max="10" width="11.5546875" bestFit="1" customWidth="1"/>
    <col min="14" max="14" width="17.21875" bestFit="1" customWidth="1"/>
  </cols>
  <sheetData>
    <row r="1" spans="1:14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42</v>
      </c>
      <c r="I1" s="22" t="s">
        <v>43</v>
      </c>
      <c r="J1" s="22" t="s">
        <v>44</v>
      </c>
      <c r="K1" s="22" t="s">
        <v>25</v>
      </c>
      <c r="L1" s="22" t="s">
        <v>26</v>
      </c>
      <c r="M1" s="22" t="s">
        <v>27</v>
      </c>
      <c r="N1" s="22" t="s">
        <v>28</v>
      </c>
    </row>
    <row r="2" spans="1:14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5">
        <v>660</v>
      </c>
      <c r="I2" s="25">
        <v>660</v>
      </c>
      <c r="J2" s="25">
        <v>660</v>
      </c>
      <c r="K2" s="24">
        <f t="shared" ref="K2:K28" si="0">AVERAGE(B2:D2)</f>
        <v>576.66666666666663</v>
      </c>
      <c r="L2" s="24">
        <f t="shared" ref="L2:L28" si="1">MAX(B2:D2)</f>
        <v>660</v>
      </c>
      <c r="M2" s="26">
        <v>0</v>
      </c>
      <c r="N2" s="25">
        <v>0</v>
      </c>
    </row>
    <row r="3" spans="1:14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5">
        <v>125</v>
      </c>
      <c r="I3" s="25">
        <v>125</v>
      </c>
      <c r="J3" s="25">
        <v>125</v>
      </c>
      <c r="K3" s="24">
        <f t="shared" si="0"/>
        <v>125</v>
      </c>
      <c r="L3" s="24">
        <f t="shared" si="1"/>
        <v>125</v>
      </c>
      <c r="M3" s="26">
        <v>53.166666666666664</v>
      </c>
      <c r="N3" s="25">
        <v>209</v>
      </c>
    </row>
    <row r="4" spans="1:14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5">
        <v>9510</v>
      </c>
      <c r="I4" s="25">
        <v>9510</v>
      </c>
      <c r="J4" s="25">
        <v>9510</v>
      </c>
      <c r="K4" s="24">
        <f t="shared" si="0"/>
        <v>8676.6666666666661</v>
      </c>
      <c r="L4" s="24">
        <f t="shared" si="1"/>
        <v>9510</v>
      </c>
      <c r="M4" s="26">
        <v>7759.0833333333303</v>
      </c>
      <c r="N4" s="25">
        <v>11340</v>
      </c>
    </row>
    <row r="5" spans="1:14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5">
        <v>1660</v>
      </c>
      <c r="I5" s="25">
        <v>1660</v>
      </c>
      <c r="J5" s="25">
        <v>1660</v>
      </c>
      <c r="K5" s="24">
        <f t="shared" si="0"/>
        <v>1343.3333333333333</v>
      </c>
      <c r="L5" s="24">
        <f t="shared" si="1"/>
        <v>1660</v>
      </c>
      <c r="M5" s="26">
        <v>1251.9166666666667</v>
      </c>
      <c r="N5" s="25">
        <v>2513</v>
      </c>
    </row>
    <row r="6" spans="1:14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5">
        <v>660</v>
      </c>
      <c r="I6" s="25">
        <v>660</v>
      </c>
      <c r="J6" s="25">
        <v>660</v>
      </c>
      <c r="K6" s="24">
        <f t="shared" si="0"/>
        <v>593.33333333333337</v>
      </c>
      <c r="L6" s="24">
        <f t="shared" si="1"/>
        <v>660</v>
      </c>
      <c r="M6" s="26">
        <v>612.91666666666663</v>
      </c>
      <c r="N6" s="25">
        <v>994</v>
      </c>
    </row>
    <row r="7" spans="1:14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5">
        <v>250</v>
      </c>
      <c r="I7" s="25">
        <v>250</v>
      </c>
      <c r="J7" s="25">
        <v>250</v>
      </c>
      <c r="K7" s="24">
        <f t="shared" si="0"/>
        <v>183.33333333333334</v>
      </c>
      <c r="L7" s="24">
        <f t="shared" si="1"/>
        <v>250</v>
      </c>
      <c r="M7" s="26">
        <v>236.33333333333334</v>
      </c>
      <c r="N7" s="25">
        <v>1048</v>
      </c>
    </row>
    <row r="8" spans="1:14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5">
        <v>510</v>
      </c>
      <c r="I8" s="25">
        <v>510</v>
      </c>
      <c r="J8" s="25">
        <v>510</v>
      </c>
      <c r="K8" s="24">
        <f t="shared" si="0"/>
        <v>376.66666666666669</v>
      </c>
      <c r="L8" s="24">
        <f t="shared" si="1"/>
        <v>510</v>
      </c>
      <c r="M8" s="26">
        <v>677.41666666666663</v>
      </c>
      <c r="N8" s="25">
        <v>3582</v>
      </c>
    </row>
    <row r="9" spans="1:14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5">
        <v>75</v>
      </c>
      <c r="I9" s="25">
        <v>75</v>
      </c>
      <c r="J9" s="25">
        <v>75</v>
      </c>
      <c r="K9" s="24">
        <f t="shared" si="0"/>
        <v>68.333333333333329</v>
      </c>
      <c r="L9" s="24">
        <f t="shared" si="1"/>
        <v>75</v>
      </c>
      <c r="M9" s="26">
        <v>39.916666666666664</v>
      </c>
      <c r="N9" s="25">
        <v>54</v>
      </c>
    </row>
    <row r="10" spans="1:14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5">
        <v>2720</v>
      </c>
      <c r="I10" s="25">
        <v>2720</v>
      </c>
      <c r="J10" s="25">
        <v>2720</v>
      </c>
      <c r="K10" s="24">
        <f t="shared" si="0"/>
        <v>2480</v>
      </c>
      <c r="L10" s="24">
        <f t="shared" si="1"/>
        <v>2720</v>
      </c>
      <c r="M10" s="26">
        <v>2112.25</v>
      </c>
      <c r="N10" s="25">
        <v>3278</v>
      </c>
    </row>
    <row r="11" spans="1:14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5">
        <v>1045</v>
      </c>
      <c r="I11" s="25">
        <v>1045</v>
      </c>
      <c r="J11" s="25">
        <v>1045</v>
      </c>
      <c r="K11" s="24">
        <f t="shared" si="0"/>
        <v>938.33333333333337</v>
      </c>
      <c r="L11" s="24">
        <f t="shared" si="1"/>
        <v>1045</v>
      </c>
      <c r="M11" s="26">
        <v>817.58333333333337</v>
      </c>
      <c r="N11" s="25">
        <v>2636</v>
      </c>
    </row>
    <row r="12" spans="1:14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5">
        <v>123</v>
      </c>
      <c r="I12" s="25">
        <v>123</v>
      </c>
      <c r="J12" s="25">
        <v>123</v>
      </c>
      <c r="K12" s="24">
        <f t="shared" si="0"/>
        <v>113</v>
      </c>
      <c r="L12" s="24">
        <f t="shared" si="1"/>
        <v>123</v>
      </c>
      <c r="M12" s="26">
        <v>108.25</v>
      </c>
      <c r="N12" s="25">
        <v>185</v>
      </c>
    </row>
    <row r="13" spans="1:14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5">
        <v>180</v>
      </c>
      <c r="I13" s="25">
        <v>180</v>
      </c>
      <c r="J13" s="25">
        <v>180</v>
      </c>
      <c r="K13" s="24">
        <f t="shared" si="0"/>
        <v>175</v>
      </c>
      <c r="L13" s="24">
        <f t="shared" si="1"/>
        <v>210</v>
      </c>
      <c r="M13" s="26">
        <v>174.33333333333334</v>
      </c>
      <c r="N13" s="25">
        <v>396</v>
      </c>
    </row>
    <row r="14" spans="1:14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5">
        <v>100</v>
      </c>
      <c r="I14" s="25">
        <v>100</v>
      </c>
      <c r="J14" s="25">
        <v>100</v>
      </c>
      <c r="K14" s="24">
        <f t="shared" si="0"/>
        <v>86.666666666666671</v>
      </c>
      <c r="L14" s="24">
        <f t="shared" si="1"/>
        <v>100</v>
      </c>
      <c r="M14" s="26">
        <v>93.916666666666671</v>
      </c>
      <c r="N14" s="25">
        <v>206</v>
      </c>
    </row>
    <row r="15" spans="1:14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5">
        <v>145</v>
      </c>
      <c r="I15" s="25">
        <v>145</v>
      </c>
      <c r="J15" s="25">
        <v>145</v>
      </c>
      <c r="K15" s="24">
        <f t="shared" si="0"/>
        <v>111.66666666666667</v>
      </c>
      <c r="L15" s="24">
        <f t="shared" si="1"/>
        <v>145</v>
      </c>
      <c r="M15" s="26">
        <v>128.58333333333334</v>
      </c>
      <c r="N15" s="25">
        <v>252</v>
      </c>
    </row>
    <row r="16" spans="1:14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5">
        <v>175</v>
      </c>
      <c r="I16" s="25">
        <v>175</v>
      </c>
      <c r="J16" s="25">
        <v>175</v>
      </c>
      <c r="K16" s="24">
        <f t="shared" si="0"/>
        <v>171.66666666666666</v>
      </c>
      <c r="L16" s="24">
        <f t="shared" si="1"/>
        <v>175</v>
      </c>
      <c r="M16" s="26">
        <v>200.25</v>
      </c>
      <c r="N16" s="25">
        <v>337</v>
      </c>
    </row>
    <row r="17" spans="1:14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5">
        <v>50</v>
      </c>
      <c r="I17" s="25">
        <v>50</v>
      </c>
      <c r="J17" s="25">
        <v>50</v>
      </c>
      <c r="K17" s="24">
        <f t="shared" si="0"/>
        <v>80</v>
      </c>
      <c r="L17" s="24">
        <f t="shared" si="1"/>
        <v>140</v>
      </c>
      <c r="M17" s="26">
        <v>95</v>
      </c>
      <c r="N17" s="25">
        <v>157</v>
      </c>
    </row>
    <row r="18" spans="1:14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5">
        <v>400</v>
      </c>
      <c r="I18" s="25">
        <v>400</v>
      </c>
      <c r="J18" s="25">
        <v>400</v>
      </c>
      <c r="K18" s="24">
        <f t="shared" si="0"/>
        <v>283.33333333333331</v>
      </c>
      <c r="L18" s="24">
        <f t="shared" si="1"/>
        <v>400</v>
      </c>
      <c r="M18" s="26">
        <v>0</v>
      </c>
      <c r="N18" s="25">
        <v>0</v>
      </c>
    </row>
    <row r="19" spans="1:14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5">
        <v>1050</v>
      </c>
      <c r="I19" s="25">
        <v>1050</v>
      </c>
      <c r="J19" s="25">
        <v>1050</v>
      </c>
      <c r="K19" s="24">
        <f t="shared" si="0"/>
        <v>846.66666666666663</v>
      </c>
      <c r="L19" s="24">
        <f t="shared" si="1"/>
        <v>1050</v>
      </c>
      <c r="M19" s="26">
        <v>984.83333333333337</v>
      </c>
      <c r="N19" s="25">
        <v>1854</v>
      </c>
    </row>
    <row r="20" spans="1:14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5">
        <v>235</v>
      </c>
      <c r="I20" s="25">
        <v>235</v>
      </c>
      <c r="J20" s="25">
        <v>235</v>
      </c>
      <c r="K20" s="24">
        <f t="shared" si="0"/>
        <v>181.66666666666666</v>
      </c>
      <c r="L20" s="24">
        <f t="shared" si="1"/>
        <v>235</v>
      </c>
      <c r="M20" s="26">
        <v>0</v>
      </c>
      <c r="N20" s="25">
        <v>0</v>
      </c>
    </row>
    <row r="21" spans="1:14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5">
        <v>365</v>
      </c>
      <c r="I21" s="25">
        <v>365</v>
      </c>
      <c r="J21" s="25">
        <v>365</v>
      </c>
      <c r="K21" s="24">
        <f t="shared" si="0"/>
        <v>285</v>
      </c>
      <c r="L21" s="24">
        <f t="shared" si="1"/>
        <v>365</v>
      </c>
      <c r="M21" s="26">
        <v>0</v>
      </c>
      <c r="N21" s="25">
        <v>0</v>
      </c>
    </row>
    <row r="22" spans="1:14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5">
        <v>140</v>
      </c>
      <c r="I22" s="25">
        <v>140</v>
      </c>
      <c r="J22" s="25">
        <v>140</v>
      </c>
      <c r="K22" s="24">
        <f t="shared" si="0"/>
        <v>131.66666666666666</v>
      </c>
      <c r="L22" s="24">
        <f t="shared" si="1"/>
        <v>140</v>
      </c>
      <c r="M22" s="26">
        <v>114.08333333333333</v>
      </c>
      <c r="N22" s="25">
        <v>163</v>
      </c>
    </row>
    <row r="23" spans="1:14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5">
        <v>235</v>
      </c>
      <c r="I23" s="25">
        <v>235</v>
      </c>
      <c r="J23" s="25">
        <v>235</v>
      </c>
      <c r="K23" s="24">
        <f t="shared" si="0"/>
        <v>238.33333333333334</v>
      </c>
      <c r="L23" s="24">
        <f t="shared" si="1"/>
        <v>280</v>
      </c>
      <c r="M23" s="26">
        <v>229.58333333333334</v>
      </c>
      <c r="N23" s="25">
        <v>427</v>
      </c>
    </row>
    <row r="24" spans="1:14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5">
        <v>530</v>
      </c>
      <c r="I24" s="25">
        <v>530</v>
      </c>
      <c r="J24" s="25">
        <v>530</v>
      </c>
      <c r="K24" s="24">
        <f t="shared" si="0"/>
        <v>530</v>
      </c>
      <c r="L24" s="24">
        <f t="shared" si="1"/>
        <v>530</v>
      </c>
      <c r="M24" s="26">
        <v>148.16666666666666</v>
      </c>
      <c r="N24" s="25">
        <v>773</v>
      </c>
    </row>
    <row r="25" spans="1:14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5">
        <v>120</v>
      </c>
      <c r="I25" s="25">
        <v>120</v>
      </c>
      <c r="J25" s="25">
        <v>120</v>
      </c>
      <c r="K25" s="24">
        <f t="shared" si="0"/>
        <v>86.666666666666671</v>
      </c>
      <c r="L25" s="24">
        <f t="shared" si="1"/>
        <v>120</v>
      </c>
      <c r="M25" s="26">
        <v>28.916666666666668</v>
      </c>
      <c r="N25" s="25">
        <v>265</v>
      </c>
    </row>
    <row r="26" spans="1:14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5">
        <v>0</v>
      </c>
      <c r="I26" s="25">
        <v>0</v>
      </c>
      <c r="J26" s="25">
        <v>0</v>
      </c>
      <c r="K26" s="24">
        <f t="shared" si="0"/>
        <v>0</v>
      </c>
      <c r="L26" s="24">
        <f t="shared" si="1"/>
        <v>0</v>
      </c>
      <c r="M26" s="26">
        <v>0</v>
      </c>
      <c r="N26" s="25">
        <v>0</v>
      </c>
    </row>
    <row r="27" spans="1:14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5">
        <v>45</v>
      </c>
      <c r="I27" s="25">
        <v>45</v>
      </c>
      <c r="J27" s="25">
        <v>45</v>
      </c>
      <c r="K27" s="24">
        <f t="shared" si="0"/>
        <v>45</v>
      </c>
      <c r="L27" s="24">
        <f t="shared" si="1"/>
        <v>45</v>
      </c>
      <c r="M27" s="26">
        <v>0</v>
      </c>
      <c r="N27" s="25">
        <v>0</v>
      </c>
    </row>
    <row r="28" spans="1:14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5">
        <v>490</v>
      </c>
      <c r="I28" s="25">
        <v>490</v>
      </c>
      <c r="J28" s="25">
        <v>490</v>
      </c>
      <c r="K28" s="24">
        <f t="shared" si="0"/>
        <v>423.33333333333331</v>
      </c>
      <c r="L28" s="24">
        <f t="shared" si="1"/>
        <v>490</v>
      </c>
      <c r="M28" s="26">
        <v>0</v>
      </c>
      <c r="N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K2:L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J8"/>
  <sheetViews>
    <sheetView workbookViewId="0">
      <selection activeCell="L17" sqref="L17"/>
    </sheetView>
  </sheetViews>
  <sheetFormatPr defaultRowHeight="14.4" x14ac:dyDescent="0.3"/>
  <cols>
    <col min="1" max="1" width="21.5546875" bestFit="1" customWidth="1"/>
  </cols>
  <sheetData>
    <row r="1" spans="1:10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39</v>
      </c>
      <c r="H1" s="22" t="s">
        <v>40</v>
      </c>
      <c r="I1" s="22" t="s">
        <v>41</v>
      </c>
      <c r="J1" s="22" t="s">
        <v>31</v>
      </c>
    </row>
    <row r="2" spans="1:10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1563</v>
      </c>
      <c r="G2" s="24">
        <v>1240</v>
      </c>
      <c r="H2" s="24">
        <v>1276</v>
      </c>
      <c r="I2" s="24">
        <v>160</v>
      </c>
      <c r="J2" s="24">
        <f>SUM(B2:I2)</f>
        <v>9558</v>
      </c>
    </row>
    <row r="3" spans="1:10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11314</v>
      </c>
      <c r="G3" s="24">
        <v>12718</v>
      </c>
      <c r="H3" s="24">
        <v>14092</v>
      </c>
      <c r="I3" s="24">
        <v>3842</v>
      </c>
      <c r="J3" s="24">
        <f t="shared" ref="J3:J8" si="0">SUM(B3:I3)</f>
        <v>75968</v>
      </c>
    </row>
    <row r="4" spans="1:10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v>52</v>
      </c>
      <c r="H4" s="24">
        <v>1</v>
      </c>
      <c r="I4" s="24">
        <v>34</v>
      </c>
      <c r="J4" s="24">
        <f t="shared" si="0"/>
        <v>1882</v>
      </c>
    </row>
    <row r="5" spans="1:10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>
        <f>2500+872+215+167+4</f>
        <v>3758</v>
      </c>
      <c r="H5" s="24">
        <f>3560+584+236+8+36</f>
        <v>4424</v>
      </c>
      <c r="I5" s="24">
        <f>101+354+149+116+4+8+159</f>
        <v>891</v>
      </c>
      <c r="J5" s="24">
        <f t="shared" si="0"/>
        <v>24219</v>
      </c>
    </row>
    <row r="6" spans="1:10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939</v>
      </c>
      <c r="G6" s="24">
        <f>304+148+252+78+49</f>
        <v>831</v>
      </c>
      <c r="H6" s="24">
        <f>396+185+90+198+293+2+3</f>
        <v>1167</v>
      </c>
      <c r="I6" s="24">
        <f>136+62+45</f>
        <v>243</v>
      </c>
      <c r="J6" s="24">
        <f t="shared" si="0"/>
        <v>6462</v>
      </c>
    </row>
    <row r="7" spans="1:10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1220</v>
      </c>
      <c r="G7" s="24">
        <v>4130</v>
      </c>
      <c r="H7" s="24">
        <v>3620</v>
      </c>
      <c r="I7" s="24">
        <v>2789</v>
      </c>
      <c r="J7" s="24">
        <f t="shared" si="0"/>
        <v>16414</v>
      </c>
    </row>
    <row r="8" spans="1:10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526</v>
      </c>
      <c r="G8" s="24">
        <v>532</v>
      </c>
      <c r="H8" s="24">
        <v>33</v>
      </c>
      <c r="I8" s="24">
        <v>14</v>
      </c>
      <c r="J8" s="24">
        <f t="shared" si="0"/>
        <v>2249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2026-10-22T13:22:36Z</dcterms:modified>
</cp:coreProperties>
</file>