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E7FCAA3-BFD6-4A8D-8DC4-079FE06057F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LANC.!$A$1:$K$1522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15" i="1" l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<sst xmlns="http://schemas.openxmlformats.org/spreadsheetml/2006/main" count="3108" uniqueCount="42">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</sst>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22" totalsRowShown="0" headerRowDxfId="13" dataDxfId="12" tableBorderDxfId="11">
  <autoFilter ref="A1:K152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61"/>
  <sheetViews>
    <sheetView showGridLines="0" tabSelected="1" zoomScale="70" zoomScaleNormal="70" zoomScaleSheetLayoutView="70" workbookViewId="0">
      <pane ySplit="1" topLeftCell="A1495" activePane="bottomLeft" state="frozen"/>
      <selection pane="bottomLeft" activeCell="H1520" sqref="H152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/>
      <c r="F1505" s="30"/>
      <c r="G1505" s="29"/>
      <c r="H1505" s="31"/>
      <c r="I1505" s="29">
        <f>IFERROR(IF(T_PROD[[#This Row],[PREVISTO]]-T_PROD[[#This Row],[EFETIVO]]&lt; 0,0,T_PROD[[#This Row],[PREVISTO]]-T_PROD[[#This Row],[EFETIVO]] ),"")</f>
        <v>0</v>
      </c>
      <c r="J1505" s="32" t="str">
        <f>IFERROR(IF(T_PROD[[#This Row],[META]]&gt;0,(T_PROD[[#This Row],[META]]/T_PROD[[#This Row],[PREVISTO]]),""),"")</f>
        <v/>
      </c>
      <c r="K1505" s="32" t="str">
        <f>IFERROR(IF(T_PROD[[#This Row],[PRODUÇÃO]]&gt;0,(T_PROD[[#This Row],[PRODUÇÃO]]/T_PROD[[#This Row],[EFETIVO]]),""),"")</f>
        <v/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/>
      <c r="F1506" s="30"/>
      <c r="G1506" s="29"/>
      <c r="H1506" s="31"/>
      <c r="I1506" s="29">
        <f>IFERROR(IF(T_PROD[[#This Row],[PREVISTO]]-T_PROD[[#This Row],[EFETIVO]]&lt; 0,0,T_PROD[[#This Row],[PREVISTO]]-T_PROD[[#This Row],[EFETIVO]] ),"")</f>
        <v>0</v>
      </c>
      <c r="J1506" s="32" t="str">
        <f>IFERROR(IF(T_PROD[[#This Row],[META]]&gt;0,(T_PROD[[#This Row],[META]]/T_PROD[[#This Row],[PREVISTO]]),""),"")</f>
        <v/>
      </c>
      <c r="K1506" s="32" t="str">
        <f>IFERROR(IF(T_PROD[[#This Row],[PRODUÇÃO]]&gt;0,(T_PROD[[#This Row],[PRODUÇÃO]]/T_PROD[[#This Row],[EFETIVO]]),""),"")</f>
        <v/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/>
      <c r="F1507" s="30"/>
      <c r="G1507" s="29"/>
      <c r="H1507" s="31"/>
      <c r="I1507" s="29">
        <f>IFERROR(IF(T_PROD[[#This Row],[PREVISTO]]-T_PROD[[#This Row],[EFETIVO]]&lt; 0,0,T_PROD[[#This Row],[PREVISTO]]-T_PROD[[#This Row],[EFETIVO]] ),"")</f>
        <v>0</v>
      </c>
      <c r="J1507" s="32" t="str">
        <f>IFERROR(IF(T_PROD[[#This Row],[META]]&gt;0,(T_PROD[[#This Row],[META]]/T_PROD[[#This Row],[PREVISTO]]),""),"")</f>
        <v/>
      </c>
      <c r="K1507" s="32" t="str">
        <f>IFERROR(IF(T_PROD[[#This Row],[PRODUÇÃO]]&gt;0,(T_PROD[[#This Row],[PRODUÇÃO]]/T_PROD[[#This Row],[EFETIVO]]),""),"")</f>
        <v/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/>
      <c r="F1510" s="30"/>
      <c r="G1510" s="29"/>
      <c r="H1510" s="31"/>
      <c r="I1510" s="29">
        <f>IFERROR(IF(T_PROD[[#This Row],[PREVISTO]]-T_PROD[[#This Row],[EFETIVO]]&lt; 0,0,T_PROD[[#This Row],[PREVISTO]]-T_PROD[[#This Row],[EFETIVO]] ),"")</f>
        <v>0</v>
      </c>
      <c r="J1510" s="32" t="str">
        <f>IFERROR(IF(T_PROD[[#This Row],[META]]&gt;0,(T_PROD[[#This Row],[META]]/T_PROD[[#This Row],[PREVISTO]]),""),"")</f>
        <v/>
      </c>
      <c r="K1510" s="32" t="str">
        <f>IFERROR(IF(T_PROD[[#This Row],[PRODUÇÃO]]&gt;0,(T_PROD[[#This Row],[PRODUÇÃO]]/T_PROD[[#This Row],[EFETIVO]]),""),"")</f>
        <v/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33">
        <v>46273</v>
      </c>
      <c r="B1514" s="34" t="str">
        <f>UPPER(TEXT(A1514,"MMMM"))</f>
        <v>SETEMBRO</v>
      </c>
      <c r="C1514" s="12" t="s">
        <v>15</v>
      </c>
      <c r="D1514" s="12" t="s">
        <v>12</v>
      </c>
      <c r="E1514" s="35">
        <v>90</v>
      </c>
      <c r="F1514" s="35">
        <v>59</v>
      </c>
      <c r="G1514" s="34">
        <v>6</v>
      </c>
      <c r="H1514" s="36">
        <v>6</v>
      </c>
      <c r="I1514" s="34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33">
        <v>46273</v>
      </c>
      <c r="B1515" s="34" t="str">
        <f t="shared" ref="B1515:B1522" si="167">UPPER(TEXT(A1515,"MMMM"))</f>
        <v>SETEMBRO</v>
      </c>
      <c r="C1515" s="12" t="s">
        <v>16</v>
      </c>
      <c r="D1515" s="12" t="s">
        <v>12</v>
      </c>
      <c r="E1515" s="35">
        <v>272</v>
      </c>
      <c r="F1515" s="35">
        <v>220</v>
      </c>
      <c r="G1515" s="34">
        <v>8</v>
      </c>
      <c r="H1515" s="36">
        <v>8</v>
      </c>
      <c r="I1515" s="34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33">
        <v>46273</v>
      </c>
      <c r="B1516" s="34" t="str">
        <f t="shared" si="167"/>
        <v>SETEMBRO</v>
      </c>
      <c r="C1516" s="12" t="s">
        <v>17</v>
      </c>
      <c r="D1516" s="12" t="s">
        <v>12</v>
      </c>
      <c r="E1516" s="35">
        <v>352</v>
      </c>
      <c r="F1516" s="35">
        <v>300</v>
      </c>
      <c r="G1516" s="34">
        <v>16</v>
      </c>
      <c r="H1516" s="36">
        <v>16</v>
      </c>
      <c r="I1516" s="34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33">
        <v>46273</v>
      </c>
      <c r="B1517" s="34" t="str">
        <f t="shared" si="167"/>
        <v>SETEMBRO</v>
      </c>
      <c r="C1517" s="12" t="s">
        <v>18</v>
      </c>
      <c r="D1517" s="12" t="s">
        <v>12</v>
      </c>
      <c r="E1517" s="35"/>
      <c r="F1517" s="35"/>
      <c r="G1517" s="34"/>
      <c r="H1517" s="36"/>
      <c r="I1517" s="34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33">
        <v>46273</v>
      </c>
      <c r="B1518" s="34" t="str">
        <f t="shared" si="167"/>
        <v>SETEMBRO</v>
      </c>
      <c r="C1518" s="12" t="s">
        <v>19</v>
      </c>
      <c r="D1518" s="12" t="s">
        <v>12</v>
      </c>
      <c r="E1518" s="35"/>
      <c r="F1518" s="35"/>
      <c r="G1518" s="34"/>
      <c r="H1518" s="36"/>
      <c r="I1518" s="34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33">
        <v>46273</v>
      </c>
      <c r="B1519" s="34" t="str">
        <f t="shared" si="167"/>
        <v>SETEMBRO</v>
      </c>
      <c r="C1519" s="12" t="s">
        <v>20</v>
      </c>
      <c r="D1519" s="12" t="s">
        <v>12</v>
      </c>
      <c r="E1519" s="35">
        <v>714</v>
      </c>
      <c r="F1519" s="35">
        <v>579</v>
      </c>
      <c r="G1519" s="34">
        <v>100</v>
      </c>
      <c r="H1519" s="36">
        <v>100</v>
      </c>
      <c r="I1519" s="34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33">
        <v>46273</v>
      </c>
      <c r="B1520" s="34" t="str">
        <f t="shared" si="167"/>
        <v>SETEMBRO</v>
      </c>
      <c r="C1520" s="12" t="s">
        <v>11</v>
      </c>
      <c r="D1520" s="12" t="s">
        <v>12</v>
      </c>
      <c r="E1520" s="35">
        <v>820</v>
      </c>
      <c r="F1520" s="35">
        <v>800</v>
      </c>
      <c r="G1520" s="34">
        <v>41</v>
      </c>
      <c r="H1520" s="36">
        <v>41</v>
      </c>
      <c r="I1520" s="34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33">
        <v>46273</v>
      </c>
      <c r="B1521" s="34" t="str">
        <f t="shared" si="167"/>
        <v>SETEMBRO</v>
      </c>
      <c r="C1521" s="12" t="s">
        <v>32</v>
      </c>
      <c r="D1521" s="12" t="s">
        <v>12</v>
      </c>
      <c r="E1521" s="35"/>
      <c r="F1521" s="35"/>
      <c r="G1521" s="34"/>
      <c r="H1521" s="36"/>
      <c r="I1521" s="34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33">
        <v>46273</v>
      </c>
      <c r="B1522" s="34" t="str">
        <f t="shared" si="167"/>
        <v>SETEMBRO</v>
      </c>
      <c r="C1522" s="12" t="s">
        <v>14</v>
      </c>
      <c r="D1522" s="12" t="s">
        <v>12</v>
      </c>
      <c r="E1522" s="35">
        <v>820</v>
      </c>
      <c r="F1522" s="35">
        <v>800</v>
      </c>
      <c r="G1522" s="34">
        <v>98</v>
      </c>
      <c r="H1522" s="36">
        <v>97</v>
      </c>
      <c r="I1522" s="34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2026-09-09T12:00:20Z</dcterms:modified>
</cp:coreProperties>
</file>