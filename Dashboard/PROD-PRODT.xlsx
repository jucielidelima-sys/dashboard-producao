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E84DB439-C2DB-429C-9A65-9DEE54CD20E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LANC.!$A$1:$K$694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87" i="1" l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5" i="3"/>
  <c r="E6" i="3"/>
  <c r="E4" i="3"/>
  <c r="E3" i="3"/>
  <c r="F3" i="3" s="1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<sst xmlns="http://schemas.openxmlformats.org/spreadsheetml/2006/main" count="1445" uniqueCount="35">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</sst>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694" totalsRowShown="0" headerRowDxfId="13" dataDxfId="12" tableBorderDxfId="11">
  <autoFilter ref="A1:K69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663" activePane="bottomLeft" state="frozen"/>
      <selection pane="bottomLeft" activeCell="H695" sqref="H69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28">
        <v>46139</v>
      </c>
      <c r="B686" s="29" t="str">
        <f>UPPER(TEXT(A686,"MMMM"))</f>
        <v>ABRIL</v>
      </c>
      <c r="C686" s="12" t="s">
        <v>15</v>
      </c>
      <c r="D686" s="12" t="s">
        <v>12</v>
      </c>
      <c r="E686" s="30">
        <v>75</v>
      </c>
      <c r="F686" s="30">
        <v>65</v>
      </c>
      <c r="G686" s="29">
        <v>5</v>
      </c>
      <c r="H686" s="31">
        <v>5</v>
      </c>
      <c r="I686" s="29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28">
        <v>46139</v>
      </c>
      <c r="B687" s="29" t="str">
        <f t="shared" ref="B687:B694" si="75">UPPER(TEXT(A687,"MMMM"))</f>
        <v>ABRIL</v>
      </c>
      <c r="C687" s="12" t="s">
        <v>16</v>
      </c>
      <c r="D687" s="12" t="s">
        <v>12</v>
      </c>
      <c r="E687" s="30">
        <v>204</v>
      </c>
      <c r="F687" s="30">
        <v>221</v>
      </c>
      <c r="G687" s="29">
        <v>6</v>
      </c>
      <c r="H687" s="31">
        <v>6</v>
      </c>
      <c r="I687" s="29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28">
        <v>46139</v>
      </c>
      <c r="B688" s="29" t="str">
        <f t="shared" si="75"/>
        <v>ABRIL</v>
      </c>
      <c r="C688" s="12" t="s">
        <v>17</v>
      </c>
      <c r="D688" s="12" t="s">
        <v>12</v>
      </c>
      <c r="E688" s="30">
        <v>144</v>
      </c>
      <c r="F688" s="30">
        <v>50</v>
      </c>
      <c r="G688" s="29">
        <v>9</v>
      </c>
      <c r="H688" s="31">
        <v>9</v>
      </c>
      <c r="I688" s="29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28">
        <v>46139</v>
      </c>
      <c r="B689" s="29" t="str">
        <f t="shared" si="75"/>
        <v>ABRIL</v>
      </c>
      <c r="C689" s="12" t="s">
        <v>18</v>
      </c>
      <c r="D689" s="12" t="s">
        <v>12</v>
      </c>
      <c r="E689" s="30"/>
      <c r="F689" s="30"/>
      <c r="G689" s="29"/>
      <c r="H689" s="31"/>
      <c r="I689" s="29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28">
        <v>46139</v>
      </c>
      <c r="B690" s="29" t="str">
        <f t="shared" si="75"/>
        <v>ABRIL</v>
      </c>
      <c r="C690" s="12" t="s">
        <v>19</v>
      </c>
      <c r="D690" s="12" t="s">
        <v>12</v>
      </c>
      <c r="E690" s="30"/>
      <c r="F690" s="30"/>
      <c r="G690" s="29"/>
      <c r="H690" s="31"/>
      <c r="I690" s="29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28">
        <v>46139</v>
      </c>
      <c r="B691" s="29" t="str">
        <f t="shared" si="75"/>
        <v>ABRIL</v>
      </c>
      <c r="C691" s="12" t="s">
        <v>20</v>
      </c>
      <c r="D691" s="12" t="s">
        <v>12</v>
      </c>
      <c r="E691" s="30">
        <v>423</v>
      </c>
      <c r="F691" s="30">
        <v>336</v>
      </c>
      <c r="G691" s="29">
        <v>92</v>
      </c>
      <c r="H691" s="31">
        <v>92</v>
      </c>
      <c r="I691" s="29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28">
        <v>46139</v>
      </c>
      <c r="B692" s="29" t="str">
        <f t="shared" si="75"/>
        <v>ABRIL</v>
      </c>
      <c r="C692" s="12" t="s">
        <v>11</v>
      </c>
      <c r="D692" s="12" t="s">
        <v>12</v>
      </c>
      <c r="E692" s="30">
        <v>288</v>
      </c>
      <c r="F692" s="30">
        <v>325</v>
      </c>
      <c r="G692" s="29">
        <v>16</v>
      </c>
      <c r="H692" s="31">
        <v>15</v>
      </c>
      <c r="I692" s="29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28">
        <v>46139</v>
      </c>
      <c r="B693" s="29" t="str">
        <f t="shared" si="75"/>
        <v>ABRIL</v>
      </c>
      <c r="C693" s="12" t="s">
        <v>32</v>
      </c>
      <c r="D693" s="12" t="s">
        <v>12</v>
      </c>
      <c r="E693" s="30">
        <v>150</v>
      </c>
      <c r="F693" s="30">
        <v>150</v>
      </c>
      <c r="G693" s="29">
        <v>15</v>
      </c>
      <c r="H693" s="31">
        <v>14</v>
      </c>
      <c r="I693" s="29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28">
        <v>46139</v>
      </c>
      <c r="B694" s="29" t="str">
        <f t="shared" si="75"/>
        <v>ABRIL</v>
      </c>
      <c r="C694" s="12" t="s">
        <v>14</v>
      </c>
      <c r="D694" s="12" t="s">
        <v>12</v>
      </c>
      <c r="E694" s="30">
        <v>438</v>
      </c>
      <c r="F694" s="30">
        <v>475</v>
      </c>
      <c r="G694" s="29">
        <v>67</v>
      </c>
      <c r="H694" s="31">
        <v>63</v>
      </c>
      <c r="I694" s="29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workbookViewId="0">
      <selection activeCell="I11" sqref="I11"/>
    </sheetView>
  </sheetViews>
  <sheetFormatPr defaultRowHeight="14.4" x14ac:dyDescent="0.3"/>
  <cols>
    <col min="1" max="1" width="21.5546875" bestFit="1" customWidth="1"/>
  </cols>
  <sheetData>
    <row r="1" spans="1:6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726</v>
      </c>
      <c r="F2" s="24">
        <f>SUM(B2:E2)</f>
        <v>4640</v>
      </c>
    </row>
    <row r="3" spans="1:6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>825+94+49+5168+167</f>
        <v>6303</v>
      </c>
      <c r="F3" s="24">
        <f t="shared" ref="F3:F7" si="0">SUM(B3:E3)</f>
        <v>28932</v>
      </c>
    </row>
    <row r="4" spans="1:6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 t="shared" si="0"/>
        <v>1795</v>
      </c>
    </row>
    <row r="5" spans="1:6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866+939+72+3+22+171+1</f>
        <v>2074</v>
      </c>
      <c r="F5" s="24">
        <f t="shared" si="0"/>
        <v>11311</v>
      </c>
    </row>
    <row r="6" spans="1:6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233+95+34+53</f>
        <v>415</v>
      </c>
      <c r="F6" s="24">
        <f t="shared" si="0"/>
        <v>2935</v>
      </c>
    </row>
    <row r="7" spans="1:6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1270</v>
      </c>
      <c r="F7" s="24">
        <f t="shared" si="0"/>
        <v>3366</v>
      </c>
    </row>
    <row r="8" spans="1:6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16</v>
      </c>
      <c r="F8" s="24">
        <f>SUM(B8:E8)</f>
        <v>1137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2026-04-28T16:21:33Z</dcterms:modified>
</cp:coreProperties>
</file>