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ED9BACB6-9CC8-44E6-BD32-F9E3B5EFBFC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LANC.!$A$1:$K$208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1" i="1" l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6" i="1"/>
  <c r="J207" i="1"/>
  <c r="J208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7" i="1"/>
  <c r="J198" i="1"/>
  <c r="J199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<sst xmlns="http://schemas.openxmlformats.org/spreadsheetml/2006/main" count="471" uniqueCount="32">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</sst>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08" totalsRowShown="0" headerRowDxfId="13" dataDxfId="12" tableBorderDxfId="11">
  <autoFilter ref="A1:K20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77" activePane="bottomLeft" state="frozen"/>
      <selection pane="bottomLeft" activeCell="Q206" sqref="Q20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f>IFERROR(IF(T_PROD[[#This Row],[META]]&gt;0,(T_PROD[[#This Row],[META]]/T_PROD[[#This Row],[PREVISTO]]),""),"")</f>
        <v>18.181818181818183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f>IFERROR(IF(T_PROD[[#This Row],[META]]&gt;0,(T_PROD[[#This Row],[META]]/T_PROD[[#This Row],[PREVISTO]]),""),"")</f>
        <v>8.3333333333333339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33">
        <v>46057</v>
      </c>
      <c r="B200" s="34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35">
        <v>39</v>
      </c>
      <c r="G200" s="12">
        <v>4</v>
      </c>
      <c r="H200" s="36">
        <v>4</v>
      </c>
      <c r="I200" s="34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33">
        <v>46057</v>
      </c>
      <c r="B201" s="34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35">
        <v>185</v>
      </c>
      <c r="G201" s="12">
        <v>6</v>
      </c>
      <c r="H201" s="36">
        <v>9</v>
      </c>
      <c r="I201" s="34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33">
        <v>46057</v>
      </c>
      <c r="B202" s="34" t="str">
        <f t="shared" si="21"/>
        <v>FEVEREIRO</v>
      </c>
      <c r="C202" s="12" t="s">
        <v>17</v>
      </c>
      <c r="D202" s="12" t="s">
        <v>12</v>
      </c>
      <c r="E202" s="13">
        <v>32</v>
      </c>
      <c r="F202" s="35">
        <v>28</v>
      </c>
      <c r="G202" s="12">
        <v>2</v>
      </c>
      <c r="H202" s="36">
        <v>2</v>
      </c>
      <c r="I202" s="34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33">
        <v>46057</v>
      </c>
      <c r="B203" s="34" t="str">
        <f t="shared" si="21"/>
        <v>FEVEREIRO</v>
      </c>
      <c r="C203" s="12" t="s">
        <v>18</v>
      </c>
      <c r="D203" s="12" t="s">
        <v>12</v>
      </c>
      <c r="E203" s="13">
        <v>100</v>
      </c>
      <c r="F203" s="35">
        <v>0</v>
      </c>
      <c r="G203" s="12">
        <v>3</v>
      </c>
      <c r="H203" s="36"/>
      <c r="I203" s="34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33">
        <v>46057</v>
      </c>
      <c r="B204" s="34" t="str">
        <f t="shared" si="21"/>
        <v>FEVEREIRO</v>
      </c>
      <c r="C204" s="12" t="s">
        <v>19</v>
      </c>
      <c r="D204" s="12" t="s">
        <v>12</v>
      </c>
      <c r="E204" s="13">
        <v>100</v>
      </c>
      <c r="F204" s="35">
        <v>41</v>
      </c>
      <c r="G204" s="12">
        <v>11</v>
      </c>
      <c r="H204" s="36">
        <v>13</v>
      </c>
      <c r="I204" s="34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33">
        <v>46057</v>
      </c>
      <c r="B205" s="34" t="str">
        <f t="shared" si="21"/>
        <v>FEVEREIRO</v>
      </c>
      <c r="C205" s="12" t="s">
        <v>20</v>
      </c>
      <c r="D205" s="12" t="s">
        <v>12</v>
      </c>
      <c r="E205" s="13">
        <v>486</v>
      </c>
      <c r="F205" s="35">
        <v>293</v>
      </c>
      <c r="G205" s="12">
        <v>90</v>
      </c>
      <c r="H205" s="36">
        <v>90</v>
      </c>
      <c r="I205" s="34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33">
        <v>46057</v>
      </c>
      <c r="B206" s="34" t="str">
        <f t="shared" si="21"/>
        <v>FEVEREIRO</v>
      </c>
      <c r="C206" s="12" t="s">
        <v>11</v>
      </c>
      <c r="D206" s="12" t="s">
        <v>12</v>
      </c>
      <c r="E206" s="13">
        <v>600</v>
      </c>
      <c r="F206" s="35">
        <v>408</v>
      </c>
      <c r="G206" s="12">
        <v>33</v>
      </c>
      <c r="H206" s="36">
        <v>25</v>
      </c>
      <c r="I206" s="34">
        <f>IFERROR(IF(T_PROD[[#This Row],[PREVISTO]]-T_PROD[[#This Row],[EFETIVO]]&lt; 0,0,T_PROD[[#This Row],[PREVISTO]]-T_PROD[[#This Row],[EFETIVO]] ),"")</f>
        <v>8</v>
      </c>
      <c r="J206" s="15">
        <f>IFERROR(IF(T_PROD[[#This Row],[META]]&gt;0,(T_PROD[[#This Row],[META]]/T_PROD[[#This Row],[PREVISTO]]),""),"")</f>
        <v>18.181818181818183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33">
        <v>46057</v>
      </c>
      <c r="B207" s="34" t="str">
        <f t="shared" si="21"/>
        <v>FEVEREIRO</v>
      </c>
      <c r="C207" s="12" t="s">
        <v>13</v>
      </c>
      <c r="D207" s="12" t="s">
        <v>12</v>
      </c>
      <c r="E207" s="13">
        <v>150</v>
      </c>
      <c r="F207" s="35">
        <v>128</v>
      </c>
      <c r="G207" s="12">
        <v>10</v>
      </c>
      <c r="H207" s="36">
        <v>8</v>
      </c>
      <c r="I207" s="34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33">
        <v>46057</v>
      </c>
      <c r="B208" s="34" t="str">
        <f t="shared" si="21"/>
        <v>FEVEREIRO</v>
      </c>
      <c r="C208" s="12" t="s">
        <v>14</v>
      </c>
      <c r="D208" s="12" t="s">
        <v>12</v>
      </c>
      <c r="E208" s="13">
        <v>750</v>
      </c>
      <c r="F208" s="35">
        <v>536</v>
      </c>
      <c r="G208" s="12">
        <v>89</v>
      </c>
      <c r="H208" s="36">
        <v>72</v>
      </c>
      <c r="I208" s="34">
        <f>IFERROR(IF(T_PROD[[#This Row],[PREVISTO]]-T_PROD[[#This Row],[EFETIVO]]&lt; 0,0,T_PROD[[#This Row],[PREVISTO]]-T_PROD[[#This Row],[EFETIVO]] ),"")</f>
        <v>17</v>
      </c>
      <c r="J208" s="15">
        <f>IFERROR(IF(T_PROD[[#This Row],[META]]&gt;0,(T_PROD[[#This Row],[META]]/T_PROD[[#This Row],[PREVISTO]]),""),"")</f>
        <v>8.4269662921348321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2026-02-05T12:45:58Z</dcterms:modified>
</cp:coreProperties>
</file>