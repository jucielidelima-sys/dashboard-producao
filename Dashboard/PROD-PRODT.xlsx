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89C2C8D-0EE5-44F0-81EF-B1B44098B47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LANC.!$A$1:$K$1819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12" i="1" l="1"/>
  <c r="B1813" i="1"/>
  <c r="B1814" i="1"/>
  <c r="B1815" i="1"/>
  <c r="B1816" i="1"/>
  <c r="B1817" i="1"/>
  <c r="B1818" i="1"/>
  <c r="B1819" i="1"/>
  <c r="I1812" i="1"/>
  <c r="I1813" i="1"/>
  <c r="I1814" i="1"/>
  <c r="I1815" i="1"/>
  <c r="I1816" i="1"/>
  <c r="I1817" i="1"/>
  <c r="I1818" i="1"/>
  <c r="I1819" i="1"/>
  <c r="J1812" i="1"/>
  <c r="J1813" i="1"/>
  <c r="J1814" i="1"/>
  <c r="J1815" i="1"/>
  <c r="J1816" i="1"/>
  <c r="J1817" i="1"/>
  <c r="J1818" i="1"/>
  <c r="J1819" i="1"/>
  <c r="K1812" i="1"/>
  <c r="K1813" i="1"/>
  <c r="K1814" i="1"/>
  <c r="K1815" i="1"/>
  <c r="K1816" i="1"/>
  <c r="K1817" i="1"/>
  <c r="K1818" i="1"/>
  <c r="K1819" i="1"/>
  <c r="B1811" i="1"/>
  <c r="I1811" i="1"/>
  <c r="J1811" i="1"/>
  <c r="K1811" i="1"/>
  <c r="B1803" i="1"/>
  <c r="B1804" i="1"/>
  <c r="B1805" i="1"/>
  <c r="B1806" i="1"/>
  <c r="B1807" i="1"/>
  <c r="B1808" i="1"/>
  <c r="B1809" i="1"/>
  <c r="B1810" i="1"/>
  <c r="I1803" i="1"/>
  <c r="I1804" i="1"/>
  <c r="I1805" i="1"/>
  <c r="I1806" i="1"/>
  <c r="I1807" i="1"/>
  <c r="I1808" i="1"/>
  <c r="I1809" i="1"/>
  <c r="I1810" i="1"/>
  <c r="J1803" i="1"/>
  <c r="J1804" i="1"/>
  <c r="J1805" i="1"/>
  <c r="J1806" i="1"/>
  <c r="J1807" i="1"/>
  <c r="J1808" i="1"/>
  <c r="J1809" i="1"/>
  <c r="J1810" i="1"/>
  <c r="K1803" i="1"/>
  <c r="K1804" i="1"/>
  <c r="K1805" i="1"/>
  <c r="K1806" i="1"/>
  <c r="K1807" i="1"/>
  <c r="K1808" i="1"/>
  <c r="K1809" i="1"/>
  <c r="K1810" i="1"/>
  <c r="B1802" i="1"/>
  <c r="I1802" i="1"/>
  <c r="J1802" i="1"/>
  <c r="K1802" i="1"/>
  <c r="B1794" i="1"/>
  <c r="B1795" i="1"/>
  <c r="B1796" i="1"/>
  <c r="B1797" i="1"/>
  <c r="B1798" i="1"/>
  <c r="B1799" i="1"/>
  <c r="B1800" i="1"/>
  <c r="B1801" i="1"/>
  <c r="I1794" i="1"/>
  <c r="I1795" i="1"/>
  <c r="I1796" i="1"/>
  <c r="I1797" i="1"/>
  <c r="I1798" i="1"/>
  <c r="I1799" i="1"/>
  <c r="I1800" i="1"/>
  <c r="I1801" i="1"/>
  <c r="J1794" i="1"/>
  <c r="J1795" i="1"/>
  <c r="J1796" i="1"/>
  <c r="J1797" i="1"/>
  <c r="J1798" i="1"/>
  <c r="J1799" i="1"/>
  <c r="J1800" i="1"/>
  <c r="J1801" i="1"/>
  <c r="K1794" i="1"/>
  <c r="K1795" i="1"/>
  <c r="K1796" i="1"/>
  <c r="K1797" i="1"/>
  <c r="K1798" i="1"/>
  <c r="K1799" i="1"/>
  <c r="K1800" i="1"/>
  <c r="K1801" i="1"/>
  <c r="B1793" i="1"/>
  <c r="I1793" i="1"/>
  <c r="J1793" i="1"/>
  <c r="K1793" i="1"/>
  <c r="B1785" i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<sst xmlns="http://schemas.openxmlformats.org/spreadsheetml/2006/main" count="3706" uniqueCount="46">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</sst>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19" totalsRowShown="0" headerRowDxfId="13" dataDxfId="12" tableBorderDxfId="11">
  <autoFilter ref="A1:K181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25"/>
  <sheetViews>
    <sheetView showGridLines="0" tabSelected="1" zoomScale="90" zoomScaleNormal="90" zoomScaleSheetLayoutView="70" workbookViewId="0">
      <pane ySplit="1" topLeftCell="A1804" activePane="bottomLeft" state="frozen"/>
      <selection pane="bottomLeft" activeCell="H1824" sqref="H182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28">
        <v>46316</v>
      </c>
      <c r="B1784" s="29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0">
        <v>20</v>
      </c>
      <c r="G1784" s="29">
        <v>5</v>
      </c>
      <c r="H1784" s="31">
        <v>5</v>
      </c>
      <c r="I1784" s="29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28">
        <v>46316</v>
      </c>
      <c r="B1785" s="29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0">
        <v>330</v>
      </c>
      <c r="G1785" s="29">
        <v>9</v>
      </c>
      <c r="H1785" s="31">
        <v>9</v>
      </c>
      <c r="I1785" s="29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28">
        <v>46316</v>
      </c>
      <c r="B1786" s="29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0">
        <v>109</v>
      </c>
      <c r="G1786" s="29">
        <v>18</v>
      </c>
      <c r="H1786" s="31">
        <v>18</v>
      </c>
      <c r="I1786" s="29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28">
        <v>46316</v>
      </c>
      <c r="B1787" s="29" t="str">
        <f t="shared" si="197"/>
        <v>OUTUBRO</v>
      </c>
      <c r="C1787" s="12" t="s">
        <v>18</v>
      </c>
      <c r="D1787" s="12" t="s">
        <v>12</v>
      </c>
      <c r="E1787" s="30"/>
      <c r="F1787" s="30"/>
      <c r="G1787" s="29"/>
      <c r="H1787" s="31"/>
      <c r="I1787" s="29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28">
        <v>46316</v>
      </c>
      <c r="B1788" s="29" t="str">
        <f t="shared" si="197"/>
        <v>OUTUBRO</v>
      </c>
      <c r="C1788" s="12" t="s">
        <v>19</v>
      </c>
      <c r="D1788" s="12" t="s">
        <v>12</v>
      </c>
      <c r="E1788" s="30"/>
      <c r="F1788" s="30"/>
      <c r="G1788" s="29"/>
      <c r="H1788" s="31"/>
      <c r="I1788" s="29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28">
        <v>46316</v>
      </c>
      <c r="B1789" s="29" t="str">
        <f t="shared" si="197"/>
        <v>OUTUBRO</v>
      </c>
      <c r="C1789" s="12" t="s">
        <v>20</v>
      </c>
      <c r="D1789" s="12" t="s">
        <v>12</v>
      </c>
      <c r="E1789" s="30">
        <v>777</v>
      </c>
      <c r="F1789" s="30">
        <v>459</v>
      </c>
      <c r="G1789" s="29">
        <v>120</v>
      </c>
      <c r="H1789" s="31">
        <v>120</v>
      </c>
      <c r="I1789" s="29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28">
        <v>46316</v>
      </c>
      <c r="B1790" s="29" t="str">
        <f t="shared" si="197"/>
        <v>OUTUBRO</v>
      </c>
      <c r="C1790" s="12" t="s">
        <v>11</v>
      </c>
      <c r="D1790" s="12" t="s">
        <v>12</v>
      </c>
      <c r="E1790" s="30">
        <v>480</v>
      </c>
      <c r="F1790" s="30">
        <v>483</v>
      </c>
      <c r="G1790" s="29">
        <v>24</v>
      </c>
      <c r="H1790" s="31">
        <v>24</v>
      </c>
      <c r="I1790" s="29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28">
        <v>46316</v>
      </c>
      <c r="B1791" s="29" t="str">
        <f t="shared" si="197"/>
        <v>OUTUBRO</v>
      </c>
      <c r="C1791" s="12" t="s">
        <v>32</v>
      </c>
      <c r="D1791" s="12" t="s">
        <v>12</v>
      </c>
      <c r="E1791" s="30">
        <v>150</v>
      </c>
      <c r="F1791" s="30">
        <v>163</v>
      </c>
      <c r="G1791" s="29">
        <v>14</v>
      </c>
      <c r="H1791" s="31">
        <v>14</v>
      </c>
      <c r="I1791" s="29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28">
        <v>46316</v>
      </c>
      <c r="B1792" s="29" t="str">
        <f t="shared" si="197"/>
        <v>OUTUBRO</v>
      </c>
      <c r="C1792" s="12" t="s">
        <v>14</v>
      </c>
      <c r="D1792" s="12" t="s">
        <v>12</v>
      </c>
      <c r="E1792" s="30">
        <v>630</v>
      </c>
      <c r="F1792" s="30">
        <v>646</v>
      </c>
      <c r="G1792" s="29">
        <v>100</v>
      </c>
      <c r="H1792" s="31">
        <v>92</v>
      </c>
      <c r="I1792" s="29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28">
        <v>46317</v>
      </c>
      <c r="B1793" s="29" t="str">
        <f>UPPER(TEXT(A1793,"MMMM"))</f>
        <v>OUTUBRO</v>
      </c>
      <c r="C1793" s="6" t="s">
        <v>15</v>
      </c>
      <c r="D1793" s="12" t="s">
        <v>12</v>
      </c>
      <c r="E1793" s="30">
        <v>75</v>
      </c>
      <c r="F1793" s="30">
        <v>60</v>
      </c>
      <c r="G1793" s="29">
        <v>5</v>
      </c>
      <c r="H1793" s="31">
        <v>5</v>
      </c>
      <c r="I1793" s="29">
        <f>IFERROR(IF(T_PROD[[#This Row],[PREVISTO]]-T_PROD[[#This Row],[EFETIVO]]&lt; 0,0,T_PROD[[#This Row],[PREVISTO]]-T_PROD[[#This Row],[EFETIVO]] ),"")</f>
        <v>0</v>
      </c>
      <c r="J1793" s="32">
        <f>IFERROR(IF(T_PROD[[#This Row],[META]]&gt;0,(T_PROD[[#This Row],[META]]/T_PROD[[#This Row],[PREVISTO]]),""),"")</f>
        <v>15</v>
      </c>
      <c r="K1793" s="32">
        <f>IFERROR(IF(T_PROD[[#This Row],[PRODUÇÃO]]&gt;0,(T_PROD[[#This Row],[PRODUÇÃO]]/T_PROD[[#This Row],[EFETIVO]]),""),"")</f>
        <v>12</v>
      </c>
    </row>
    <row r="1794" spans="1:11" x14ac:dyDescent="0.3">
      <c r="A1794" s="28">
        <v>46317</v>
      </c>
      <c r="B1794" s="29" t="str">
        <f t="shared" ref="B1794:B1801" si="198">UPPER(TEXT(A1794,"MMMM"))</f>
        <v>OUTUBRO</v>
      </c>
      <c r="C1794" s="12" t="s">
        <v>16</v>
      </c>
      <c r="D1794" s="12" t="s">
        <v>12</v>
      </c>
      <c r="E1794" s="30">
        <v>306</v>
      </c>
      <c r="F1794" s="30">
        <v>300</v>
      </c>
      <c r="G1794" s="29">
        <v>9</v>
      </c>
      <c r="H1794" s="31">
        <v>9</v>
      </c>
      <c r="I1794" s="29">
        <f>IFERROR(IF(T_PROD[[#This Row],[PREVISTO]]-T_PROD[[#This Row],[EFETIVO]]&lt; 0,0,T_PROD[[#This Row],[PREVISTO]]-T_PROD[[#This Row],[EFETIVO]] ),"")</f>
        <v>0</v>
      </c>
      <c r="J1794" s="32">
        <f>IFERROR(IF(T_PROD[[#This Row],[META]]&gt;0,(T_PROD[[#This Row],[META]]/T_PROD[[#This Row],[PREVISTO]]),""),"")</f>
        <v>34</v>
      </c>
      <c r="K1794" s="32">
        <f>IFERROR(IF(T_PROD[[#This Row],[PRODUÇÃO]]&gt;0,(T_PROD[[#This Row],[PRODUÇÃO]]/T_PROD[[#This Row],[EFETIVO]]),""),"")</f>
        <v>33.333333333333336</v>
      </c>
    </row>
    <row r="1795" spans="1:11" x14ac:dyDescent="0.3">
      <c r="A1795" s="28">
        <v>46317</v>
      </c>
      <c r="B1795" s="29" t="str">
        <f t="shared" si="198"/>
        <v>OUTUBRO</v>
      </c>
      <c r="C1795" s="12" t="s">
        <v>17</v>
      </c>
      <c r="D1795" s="12" t="s">
        <v>12</v>
      </c>
      <c r="E1795" s="30">
        <v>286</v>
      </c>
      <c r="F1795" s="30">
        <v>170</v>
      </c>
      <c r="G1795" s="29">
        <v>13</v>
      </c>
      <c r="H1795" s="31">
        <v>13</v>
      </c>
      <c r="I1795" s="29">
        <f>IFERROR(IF(T_PROD[[#This Row],[PREVISTO]]-T_PROD[[#This Row],[EFETIVO]]&lt; 0,0,T_PROD[[#This Row],[PREVISTO]]-T_PROD[[#This Row],[EFETIVO]] ),"")</f>
        <v>0</v>
      </c>
      <c r="J1795" s="32">
        <f>IFERROR(IF(T_PROD[[#This Row],[META]]&gt;0,(T_PROD[[#This Row],[META]]/T_PROD[[#This Row],[PREVISTO]]),""),"")</f>
        <v>22</v>
      </c>
      <c r="K1795" s="32">
        <f>IFERROR(IF(T_PROD[[#This Row],[PRODUÇÃO]]&gt;0,(T_PROD[[#This Row],[PRODUÇÃO]]/T_PROD[[#This Row],[EFETIVO]]),""),"")</f>
        <v>13.076923076923077</v>
      </c>
    </row>
    <row r="1796" spans="1:11" x14ac:dyDescent="0.3">
      <c r="A1796" s="28">
        <v>46317</v>
      </c>
      <c r="B1796" s="29" t="str">
        <f t="shared" si="198"/>
        <v>OUTUBRO</v>
      </c>
      <c r="C1796" s="12" t="s">
        <v>18</v>
      </c>
      <c r="D1796" s="12" t="s">
        <v>12</v>
      </c>
      <c r="E1796" s="30"/>
      <c r="F1796" s="30"/>
      <c r="G1796" s="29"/>
      <c r="H1796" s="31"/>
      <c r="I1796" s="29">
        <f>IFERROR(IF(T_PROD[[#This Row],[PREVISTO]]-T_PROD[[#This Row],[EFETIVO]]&lt; 0,0,T_PROD[[#This Row],[PREVISTO]]-T_PROD[[#This Row],[EFETIVO]] ),"")</f>
        <v>0</v>
      </c>
      <c r="J1796" s="32" t="str">
        <f>IFERROR(IF(T_PROD[[#This Row],[META]]&gt;0,(T_PROD[[#This Row],[META]]/T_PROD[[#This Row],[PREVISTO]]),""),"")</f>
        <v/>
      </c>
      <c r="K1796" s="32" t="str">
        <f>IFERROR(IF(T_PROD[[#This Row],[PRODUÇÃO]]&gt;0,(T_PROD[[#This Row],[PRODUÇÃO]]/T_PROD[[#This Row],[EFETIVO]]),""),"")</f>
        <v/>
      </c>
    </row>
    <row r="1797" spans="1:11" x14ac:dyDescent="0.3">
      <c r="A1797" s="28">
        <v>46317</v>
      </c>
      <c r="B1797" s="29" t="str">
        <f t="shared" si="198"/>
        <v>OUTUBRO</v>
      </c>
      <c r="C1797" s="12" t="s">
        <v>19</v>
      </c>
      <c r="D1797" s="12" t="s">
        <v>12</v>
      </c>
      <c r="E1797" s="30"/>
      <c r="F1797" s="30"/>
      <c r="G1797" s="29"/>
      <c r="H1797" s="31"/>
      <c r="I1797" s="29">
        <f>IFERROR(IF(T_PROD[[#This Row],[PREVISTO]]-T_PROD[[#This Row],[EFETIVO]]&lt; 0,0,T_PROD[[#This Row],[PREVISTO]]-T_PROD[[#This Row],[EFETIVO]] ),"")</f>
        <v>0</v>
      </c>
      <c r="J1797" s="32" t="str">
        <f>IFERROR(IF(T_PROD[[#This Row],[META]]&gt;0,(T_PROD[[#This Row],[META]]/T_PROD[[#This Row],[PREVISTO]]),""),"")</f>
        <v/>
      </c>
      <c r="K1797" s="32" t="str">
        <f>IFERROR(IF(T_PROD[[#This Row],[PRODUÇÃO]]&gt;0,(T_PROD[[#This Row],[PRODUÇÃO]]/T_PROD[[#This Row],[EFETIVO]]),""),"")</f>
        <v/>
      </c>
    </row>
    <row r="1798" spans="1:11" x14ac:dyDescent="0.3">
      <c r="A1798" s="28">
        <v>46317</v>
      </c>
      <c r="B1798" s="29" t="str">
        <f t="shared" si="198"/>
        <v>OUTUBRO</v>
      </c>
      <c r="C1798" s="12" t="s">
        <v>20</v>
      </c>
      <c r="D1798" s="12" t="s">
        <v>12</v>
      </c>
      <c r="E1798" s="30">
        <v>667</v>
      </c>
      <c r="F1798" s="30">
        <v>530</v>
      </c>
      <c r="G1798" s="29">
        <v>120</v>
      </c>
      <c r="H1798" s="31">
        <v>120</v>
      </c>
      <c r="I1798" s="29">
        <f>IFERROR(IF(T_PROD[[#This Row],[PREVISTO]]-T_PROD[[#This Row],[EFETIVO]]&lt; 0,0,T_PROD[[#This Row],[PREVISTO]]-T_PROD[[#This Row],[EFETIVO]] ),"")</f>
        <v>0</v>
      </c>
      <c r="J1798" s="32">
        <f>IFERROR(IF(T_PROD[[#This Row],[META]]&gt;0,(T_PROD[[#This Row],[META]]/T_PROD[[#This Row],[PREVISTO]]),""),"")</f>
        <v>5.5583333333333336</v>
      </c>
      <c r="K1798" s="32">
        <f>IFERROR(IF(T_PROD[[#This Row],[PRODUÇÃO]]&gt;0,(T_PROD[[#This Row],[PRODUÇÃO]]/T_PROD[[#This Row],[EFETIVO]]),""),"")</f>
        <v>4.416666666666667</v>
      </c>
    </row>
    <row r="1799" spans="1:11" x14ac:dyDescent="0.3">
      <c r="A1799" s="28">
        <v>46317</v>
      </c>
      <c r="B1799" s="29" t="str">
        <f t="shared" si="198"/>
        <v>OUTUBRO</v>
      </c>
      <c r="C1799" s="12" t="s">
        <v>11</v>
      </c>
      <c r="D1799" s="12" t="s">
        <v>12</v>
      </c>
      <c r="E1799" s="30">
        <v>800</v>
      </c>
      <c r="F1799" s="30">
        <v>836</v>
      </c>
      <c r="G1799" s="29">
        <v>40</v>
      </c>
      <c r="H1799" s="31">
        <v>40</v>
      </c>
      <c r="I1799" s="29">
        <f>IFERROR(IF(T_PROD[[#This Row],[PREVISTO]]-T_PROD[[#This Row],[EFETIVO]]&lt; 0,0,T_PROD[[#This Row],[PREVISTO]]-T_PROD[[#This Row],[EFETIVO]] ),"")</f>
        <v>0</v>
      </c>
      <c r="J1799" s="32">
        <f>IFERROR(IF(T_PROD[[#This Row],[META]]&gt;0,(T_PROD[[#This Row],[META]]/T_PROD[[#This Row],[PREVISTO]]),""),"")</f>
        <v>20</v>
      </c>
      <c r="K1799" s="32">
        <f>IFERROR(IF(T_PROD[[#This Row],[PRODUÇÃO]]&gt;0,(T_PROD[[#This Row],[PRODUÇÃO]]/T_PROD[[#This Row],[EFETIVO]]),""),"")</f>
        <v>20.9</v>
      </c>
    </row>
    <row r="1800" spans="1:11" x14ac:dyDescent="0.3">
      <c r="A1800" s="28">
        <v>46317</v>
      </c>
      <c r="B1800" s="29" t="str">
        <f t="shared" si="198"/>
        <v>OUTUBRO</v>
      </c>
      <c r="C1800" s="12" t="s">
        <v>32</v>
      </c>
      <c r="D1800" s="12" t="s">
        <v>12</v>
      </c>
      <c r="E1800" s="30">
        <v>130</v>
      </c>
      <c r="F1800" s="30">
        <v>146</v>
      </c>
      <c r="G1800" s="29">
        <v>13</v>
      </c>
      <c r="H1800" s="31">
        <v>13</v>
      </c>
      <c r="I1800" s="29">
        <f>IFERROR(IF(T_PROD[[#This Row],[PREVISTO]]-T_PROD[[#This Row],[EFETIVO]]&lt; 0,0,T_PROD[[#This Row],[PREVISTO]]-T_PROD[[#This Row],[EFETIVO]] ),"")</f>
        <v>0</v>
      </c>
      <c r="J1800" s="32">
        <f>IFERROR(IF(T_PROD[[#This Row],[META]]&gt;0,(T_PROD[[#This Row],[META]]/T_PROD[[#This Row],[PREVISTO]]),""),"")</f>
        <v>10</v>
      </c>
      <c r="K1800" s="32">
        <f>IFERROR(IF(T_PROD[[#This Row],[PRODUÇÃO]]&gt;0,(T_PROD[[#This Row],[PRODUÇÃO]]/T_PROD[[#This Row],[EFETIVO]]),""),"")</f>
        <v>11.23076923076923</v>
      </c>
    </row>
    <row r="1801" spans="1:11" x14ac:dyDescent="0.3">
      <c r="A1801" s="28">
        <v>46317</v>
      </c>
      <c r="B1801" s="29" t="str">
        <f t="shared" si="198"/>
        <v>OUTUBRO</v>
      </c>
      <c r="C1801" s="12" t="s">
        <v>14</v>
      </c>
      <c r="D1801" s="12" t="s">
        <v>12</v>
      </c>
      <c r="E1801" s="30">
        <v>930</v>
      </c>
      <c r="F1801" s="30">
        <v>982</v>
      </c>
      <c r="G1801" s="29">
        <v>115</v>
      </c>
      <c r="H1801" s="31">
        <v>108</v>
      </c>
      <c r="I1801" s="29">
        <f>IFERROR(IF(T_PROD[[#This Row],[PREVISTO]]-T_PROD[[#This Row],[EFETIVO]]&lt; 0,0,T_PROD[[#This Row],[PREVISTO]]-T_PROD[[#This Row],[EFETIVO]] ),"")</f>
        <v>7</v>
      </c>
      <c r="J1801" s="32">
        <f>IFERROR(IF(T_PROD[[#This Row],[META]]&gt;0,(T_PROD[[#This Row],[META]]/T_PROD[[#This Row],[PREVISTO]]),""),"")</f>
        <v>8.0869565217391308</v>
      </c>
      <c r="K1801" s="32">
        <f>IFERROR(IF(T_PROD[[#This Row],[PRODUÇÃO]]&gt;0,(T_PROD[[#This Row],[PRODUÇÃO]]/T_PROD[[#This Row],[EFETIVO]]),""),"")</f>
        <v>9.0925925925925934</v>
      </c>
    </row>
    <row r="1802" spans="1:11" x14ac:dyDescent="0.3">
      <c r="A1802" s="28">
        <v>46318</v>
      </c>
      <c r="B1802" s="29" t="str">
        <f>UPPER(TEXT(A1802,"MMMM"))</f>
        <v>OUTUBRO</v>
      </c>
      <c r="C1802" s="6" t="s">
        <v>15</v>
      </c>
      <c r="D1802" s="12" t="s">
        <v>12</v>
      </c>
      <c r="E1802" s="30">
        <v>75</v>
      </c>
      <c r="F1802" s="30">
        <v>44</v>
      </c>
      <c r="G1802" s="29">
        <v>5</v>
      </c>
      <c r="H1802" s="31">
        <v>5</v>
      </c>
      <c r="I1802" s="29">
        <f>IFERROR(IF(T_PROD[[#This Row],[PREVISTO]]-T_PROD[[#This Row],[EFETIVO]]&lt; 0,0,T_PROD[[#This Row],[PREVISTO]]-T_PROD[[#This Row],[EFETIVO]] ),"")</f>
        <v>0</v>
      </c>
      <c r="J1802" s="32">
        <f>IFERROR(IF(T_PROD[[#This Row],[META]]&gt;0,(T_PROD[[#This Row],[META]]/T_PROD[[#This Row],[PREVISTO]]),""),"")</f>
        <v>15</v>
      </c>
      <c r="K1802" s="32">
        <f>IFERROR(IF(T_PROD[[#This Row],[PRODUÇÃO]]&gt;0,(T_PROD[[#This Row],[PRODUÇÃO]]/T_PROD[[#This Row],[EFETIVO]]),""),"")</f>
        <v>8.8000000000000007</v>
      </c>
    </row>
    <row r="1803" spans="1:11" x14ac:dyDescent="0.3">
      <c r="A1803" s="28">
        <v>46318</v>
      </c>
      <c r="B1803" s="29" t="str">
        <f t="shared" ref="B1803:B1810" si="199">UPPER(TEXT(A1803,"MMMM"))</f>
        <v>OUTUBRO</v>
      </c>
      <c r="C1803" s="12" t="s">
        <v>16</v>
      </c>
      <c r="D1803" s="12" t="s">
        <v>12</v>
      </c>
      <c r="E1803" s="30">
        <v>306</v>
      </c>
      <c r="F1803" s="30">
        <v>256</v>
      </c>
      <c r="G1803" s="29">
        <v>9</v>
      </c>
      <c r="H1803" s="31">
        <v>9</v>
      </c>
      <c r="I1803" s="29">
        <f>IFERROR(IF(T_PROD[[#This Row],[PREVISTO]]-T_PROD[[#This Row],[EFETIVO]]&lt; 0,0,T_PROD[[#This Row],[PREVISTO]]-T_PROD[[#This Row],[EFETIVO]] ),"")</f>
        <v>0</v>
      </c>
      <c r="J1803" s="32">
        <f>IFERROR(IF(T_PROD[[#This Row],[META]]&gt;0,(T_PROD[[#This Row],[META]]/T_PROD[[#This Row],[PREVISTO]]),""),"")</f>
        <v>34</v>
      </c>
      <c r="K1803" s="32">
        <f>IFERROR(IF(T_PROD[[#This Row],[PRODUÇÃO]]&gt;0,(T_PROD[[#This Row],[PRODUÇÃO]]/T_PROD[[#This Row],[EFETIVO]]),""),"")</f>
        <v>28.444444444444443</v>
      </c>
    </row>
    <row r="1804" spans="1:11" x14ac:dyDescent="0.3">
      <c r="A1804" s="28">
        <v>46318</v>
      </c>
      <c r="B1804" s="29" t="str">
        <f t="shared" si="199"/>
        <v>OUTUBRO</v>
      </c>
      <c r="C1804" s="12" t="s">
        <v>17</v>
      </c>
      <c r="D1804" s="12" t="s">
        <v>12</v>
      </c>
      <c r="E1804" s="30">
        <v>220</v>
      </c>
      <c r="F1804" s="30">
        <v>192</v>
      </c>
      <c r="G1804" s="29">
        <v>10</v>
      </c>
      <c r="H1804" s="31">
        <v>10</v>
      </c>
      <c r="I1804" s="29">
        <f>IFERROR(IF(T_PROD[[#This Row],[PREVISTO]]-T_PROD[[#This Row],[EFETIVO]]&lt; 0,0,T_PROD[[#This Row],[PREVISTO]]-T_PROD[[#This Row],[EFETIVO]] ),"")</f>
        <v>0</v>
      </c>
      <c r="J1804" s="32">
        <f>IFERROR(IF(T_PROD[[#This Row],[META]]&gt;0,(T_PROD[[#This Row],[META]]/T_PROD[[#This Row],[PREVISTO]]),""),"")</f>
        <v>22</v>
      </c>
      <c r="K1804" s="32">
        <f>IFERROR(IF(T_PROD[[#This Row],[PRODUÇÃO]]&gt;0,(T_PROD[[#This Row],[PRODUÇÃO]]/T_PROD[[#This Row],[EFETIVO]]),""),"")</f>
        <v>19.2</v>
      </c>
    </row>
    <row r="1805" spans="1:11" x14ac:dyDescent="0.3">
      <c r="A1805" s="28">
        <v>46318</v>
      </c>
      <c r="B1805" s="29" t="str">
        <f t="shared" si="199"/>
        <v>OUTUBRO</v>
      </c>
      <c r="C1805" s="12" t="s">
        <v>18</v>
      </c>
      <c r="D1805" s="12" t="s">
        <v>12</v>
      </c>
      <c r="E1805" s="30"/>
      <c r="F1805" s="30"/>
      <c r="G1805" s="29"/>
      <c r="H1805" s="31"/>
      <c r="I1805" s="29">
        <f>IFERROR(IF(T_PROD[[#This Row],[PREVISTO]]-T_PROD[[#This Row],[EFETIVO]]&lt; 0,0,T_PROD[[#This Row],[PREVISTO]]-T_PROD[[#This Row],[EFETIVO]] ),"")</f>
        <v>0</v>
      </c>
      <c r="J1805" s="32" t="str">
        <f>IFERROR(IF(T_PROD[[#This Row],[META]]&gt;0,(T_PROD[[#This Row],[META]]/T_PROD[[#This Row],[PREVISTO]]),""),"")</f>
        <v/>
      </c>
      <c r="K1805" s="32" t="str">
        <f>IFERROR(IF(T_PROD[[#This Row],[PRODUÇÃO]]&gt;0,(T_PROD[[#This Row],[PRODUÇÃO]]/T_PROD[[#This Row],[EFETIVO]]),""),"")</f>
        <v/>
      </c>
    </row>
    <row r="1806" spans="1:11" x14ac:dyDescent="0.3">
      <c r="A1806" s="28">
        <v>46318</v>
      </c>
      <c r="B1806" s="29" t="str">
        <f t="shared" si="199"/>
        <v>OUTUBRO</v>
      </c>
      <c r="C1806" s="12" t="s">
        <v>19</v>
      </c>
      <c r="D1806" s="12" t="s">
        <v>12</v>
      </c>
      <c r="E1806" s="30"/>
      <c r="F1806" s="30"/>
      <c r="G1806" s="29"/>
      <c r="H1806" s="31"/>
      <c r="I1806" s="29">
        <f>IFERROR(IF(T_PROD[[#This Row],[PREVISTO]]-T_PROD[[#This Row],[EFETIVO]]&lt; 0,0,T_PROD[[#This Row],[PREVISTO]]-T_PROD[[#This Row],[EFETIVO]] ),"")</f>
        <v>0</v>
      </c>
      <c r="J1806" s="32" t="str">
        <f>IFERROR(IF(T_PROD[[#This Row],[META]]&gt;0,(T_PROD[[#This Row],[META]]/T_PROD[[#This Row],[PREVISTO]]),""),"")</f>
        <v/>
      </c>
      <c r="K1806" s="32" t="str">
        <f>IFERROR(IF(T_PROD[[#This Row],[PRODUÇÃO]]&gt;0,(T_PROD[[#This Row],[PRODUÇÃO]]/T_PROD[[#This Row],[EFETIVO]]),""),"")</f>
        <v/>
      </c>
    </row>
    <row r="1807" spans="1:11" x14ac:dyDescent="0.3">
      <c r="A1807" s="28">
        <v>46318</v>
      </c>
      <c r="B1807" s="29" t="str">
        <f t="shared" si="199"/>
        <v>OUTUBRO</v>
      </c>
      <c r="C1807" s="12" t="s">
        <v>20</v>
      </c>
      <c r="D1807" s="12" t="s">
        <v>12</v>
      </c>
      <c r="E1807" s="30">
        <v>601</v>
      </c>
      <c r="F1807" s="30">
        <v>492</v>
      </c>
      <c r="G1807" s="29">
        <v>120</v>
      </c>
      <c r="H1807" s="31">
        <v>120</v>
      </c>
      <c r="I1807" s="29">
        <f>IFERROR(IF(T_PROD[[#This Row],[PREVISTO]]-T_PROD[[#This Row],[EFETIVO]]&lt; 0,0,T_PROD[[#This Row],[PREVISTO]]-T_PROD[[#This Row],[EFETIVO]] ),"")</f>
        <v>0</v>
      </c>
      <c r="J1807" s="32">
        <f>IFERROR(IF(T_PROD[[#This Row],[META]]&gt;0,(T_PROD[[#This Row],[META]]/T_PROD[[#This Row],[PREVISTO]]),""),"")</f>
        <v>5.0083333333333337</v>
      </c>
      <c r="K1807" s="32">
        <f>IFERROR(IF(T_PROD[[#This Row],[PRODUÇÃO]]&gt;0,(T_PROD[[#This Row],[PRODUÇÃO]]/T_PROD[[#This Row],[EFETIVO]]),""),"")</f>
        <v>4.0999999999999996</v>
      </c>
    </row>
    <row r="1808" spans="1:11" x14ac:dyDescent="0.3">
      <c r="A1808" s="28">
        <v>46318</v>
      </c>
      <c r="B1808" s="29" t="str">
        <f t="shared" si="199"/>
        <v>OUTUBRO</v>
      </c>
      <c r="C1808" s="12" t="s">
        <v>11</v>
      </c>
      <c r="D1808" s="12" t="s">
        <v>12</v>
      </c>
      <c r="E1808" s="30"/>
      <c r="F1808" s="30"/>
      <c r="G1808" s="29"/>
      <c r="H1808" s="31"/>
      <c r="I1808" s="29">
        <f>IFERROR(IF(T_PROD[[#This Row],[PREVISTO]]-T_PROD[[#This Row],[EFETIVO]]&lt; 0,0,T_PROD[[#This Row],[PREVISTO]]-T_PROD[[#This Row],[EFETIVO]] ),"")</f>
        <v>0</v>
      </c>
      <c r="J1808" s="32" t="str">
        <f>IFERROR(IF(T_PROD[[#This Row],[META]]&gt;0,(T_PROD[[#This Row],[META]]/T_PROD[[#This Row],[PREVISTO]]),""),"")</f>
        <v/>
      </c>
      <c r="K1808" s="32" t="str">
        <f>IFERROR(IF(T_PROD[[#This Row],[PRODUÇÃO]]&gt;0,(T_PROD[[#This Row],[PRODUÇÃO]]/T_PROD[[#This Row],[EFETIVO]]),""),"")</f>
        <v/>
      </c>
    </row>
    <row r="1809" spans="1:11" x14ac:dyDescent="0.3">
      <c r="A1809" s="28">
        <v>46318</v>
      </c>
      <c r="B1809" s="29" t="str">
        <f t="shared" si="199"/>
        <v>OUTUBRO</v>
      </c>
      <c r="C1809" s="12" t="s">
        <v>32</v>
      </c>
      <c r="D1809" s="12" t="s">
        <v>12</v>
      </c>
      <c r="E1809" s="30">
        <v>120</v>
      </c>
      <c r="F1809" s="30">
        <v>125</v>
      </c>
      <c r="G1809" s="29">
        <v>10</v>
      </c>
      <c r="H1809" s="31">
        <v>10</v>
      </c>
      <c r="I1809" s="29">
        <f>IFERROR(IF(T_PROD[[#This Row],[PREVISTO]]-T_PROD[[#This Row],[EFETIVO]]&lt; 0,0,T_PROD[[#This Row],[PREVISTO]]-T_PROD[[#This Row],[EFETIVO]] ),"")</f>
        <v>0</v>
      </c>
      <c r="J1809" s="32">
        <f>IFERROR(IF(T_PROD[[#This Row],[META]]&gt;0,(T_PROD[[#This Row],[META]]/T_PROD[[#This Row],[PREVISTO]]),""),"")</f>
        <v>12</v>
      </c>
      <c r="K1809" s="32">
        <f>IFERROR(IF(T_PROD[[#This Row],[PRODUÇÃO]]&gt;0,(T_PROD[[#This Row],[PRODUÇÃO]]/T_PROD[[#This Row],[EFETIVO]]),""),"")</f>
        <v>12.5</v>
      </c>
    </row>
    <row r="1810" spans="1:11" x14ac:dyDescent="0.3">
      <c r="A1810" s="28">
        <v>46318</v>
      </c>
      <c r="B1810" s="29" t="str">
        <f t="shared" si="199"/>
        <v>OUTUBRO</v>
      </c>
      <c r="C1810" s="12" t="s">
        <v>14</v>
      </c>
      <c r="D1810" s="12" t="s">
        <v>12</v>
      </c>
      <c r="E1810" s="30">
        <v>120</v>
      </c>
      <c r="F1810" s="30">
        <v>125</v>
      </c>
      <c r="G1810" s="29">
        <v>90</v>
      </c>
      <c r="H1810" s="31">
        <v>90</v>
      </c>
      <c r="I1810" s="29">
        <f>IFERROR(IF(T_PROD[[#This Row],[PREVISTO]]-T_PROD[[#This Row],[EFETIVO]]&lt; 0,0,T_PROD[[#This Row],[PREVISTO]]-T_PROD[[#This Row],[EFETIVO]] ),"")</f>
        <v>0</v>
      </c>
      <c r="J1810" s="32">
        <f>IFERROR(IF(T_PROD[[#This Row],[META]]&gt;0,(T_PROD[[#This Row],[META]]/T_PROD[[#This Row],[PREVISTO]]),""),"")</f>
        <v>1.3333333333333333</v>
      </c>
      <c r="K1810" s="32">
        <f>IFERROR(IF(T_PROD[[#This Row],[PRODUÇÃO]]&gt;0,(T_PROD[[#This Row],[PRODUÇÃO]]/T_PROD[[#This Row],[EFETIVO]]),""),"")</f>
        <v>1.3888888888888888</v>
      </c>
    </row>
    <row r="1811" spans="1:11" x14ac:dyDescent="0.3">
      <c r="A1811" s="33">
        <v>46321</v>
      </c>
      <c r="B1811" s="34" t="str">
        <f>UPPER(TEXT(A1811,"MMMM"))</f>
        <v>OUTUBRO</v>
      </c>
      <c r="C1811" s="6" t="s">
        <v>15</v>
      </c>
      <c r="D1811" s="12" t="s">
        <v>12</v>
      </c>
      <c r="E1811" s="35">
        <v>67.5</v>
      </c>
      <c r="F1811" s="35">
        <v>33</v>
      </c>
      <c r="G1811" s="34">
        <v>4.5</v>
      </c>
      <c r="H1811" s="36">
        <v>4.5</v>
      </c>
      <c r="I1811" s="34">
        <f>IFERROR(IF(T_PROD[[#This Row],[PREVISTO]]-T_PROD[[#This Row],[EFETIVO]]&lt; 0,0,T_PROD[[#This Row],[PREVISTO]]-T_PROD[[#This Row],[EFETIVO]] ),"")</f>
        <v>0</v>
      </c>
      <c r="J1811" s="32">
        <f>IFERROR(IF(T_PROD[[#This Row],[META]]&gt;0,(T_PROD[[#This Row],[META]]/T_PROD[[#This Row],[PREVISTO]]),""),"")</f>
        <v>15</v>
      </c>
      <c r="K1811" s="32">
        <f>IFERROR(IF(T_PROD[[#This Row],[PRODUÇÃO]]&gt;0,(T_PROD[[#This Row],[PRODUÇÃO]]/T_PROD[[#This Row],[EFETIVO]]),""),"")</f>
        <v>7.333333333333333</v>
      </c>
    </row>
    <row r="1812" spans="1:11" x14ac:dyDescent="0.3">
      <c r="A1812" s="33">
        <v>46321</v>
      </c>
      <c r="B1812" s="34" t="str">
        <f t="shared" ref="B1812:B1819" si="200">UPPER(TEXT(A1812,"MMMM"))</f>
        <v>OUTUBRO</v>
      </c>
      <c r="C1812" s="12" t="s">
        <v>16</v>
      </c>
      <c r="D1812" s="12" t="s">
        <v>12</v>
      </c>
      <c r="E1812" s="35">
        <v>340</v>
      </c>
      <c r="F1812" s="35">
        <v>309</v>
      </c>
      <c r="G1812" s="34">
        <v>10</v>
      </c>
      <c r="H1812" s="36">
        <v>10</v>
      </c>
      <c r="I1812" s="34">
        <f>IFERROR(IF(T_PROD[[#This Row],[PREVISTO]]-T_PROD[[#This Row],[EFETIVO]]&lt; 0,0,T_PROD[[#This Row],[PREVISTO]]-T_PROD[[#This Row],[EFETIVO]] ),"")</f>
        <v>0</v>
      </c>
      <c r="J1812" s="32">
        <f>IFERROR(IF(T_PROD[[#This Row],[META]]&gt;0,(T_PROD[[#This Row],[META]]/T_PROD[[#This Row],[PREVISTO]]),""),"")</f>
        <v>34</v>
      </c>
      <c r="K1812" s="32">
        <f>IFERROR(IF(T_PROD[[#This Row],[PRODUÇÃO]]&gt;0,(T_PROD[[#This Row],[PRODUÇÃO]]/T_PROD[[#This Row],[EFETIVO]]),""),"")</f>
        <v>30.9</v>
      </c>
    </row>
    <row r="1813" spans="1:11" x14ac:dyDescent="0.3">
      <c r="A1813" s="33">
        <v>46321</v>
      </c>
      <c r="B1813" s="34" t="str">
        <f t="shared" si="200"/>
        <v>OUTUBRO</v>
      </c>
      <c r="C1813" s="12" t="s">
        <v>17</v>
      </c>
      <c r="D1813" s="12" t="s">
        <v>12</v>
      </c>
      <c r="E1813" s="35">
        <v>220</v>
      </c>
      <c r="F1813" s="35">
        <v>207</v>
      </c>
      <c r="G1813" s="34">
        <v>10</v>
      </c>
      <c r="H1813" s="36">
        <v>10</v>
      </c>
      <c r="I1813" s="34">
        <f>IFERROR(IF(T_PROD[[#This Row],[PREVISTO]]-T_PROD[[#This Row],[EFETIVO]]&lt; 0,0,T_PROD[[#This Row],[PREVISTO]]-T_PROD[[#This Row],[EFETIVO]] ),"")</f>
        <v>0</v>
      </c>
      <c r="J1813" s="32">
        <f>IFERROR(IF(T_PROD[[#This Row],[META]]&gt;0,(T_PROD[[#This Row],[META]]/T_PROD[[#This Row],[PREVISTO]]),""),"")</f>
        <v>22</v>
      </c>
      <c r="K1813" s="32">
        <f>IFERROR(IF(T_PROD[[#This Row],[PRODUÇÃO]]&gt;0,(T_PROD[[#This Row],[PRODUÇÃO]]/T_PROD[[#This Row],[EFETIVO]]),""),"")</f>
        <v>20.7</v>
      </c>
    </row>
    <row r="1814" spans="1:11" x14ac:dyDescent="0.3">
      <c r="A1814" s="33">
        <v>46321</v>
      </c>
      <c r="B1814" s="34" t="str">
        <f t="shared" si="200"/>
        <v>OUTUBRO</v>
      </c>
      <c r="C1814" s="12" t="s">
        <v>18</v>
      </c>
      <c r="D1814" s="12" t="s">
        <v>12</v>
      </c>
      <c r="E1814" s="35"/>
      <c r="F1814" s="35"/>
      <c r="G1814" s="34"/>
      <c r="H1814" s="36"/>
      <c r="I1814" s="34">
        <f>IFERROR(IF(T_PROD[[#This Row],[PREVISTO]]-T_PROD[[#This Row],[EFETIVO]]&lt; 0,0,T_PROD[[#This Row],[PREVISTO]]-T_PROD[[#This Row],[EFETIVO]] ),"")</f>
        <v>0</v>
      </c>
      <c r="J1814" s="32" t="str">
        <f>IFERROR(IF(T_PROD[[#This Row],[META]]&gt;0,(T_PROD[[#This Row],[META]]/T_PROD[[#This Row],[PREVISTO]]),""),"")</f>
        <v/>
      </c>
      <c r="K1814" s="32" t="str">
        <f>IFERROR(IF(T_PROD[[#This Row],[PRODUÇÃO]]&gt;0,(T_PROD[[#This Row],[PRODUÇÃO]]/T_PROD[[#This Row],[EFETIVO]]),""),"")</f>
        <v/>
      </c>
    </row>
    <row r="1815" spans="1:11" x14ac:dyDescent="0.3">
      <c r="A1815" s="33">
        <v>46321</v>
      </c>
      <c r="B1815" s="34" t="str">
        <f t="shared" si="200"/>
        <v>OUTUBRO</v>
      </c>
      <c r="C1815" s="12" t="s">
        <v>19</v>
      </c>
      <c r="D1815" s="12" t="s">
        <v>12</v>
      </c>
      <c r="E1815" s="35"/>
      <c r="F1815" s="35"/>
      <c r="G1815" s="34"/>
      <c r="H1815" s="36"/>
      <c r="I1815" s="34">
        <f>IFERROR(IF(T_PROD[[#This Row],[PREVISTO]]-T_PROD[[#This Row],[EFETIVO]]&lt; 0,0,T_PROD[[#This Row],[PREVISTO]]-T_PROD[[#This Row],[EFETIVO]] ),"")</f>
        <v>0</v>
      </c>
      <c r="J1815" s="32" t="str">
        <f>IFERROR(IF(T_PROD[[#This Row],[META]]&gt;0,(T_PROD[[#This Row],[META]]/T_PROD[[#This Row],[PREVISTO]]),""),"")</f>
        <v/>
      </c>
      <c r="K1815" s="32" t="str">
        <f>IFERROR(IF(T_PROD[[#This Row],[PRODUÇÃO]]&gt;0,(T_PROD[[#This Row],[PRODUÇÃO]]/T_PROD[[#This Row],[EFETIVO]]),""),"")</f>
        <v/>
      </c>
    </row>
    <row r="1816" spans="1:11" x14ac:dyDescent="0.3">
      <c r="A1816" s="33">
        <v>46321</v>
      </c>
      <c r="B1816" s="34" t="str">
        <f t="shared" si="200"/>
        <v>OUTUBRO</v>
      </c>
      <c r="C1816" s="12" t="s">
        <v>20</v>
      </c>
      <c r="D1816" s="12" t="s">
        <v>12</v>
      </c>
      <c r="E1816" s="35">
        <v>628</v>
      </c>
      <c r="F1816" s="35">
        <v>549</v>
      </c>
      <c r="G1816" s="34">
        <v>120</v>
      </c>
      <c r="H1816" s="36">
        <v>120</v>
      </c>
      <c r="I1816" s="34">
        <f>IFERROR(IF(T_PROD[[#This Row],[PREVISTO]]-T_PROD[[#This Row],[EFETIVO]]&lt; 0,0,T_PROD[[#This Row],[PREVISTO]]-T_PROD[[#This Row],[EFETIVO]] ),"")</f>
        <v>0</v>
      </c>
      <c r="J1816" s="32">
        <f>IFERROR(IF(T_PROD[[#This Row],[META]]&gt;0,(T_PROD[[#This Row],[META]]/T_PROD[[#This Row],[PREVISTO]]),""),"")</f>
        <v>5.2333333333333334</v>
      </c>
      <c r="K1816" s="32">
        <f>IFERROR(IF(T_PROD[[#This Row],[PRODUÇÃO]]&gt;0,(T_PROD[[#This Row],[PRODUÇÃO]]/T_PROD[[#This Row],[EFETIVO]]),""),"")</f>
        <v>4.5750000000000002</v>
      </c>
    </row>
    <row r="1817" spans="1:11" x14ac:dyDescent="0.3">
      <c r="A1817" s="33">
        <v>46321</v>
      </c>
      <c r="B1817" s="34" t="str">
        <f t="shared" si="200"/>
        <v>OUTUBRO</v>
      </c>
      <c r="C1817" s="12" t="s">
        <v>11</v>
      </c>
      <c r="D1817" s="12" t="s">
        <v>12</v>
      </c>
      <c r="E1817" s="35">
        <v>740</v>
      </c>
      <c r="F1817" s="35">
        <v>700</v>
      </c>
      <c r="G1817" s="34">
        <v>37</v>
      </c>
      <c r="H1817" s="36">
        <v>37</v>
      </c>
      <c r="I1817" s="34">
        <f>IFERROR(IF(T_PROD[[#This Row],[PREVISTO]]-T_PROD[[#This Row],[EFETIVO]]&lt; 0,0,T_PROD[[#This Row],[PREVISTO]]-T_PROD[[#This Row],[EFETIVO]] ),"")</f>
        <v>0</v>
      </c>
      <c r="J1817" s="32">
        <f>IFERROR(IF(T_PROD[[#This Row],[META]]&gt;0,(T_PROD[[#This Row],[META]]/T_PROD[[#This Row],[PREVISTO]]),""),"")</f>
        <v>20</v>
      </c>
      <c r="K1817" s="32">
        <f>IFERROR(IF(T_PROD[[#This Row],[PRODUÇÃO]]&gt;0,(T_PROD[[#This Row],[PRODUÇÃO]]/T_PROD[[#This Row],[EFETIVO]]),""),"")</f>
        <v>18.918918918918919</v>
      </c>
    </row>
    <row r="1818" spans="1:11" x14ac:dyDescent="0.3">
      <c r="A1818" s="33">
        <v>46321</v>
      </c>
      <c r="B1818" s="34" t="str">
        <f t="shared" si="200"/>
        <v>OUTUBRO</v>
      </c>
      <c r="C1818" s="12" t="s">
        <v>32</v>
      </c>
      <c r="D1818" s="12" t="s">
        <v>12</v>
      </c>
      <c r="E1818" s="35">
        <v>240</v>
      </c>
      <c r="F1818" s="35">
        <v>250</v>
      </c>
      <c r="G1818" s="34">
        <v>21.5</v>
      </c>
      <c r="H1818" s="36">
        <v>21</v>
      </c>
      <c r="I1818" s="34">
        <f>IFERROR(IF(T_PROD[[#This Row],[PREVISTO]]-T_PROD[[#This Row],[EFETIVO]]&lt; 0,0,T_PROD[[#This Row],[PREVISTO]]-T_PROD[[#This Row],[EFETIVO]] ),"")</f>
        <v>0.5</v>
      </c>
      <c r="J1818" s="32">
        <f>IFERROR(IF(T_PROD[[#This Row],[META]]&gt;0,(T_PROD[[#This Row],[META]]/T_PROD[[#This Row],[PREVISTO]]),""),"")</f>
        <v>11.162790697674419</v>
      </c>
      <c r="K1818" s="32">
        <f>IFERROR(IF(T_PROD[[#This Row],[PRODUÇÃO]]&gt;0,(T_PROD[[#This Row],[PRODUÇÃO]]/T_PROD[[#This Row],[EFETIVO]]),""),"")</f>
        <v>11.904761904761905</v>
      </c>
    </row>
    <row r="1819" spans="1:11" x14ac:dyDescent="0.3">
      <c r="A1819" s="33">
        <v>46321</v>
      </c>
      <c r="B1819" s="34" t="str">
        <f t="shared" si="200"/>
        <v>OUTUBRO</v>
      </c>
      <c r="C1819" s="12" t="s">
        <v>14</v>
      </c>
      <c r="D1819" s="12" t="s">
        <v>12</v>
      </c>
      <c r="E1819" s="35">
        <v>980</v>
      </c>
      <c r="F1819" s="35">
        <v>950</v>
      </c>
      <c r="G1819" s="34">
        <v>110</v>
      </c>
      <c r="H1819" s="36">
        <v>105</v>
      </c>
      <c r="I1819" s="34">
        <f>IFERROR(IF(T_PROD[[#This Row],[PREVISTO]]-T_PROD[[#This Row],[EFETIVO]]&lt; 0,0,T_PROD[[#This Row],[PREVISTO]]-T_PROD[[#This Row],[EFETIVO]] ),"")</f>
        <v>5</v>
      </c>
      <c r="J1819" s="32">
        <f>IFERROR(IF(T_PROD[[#This Row],[META]]&gt;0,(T_PROD[[#This Row],[META]]/T_PROD[[#This Row],[PREVISTO]]),""),"")</f>
        <v>8.9090909090909083</v>
      </c>
      <c r="K1819" s="32">
        <f>IFERROR(IF(T_PROD[[#This Row],[PRODUÇÃO]]&gt;0,(T_PROD[[#This Row],[PRODUÇÃO]]/T_PROD[[#This Row],[EFETIVO]]),""),"")</f>
        <v>9.0476190476190474</v>
      </c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  <row r="1902" spans="1:11" x14ac:dyDescent="0.3">
      <c r="A1902" s="7"/>
      <c r="B1902" s="6"/>
      <c r="C1902" s="6"/>
      <c r="D1902" s="6"/>
      <c r="E1902" s="8"/>
      <c r="F1902" s="8"/>
      <c r="G1902" s="6"/>
      <c r="H1902" s="9"/>
      <c r="I1902" s="6"/>
      <c r="J1902" s="10"/>
      <c r="K1902" s="10"/>
    </row>
    <row r="1903" spans="1:11" x14ac:dyDescent="0.3">
      <c r="A1903" s="7"/>
      <c r="B1903" s="6"/>
      <c r="C1903" s="6"/>
      <c r="D1903" s="6"/>
      <c r="E1903" s="8"/>
      <c r="F1903" s="8"/>
      <c r="G1903" s="6"/>
      <c r="H1903" s="9"/>
      <c r="I1903" s="6"/>
      <c r="J1903" s="10"/>
      <c r="K1903" s="10"/>
    </row>
    <row r="1904" spans="1:11" x14ac:dyDescent="0.3">
      <c r="A1904" s="7"/>
      <c r="B1904" s="6"/>
      <c r="C1904" s="6"/>
      <c r="D1904" s="6"/>
      <c r="E1904" s="8"/>
      <c r="F1904" s="8"/>
      <c r="G1904" s="6"/>
      <c r="H1904" s="9"/>
      <c r="I1904" s="6"/>
      <c r="J1904" s="10"/>
      <c r="K1904" s="10"/>
    </row>
    <row r="1905" spans="1:11" x14ac:dyDescent="0.3">
      <c r="A1905" s="7"/>
      <c r="B1905" s="6"/>
      <c r="C1905" s="6"/>
      <c r="D1905" s="6"/>
      <c r="E1905" s="8"/>
      <c r="F1905" s="8"/>
      <c r="G1905" s="6"/>
      <c r="H1905" s="9"/>
      <c r="I1905" s="6"/>
      <c r="J1905" s="10"/>
      <c r="K1905" s="10"/>
    </row>
    <row r="1906" spans="1:11" x14ac:dyDescent="0.3">
      <c r="A1906" s="7"/>
      <c r="B1906" s="6"/>
      <c r="C1906" s="6"/>
      <c r="D1906" s="6"/>
      <c r="E1906" s="8"/>
      <c r="F1906" s="8"/>
      <c r="G1906" s="6"/>
      <c r="H1906" s="9"/>
      <c r="I1906" s="6"/>
      <c r="J1906" s="10"/>
      <c r="K1906" s="10"/>
    </row>
    <row r="1907" spans="1:11" x14ac:dyDescent="0.3">
      <c r="A1907" s="7"/>
      <c r="B1907" s="6"/>
      <c r="C1907" s="6"/>
      <c r="D1907" s="6"/>
      <c r="E1907" s="8"/>
      <c r="F1907" s="8"/>
      <c r="G1907" s="6"/>
      <c r="H1907" s="9"/>
      <c r="I1907" s="6"/>
      <c r="J1907" s="10"/>
      <c r="K1907" s="10"/>
    </row>
    <row r="1908" spans="1:11" x14ac:dyDescent="0.3">
      <c r="A1908" s="7"/>
      <c r="B1908" s="6"/>
      <c r="C1908" s="6"/>
      <c r="D1908" s="6"/>
      <c r="E1908" s="8"/>
      <c r="F1908" s="8"/>
      <c r="G1908" s="6"/>
      <c r="H1908" s="9"/>
      <c r="I1908" s="6"/>
      <c r="J1908" s="10"/>
      <c r="K1908" s="10"/>
    </row>
    <row r="1909" spans="1:11" x14ac:dyDescent="0.3">
      <c r="A1909" s="7"/>
      <c r="B1909" s="6"/>
      <c r="C1909" s="6"/>
      <c r="D1909" s="6"/>
      <c r="E1909" s="8"/>
      <c r="F1909" s="8"/>
      <c r="G1909" s="6"/>
      <c r="H1909" s="9"/>
      <c r="I1909" s="6"/>
      <c r="J1909" s="10"/>
      <c r="K1909" s="10"/>
    </row>
    <row r="1910" spans="1:11" x14ac:dyDescent="0.3">
      <c r="A1910" s="7"/>
      <c r="B1910" s="6"/>
      <c r="C1910" s="6"/>
      <c r="D1910" s="6"/>
      <c r="E1910" s="8"/>
      <c r="F1910" s="8"/>
      <c r="G1910" s="6"/>
      <c r="H1910" s="9"/>
      <c r="I1910" s="6"/>
      <c r="J1910" s="10"/>
      <c r="K1910" s="10"/>
    </row>
    <row r="1911" spans="1:11" x14ac:dyDescent="0.3">
      <c r="A1911" s="7"/>
      <c r="B1911" s="6"/>
      <c r="C1911" s="6"/>
      <c r="D1911" s="6"/>
      <c r="E1911" s="8"/>
      <c r="F1911" s="8"/>
      <c r="G1911" s="6"/>
      <c r="H1911" s="9"/>
      <c r="I1911" s="6"/>
      <c r="J1911" s="10"/>
      <c r="K1911" s="10"/>
    </row>
    <row r="1912" spans="1:11" x14ac:dyDescent="0.3">
      <c r="A1912" s="7"/>
      <c r="B1912" s="6"/>
      <c r="C1912" s="6"/>
      <c r="D1912" s="6"/>
      <c r="E1912" s="8"/>
      <c r="F1912" s="8"/>
      <c r="G1912" s="6"/>
      <c r="H1912" s="9"/>
      <c r="I1912" s="6"/>
      <c r="J1912" s="10"/>
      <c r="K1912" s="10"/>
    </row>
    <row r="1913" spans="1:11" x14ac:dyDescent="0.3">
      <c r="A1913" s="7"/>
      <c r="B1913" s="6"/>
      <c r="C1913" s="6"/>
      <c r="D1913" s="6"/>
      <c r="E1913" s="8"/>
      <c r="F1913" s="8"/>
      <c r="G1913" s="6"/>
      <c r="H1913" s="9"/>
      <c r="I1913" s="6"/>
      <c r="J1913" s="10"/>
      <c r="K1913" s="10"/>
    </row>
    <row r="1914" spans="1:11" x14ac:dyDescent="0.3">
      <c r="A1914" s="7"/>
      <c r="B1914" s="6"/>
      <c r="C1914" s="6"/>
      <c r="D1914" s="6"/>
      <c r="E1914" s="8"/>
      <c r="F1914" s="8"/>
      <c r="G1914" s="6"/>
      <c r="H1914" s="9"/>
      <c r="I1914" s="6"/>
      <c r="J1914" s="10"/>
      <c r="K1914" s="10"/>
    </row>
    <row r="1915" spans="1:11" x14ac:dyDescent="0.3">
      <c r="A1915" s="7"/>
      <c r="B1915" s="6"/>
      <c r="C1915" s="6"/>
      <c r="D1915" s="6"/>
      <c r="E1915" s="8"/>
      <c r="F1915" s="8"/>
      <c r="G1915" s="6"/>
      <c r="H1915" s="9"/>
      <c r="I1915" s="6"/>
      <c r="J1915" s="10"/>
      <c r="K1915" s="10"/>
    </row>
    <row r="1916" spans="1:11" x14ac:dyDescent="0.3">
      <c r="A1916" s="7"/>
      <c r="B1916" s="6"/>
      <c r="C1916" s="6"/>
      <c r="D1916" s="6"/>
      <c r="E1916" s="8"/>
      <c r="F1916" s="8"/>
      <c r="G1916" s="6"/>
      <c r="H1916" s="9"/>
      <c r="I1916" s="6"/>
      <c r="J1916" s="10"/>
      <c r="K1916" s="10"/>
    </row>
    <row r="1917" spans="1:11" x14ac:dyDescent="0.3">
      <c r="A1917" s="7"/>
      <c r="B1917" s="6"/>
      <c r="C1917" s="6"/>
      <c r="D1917" s="6"/>
      <c r="E1917" s="8"/>
      <c r="F1917" s="8"/>
      <c r="G1917" s="6"/>
      <c r="H1917" s="9"/>
      <c r="I1917" s="6"/>
      <c r="J1917" s="10"/>
      <c r="K1917" s="10"/>
    </row>
    <row r="1918" spans="1:11" x14ac:dyDescent="0.3">
      <c r="A1918" s="7"/>
      <c r="B1918" s="6"/>
      <c r="C1918" s="6"/>
      <c r="D1918" s="6"/>
      <c r="E1918" s="8"/>
      <c r="F1918" s="8"/>
      <c r="G1918" s="6"/>
      <c r="H1918" s="9"/>
      <c r="I1918" s="6"/>
      <c r="J1918" s="10"/>
      <c r="K1918" s="10"/>
    </row>
    <row r="1919" spans="1:11" x14ac:dyDescent="0.3">
      <c r="A1919" s="7"/>
      <c r="B1919" s="6"/>
      <c r="C1919" s="6"/>
      <c r="D1919" s="6"/>
      <c r="E1919" s="8"/>
      <c r="F1919" s="8"/>
      <c r="G1919" s="6"/>
      <c r="H1919" s="9"/>
      <c r="I1919" s="6"/>
      <c r="J1919" s="10"/>
      <c r="K1919" s="10"/>
    </row>
    <row r="1920" spans="1:11" x14ac:dyDescent="0.3">
      <c r="A1920" s="7"/>
      <c r="B1920" s="6"/>
      <c r="C1920" s="6"/>
      <c r="D1920" s="6"/>
      <c r="E1920" s="8"/>
      <c r="F1920" s="8"/>
      <c r="G1920" s="6"/>
      <c r="H1920" s="9"/>
      <c r="I1920" s="6"/>
      <c r="J1920" s="10"/>
      <c r="K1920" s="10"/>
    </row>
    <row r="1921" spans="1:11" x14ac:dyDescent="0.3">
      <c r="A1921" s="7"/>
      <c r="B1921" s="6"/>
      <c r="C1921" s="6"/>
      <c r="D1921" s="6"/>
      <c r="E1921" s="8"/>
      <c r="F1921" s="8"/>
      <c r="G1921" s="6"/>
      <c r="H1921" s="9"/>
      <c r="I1921" s="6"/>
      <c r="J1921" s="10"/>
      <c r="K1921" s="10"/>
    </row>
    <row r="1922" spans="1:11" x14ac:dyDescent="0.3">
      <c r="A1922" s="7"/>
      <c r="B1922" s="6"/>
      <c r="C1922" s="6"/>
      <c r="D1922" s="6"/>
      <c r="E1922" s="8"/>
      <c r="F1922" s="8"/>
      <c r="G1922" s="6"/>
      <c r="H1922" s="9"/>
      <c r="I1922" s="6"/>
      <c r="J1922" s="10"/>
      <c r="K1922" s="10"/>
    </row>
    <row r="1923" spans="1:11" x14ac:dyDescent="0.3">
      <c r="A1923" s="7"/>
      <c r="B1923" s="6"/>
      <c r="C1923" s="6"/>
      <c r="D1923" s="6"/>
      <c r="E1923" s="8"/>
      <c r="F1923" s="8"/>
      <c r="G1923" s="6"/>
      <c r="H1923" s="9"/>
      <c r="I1923" s="6"/>
      <c r="J1923" s="10"/>
      <c r="K1923" s="10"/>
    </row>
    <row r="1924" spans="1:11" x14ac:dyDescent="0.3">
      <c r="A1924" s="7"/>
      <c r="B1924" s="6"/>
      <c r="C1924" s="6"/>
      <c r="D1924" s="6"/>
      <c r="E1924" s="8"/>
      <c r="F1924" s="8"/>
      <c r="G1924" s="6"/>
      <c r="H1924" s="9"/>
      <c r="I1924" s="6"/>
      <c r="J1924" s="10"/>
      <c r="K1924" s="10"/>
    </row>
    <row r="1925" spans="1:11" x14ac:dyDescent="0.3">
      <c r="A1925" s="7"/>
      <c r="B1925" s="6"/>
      <c r="C1925" s="6"/>
      <c r="D1925" s="6"/>
      <c r="E1925" s="8"/>
      <c r="F1925" s="8"/>
      <c r="G1925" s="6"/>
      <c r="H1925" s="9"/>
      <c r="I1925" s="6"/>
      <c r="J1925" s="10"/>
      <c r="K1925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2026-10-27T13:27:16Z</dcterms:modified>
</cp:coreProperties>
</file>