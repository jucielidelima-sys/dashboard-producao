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72FBC57B-CC64-4CD6-A1A3-C721B6124A1E}" xr6:coauthVersionLast="47" xr6:coauthVersionMax="47" xr10:uidLastSave="{00000000-0000-0000-0000-000000000000}"/>
  <bookViews>
    <workbookView xWindow="-108" yWindow="-108" windowWidth="23256" windowHeight="12456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LANC.!$A$1:$K$199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2" i="1" l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7" i="1"/>
  <c r="J198" i="1"/>
  <c r="J199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<sst xmlns="http://schemas.openxmlformats.org/spreadsheetml/2006/main" count="453" uniqueCount="32">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</sst>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99" totalsRowShown="0" headerRowDxfId="13" dataDxfId="12" tableBorderDxfId="11">
  <autoFilter ref="A1:K199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62" activePane="bottomLeft" state="frozen"/>
      <selection pane="bottomLeft" activeCell="P198" sqref="P198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46054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46054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46054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46054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46054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46054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46054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46054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46054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33">
        <v>46055</v>
      </c>
      <c r="B191" s="34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35">
        <v>41</v>
      </c>
      <c r="G191" s="12">
        <v>4</v>
      </c>
      <c r="H191" s="36">
        <v>4</v>
      </c>
      <c r="I191" s="34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33">
        <v>46055</v>
      </c>
      <c r="B192" s="34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35">
        <v>174</v>
      </c>
      <c r="G192" s="12">
        <v>6</v>
      </c>
      <c r="H192" s="36">
        <v>7</v>
      </c>
      <c r="I192" s="34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33">
        <v>46055</v>
      </c>
      <c r="B193" s="34" t="str">
        <f t="shared" si="20"/>
        <v>FEVEREIRO</v>
      </c>
      <c r="C193" s="12" t="s">
        <v>17</v>
      </c>
      <c r="D193" s="12" t="s">
        <v>12</v>
      </c>
      <c r="E193" s="13">
        <v>32</v>
      </c>
      <c r="F193" s="35">
        <v>1</v>
      </c>
      <c r="G193" s="12">
        <v>2</v>
      </c>
      <c r="H193" s="36">
        <v>2</v>
      </c>
      <c r="I193" s="34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33">
        <v>46055</v>
      </c>
      <c r="B194" s="34" t="str">
        <f t="shared" si="20"/>
        <v>FEVEREIRO</v>
      </c>
      <c r="C194" s="12" t="s">
        <v>18</v>
      </c>
      <c r="D194" s="12" t="s">
        <v>12</v>
      </c>
      <c r="E194" s="13">
        <v>100</v>
      </c>
      <c r="F194" s="35">
        <v>0</v>
      </c>
      <c r="G194" s="12">
        <v>3</v>
      </c>
      <c r="H194" s="36">
        <v>0</v>
      </c>
      <c r="I194" s="34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33">
        <v>46055</v>
      </c>
      <c r="B195" s="34" t="str">
        <f t="shared" si="20"/>
        <v>FEVEREIRO</v>
      </c>
      <c r="C195" s="12" t="s">
        <v>19</v>
      </c>
      <c r="D195" s="12" t="s">
        <v>12</v>
      </c>
      <c r="E195" s="13">
        <v>100</v>
      </c>
      <c r="F195" s="35">
        <v>0</v>
      </c>
      <c r="G195" s="12">
        <v>11</v>
      </c>
      <c r="H195" s="36">
        <v>11</v>
      </c>
      <c r="I195" s="34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33">
        <v>46055</v>
      </c>
      <c r="B196" s="34" t="str">
        <f t="shared" si="20"/>
        <v>FEVEREIRO</v>
      </c>
      <c r="C196" s="12" t="s">
        <v>20</v>
      </c>
      <c r="D196" s="12" t="s">
        <v>12</v>
      </c>
      <c r="E196" s="13">
        <v>486</v>
      </c>
      <c r="F196" s="35">
        <v>216</v>
      </c>
      <c r="G196" s="12">
        <v>90</v>
      </c>
      <c r="H196" s="36">
        <v>90</v>
      </c>
      <c r="I196" s="34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33">
        <v>46055</v>
      </c>
      <c r="B197" s="34" t="str">
        <f t="shared" si="20"/>
        <v>FEVEREIRO</v>
      </c>
      <c r="C197" s="12" t="s">
        <v>11</v>
      </c>
      <c r="D197" s="12" t="s">
        <v>12</v>
      </c>
      <c r="E197" s="13">
        <v>600</v>
      </c>
      <c r="F197" s="35">
        <v>410</v>
      </c>
      <c r="G197" s="12">
        <v>33</v>
      </c>
      <c r="H197" s="36">
        <v>25</v>
      </c>
      <c r="I197" s="34">
        <f>IFERROR(IF(T_PROD[[#This Row],[PREVISTO]]-T_PROD[[#This Row],[EFETIVO]]&lt; 0,0,T_PROD[[#This Row],[PREVISTO]]-T_PROD[[#This Row],[EFETIVO]] ),"")</f>
        <v>8</v>
      </c>
      <c r="J197" s="15">
        <f>IFERROR(IF(T_PROD[[#This Row],[META]]&gt;0,(T_PROD[[#This Row],[META]]/T_PROD[[#This Row],[PREVISTO]]),""),"")</f>
        <v>18.181818181818183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33">
        <v>46055</v>
      </c>
      <c r="B198" s="34" t="str">
        <f t="shared" si="20"/>
        <v>FEVEREIRO</v>
      </c>
      <c r="C198" s="12" t="s">
        <v>13</v>
      </c>
      <c r="D198" s="12" t="s">
        <v>12</v>
      </c>
      <c r="E198" s="13">
        <v>150</v>
      </c>
      <c r="F198" s="35">
        <v>63</v>
      </c>
      <c r="G198" s="12">
        <v>10</v>
      </c>
      <c r="H198" s="36">
        <v>4</v>
      </c>
      <c r="I198" s="34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33">
        <v>46055</v>
      </c>
      <c r="B199" s="34" t="str">
        <f t="shared" si="20"/>
        <v>FEVEREIRO</v>
      </c>
      <c r="C199" s="12" t="s">
        <v>14</v>
      </c>
      <c r="D199" s="12" t="s">
        <v>12</v>
      </c>
      <c r="E199" s="13">
        <v>750</v>
      </c>
      <c r="F199" s="35">
        <v>473</v>
      </c>
      <c r="G199" s="12">
        <v>90</v>
      </c>
      <c r="H199" s="36">
        <v>70</v>
      </c>
      <c r="I199" s="34">
        <f>IFERROR(IF(T_PROD[[#This Row],[PREVISTO]]-T_PROD[[#This Row],[EFETIVO]]&lt; 0,0,T_PROD[[#This Row],[PREVISTO]]-T_PROD[[#This Row],[EFETIVO]] ),"")</f>
        <v>20</v>
      </c>
      <c r="J199" s="15">
        <f>IFERROR(IF(T_PROD[[#This Row],[META]]&gt;0,(T_PROD[[#This Row],[META]]/T_PROD[[#This Row],[PREVISTO]]),""),"")</f>
        <v>8.3333333333333339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 x14ac:dyDescent="0.3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 x14ac:dyDescent="0.3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 x14ac:dyDescent="0.3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 x14ac:dyDescent="0.3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 x14ac:dyDescent="0.3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 x14ac:dyDescent="0.3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 x14ac:dyDescent="0.3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 x14ac:dyDescent="0.3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 x14ac:dyDescent="0.3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 x14ac:dyDescent="0.3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 x14ac:dyDescent="0.3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 x14ac:dyDescent="0.3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 x14ac:dyDescent="0.3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 x14ac:dyDescent="0.3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 x14ac:dyDescent="0.3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 x14ac:dyDescent="0.3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 x14ac:dyDescent="0.3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 x14ac:dyDescent="0.3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 x14ac:dyDescent="0.3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 x14ac:dyDescent="0.3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 x14ac:dyDescent="0.3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 x14ac:dyDescent="0.3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 x14ac:dyDescent="0.3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 x14ac:dyDescent="0.3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 x14ac:dyDescent="0.3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 x14ac:dyDescent="0.3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 x14ac:dyDescent="0.3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 x14ac:dyDescent="0.3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 x14ac:dyDescent="0.3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16"/>
      <c r="B240" s="17"/>
      <c r="C240" s="17"/>
      <c r="D240" s="17"/>
      <c r="E240" s="18"/>
      <c r="F240" s="18"/>
      <c r="G240" s="17"/>
      <c r="H240" s="19"/>
      <c r="I240" s="17"/>
      <c r="J240" s="20"/>
      <c r="K240" s="20"/>
    </row>
    <row r="241" spans="1:11" s="6" customFormat="1" x14ac:dyDescent="0.3">
      <c r="A241" s="16"/>
      <c r="B241" s="17"/>
      <c r="C241" s="17"/>
      <c r="D241" s="17"/>
      <c r="E241" s="18"/>
      <c r="F241" s="18"/>
      <c r="G241" s="17"/>
      <c r="H241" s="19"/>
      <c r="I241" s="17"/>
      <c r="J241" s="20"/>
      <c r="K241" s="20"/>
    </row>
    <row r="242" spans="1:11" s="6" customFormat="1" x14ac:dyDescent="0.3">
      <c r="A242" s="16"/>
      <c r="B242" s="17"/>
      <c r="C242" s="17"/>
      <c r="D242" s="17"/>
      <c r="E242" s="18"/>
      <c r="F242" s="18"/>
      <c r="G242" s="17"/>
      <c r="H242" s="19"/>
      <c r="I242" s="17"/>
      <c r="J242" s="20"/>
      <c r="K242" s="20"/>
    </row>
    <row r="243" spans="1:11" s="6" customFormat="1" x14ac:dyDescent="0.3">
      <c r="A243" s="16"/>
      <c r="B243" s="17"/>
      <c r="C243" s="17"/>
      <c r="D243" s="17"/>
      <c r="E243" s="18"/>
      <c r="F243" s="18"/>
      <c r="G243" s="17"/>
      <c r="H243" s="19"/>
      <c r="I243" s="17"/>
      <c r="J243" s="20"/>
      <c r="K243" s="20"/>
    </row>
    <row r="244" spans="1:11" s="6" customFormat="1" x14ac:dyDescent="0.3">
      <c r="A244" s="16"/>
      <c r="B244" s="17"/>
      <c r="C244" s="17"/>
      <c r="D244" s="17"/>
      <c r="E244" s="18"/>
      <c r="F244" s="18"/>
      <c r="G244" s="17"/>
      <c r="H244" s="19"/>
      <c r="I244" s="17"/>
      <c r="J244" s="20"/>
      <c r="K244" s="20"/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7"/>
      <c r="E248" s="8"/>
      <c r="F248" s="8"/>
      <c r="H248" s="9"/>
      <c r="J248" s="10"/>
      <c r="K248" s="10"/>
    </row>
    <row r="249" spans="1:11" s="6" customFormat="1" x14ac:dyDescent="0.3">
      <c r="A249" s="7"/>
      <c r="E249" s="8"/>
      <c r="F249" s="8"/>
      <c r="H249" s="9"/>
      <c r="J249" s="10"/>
      <c r="K249" s="10"/>
    </row>
    <row r="250" spans="1:11" s="6" customFormat="1" x14ac:dyDescent="0.3">
      <c r="A250" s="7"/>
      <c r="E250" s="8"/>
      <c r="F250" s="8"/>
      <c r="H250" s="9"/>
      <c r="J250" s="10"/>
      <c r="K250" s="10"/>
    </row>
    <row r="251" spans="1:11" s="6" customFormat="1" x14ac:dyDescent="0.3">
      <c r="A251" s="7"/>
      <c r="E251" s="8"/>
      <c r="F251" s="8"/>
      <c r="H251" s="9"/>
      <c r="J251" s="10"/>
      <c r="K251" s="10"/>
    </row>
    <row r="252" spans="1:11" s="6" customFormat="1" x14ac:dyDescent="0.3">
      <c r="A252" s="7"/>
      <c r="E252" s="8"/>
      <c r="F252" s="8"/>
      <c r="H252" s="9"/>
      <c r="J252" s="10"/>
      <c r="K252" s="10"/>
    </row>
    <row r="253" spans="1:11" s="6" customFormat="1" x14ac:dyDescent="0.3">
      <c r="A253" s="7"/>
      <c r="E253" s="8"/>
      <c r="F253" s="8"/>
      <c r="H253" s="9"/>
      <c r="J253" s="10"/>
      <c r="K253" s="10"/>
    </row>
    <row r="254" spans="1:11" s="6" customFormat="1" x14ac:dyDescent="0.3">
      <c r="A254" s="7"/>
      <c r="E254" s="8"/>
      <c r="F254" s="8"/>
      <c r="H254" s="9"/>
      <c r="J254" s="10"/>
      <c r="K254" s="10"/>
    </row>
    <row r="255" spans="1:11" s="6" customFormat="1" x14ac:dyDescent="0.3">
      <c r="A255" s="7"/>
      <c r="E255" s="8"/>
      <c r="F255" s="8"/>
      <c r="H255" s="9"/>
      <c r="J255" s="10"/>
      <c r="K255" s="10"/>
    </row>
    <row r="256" spans="1:11" s="6" customFormat="1" x14ac:dyDescent="0.3">
      <c r="A256" s="7"/>
      <c r="E256" s="8"/>
      <c r="F256" s="8"/>
      <c r="H256" s="9"/>
      <c r="J256" s="10"/>
      <c r="K256" s="10"/>
    </row>
    <row r="257" spans="1:11" s="6" customFormat="1" x14ac:dyDescent="0.3">
      <c r="A257" s="7"/>
      <c r="E257" s="8"/>
      <c r="F257" s="8"/>
      <c r="H257" s="9"/>
      <c r="J257" s="10"/>
      <c r="K257" s="10"/>
    </row>
    <row r="258" spans="1:11" s="6" customFormat="1" x14ac:dyDescent="0.3">
      <c r="A258" s="7"/>
      <c r="E258" s="8"/>
      <c r="F258" s="8"/>
      <c r="H258" s="9"/>
      <c r="J258" s="10"/>
      <c r="K258" s="10"/>
    </row>
    <row r="259" spans="1:11" s="6" customFormat="1" x14ac:dyDescent="0.3">
      <c r="A259" s="7"/>
      <c r="E259" s="8"/>
      <c r="F259" s="8"/>
      <c r="H259" s="9"/>
      <c r="J259" s="10"/>
      <c r="K259" s="10"/>
    </row>
    <row r="260" spans="1:11" s="6" customFormat="1" x14ac:dyDescent="0.3">
      <c r="A260" s="7"/>
      <c r="E260" s="8"/>
      <c r="F260" s="8"/>
      <c r="H260" s="9"/>
      <c r="J260" s="10"/>
      <c r="K260" s="10"/>
    </row>
    <row r="261" spans="1:11" s="6" customFormat="1" x14ac:dyDescent="0.3">
      <c r="A261" s="7"/>
      <c r="E261" s="8"/>
      <c r="F261" s="8"/>
      <c r="H261" s="9"/>
      <c r="J261" s="10"/>
      <c r="K261" s="10"/>
    </row>
    <row r="262" spans="1:11" s="6" customFormat="1" x14ac:dyDescent="0.3">
      <c r="A262" s="7"/>
      <c r="E262" s="8"/>
      <c r="F262" s="8"/>
      <c r="H262" s="9"/>
      <c r="J262" s="10"/>
      <c r="K262" s="10"/>
    </row>
    <row r="263" spans="1:11" s="6" customFormat="1" x14ac:dyDescent="0.3">
      <c r="A263" s="7"/>
      <c r="E263" s="8"/>
      <c r="F263" s="8"/>
      <c r="H263" s="9"/>
      <c r="J263" s="10"/>
      <c r="K263" s="10"/>
    </row>
    <row r="264" spans="1:11" s="6" customFormat="1" x14ac:dyDescent="0.3">
      <c r="A264" s="7"/>
      <c r="E264" s="8"/>
      <c r="F264" s="8"/>
      <c r="H264" s="9"/>
      <c r="J264" s="10"/>
      <c r="K264" s="10"/>
    </row>
    <row r="265" spans="1:11" s="6" customFormat="1" x14ac:dyDescent="0.3">
      <c r="A265" s="7"/>
      <c r="E265" s="8"/>
      <c r="F265" s="8"/>
      <c r="H265" s="9"/>
      <c r="J265" s="10"/>
      <c r="K265" s="10"/>
    </row>
    <row r="266" spans="1:11" s="6" customFormat="1" x14ac:dyDescent="0.3">
      <c r="A266" s="7"/>
      <c r="E266" s="8"/>
      <c r="F266" s="8"/>
      <c r="H266" s="9"/>
      <c r="J266" s="10"/>
      <c r="K266" s="10"/>
    </row>
    <row r="267" spans="1:11" s="6" customFormat="1" x14ac:dyDescent="0.3">
      <c r="A267" s="7"/>
      <c r="E267" s="8"/>
      <c r="F267" s="8"/>
      <c r="H267" s="9"/>
      <c r="J267" s="10"/>
      <c r="K267" s="10"/>
    </row>
    <row r="268" spans="1:11" s="6" customFormat="1" x14ac:dyDescent="0.3">
      <c r="A268" s="7"/>
      <c r="E268" s="8"/>
      <c r="F268" s="8"/>
      <c r="H268" s="9"/>
      <c r="J268" s="10"/>
      <c r="K268" s="10"/>
    </row>
    <row r="269" spans="1:11" s="6" customFormat="1" x14ac:dyDescent="0.3">
      <c r="A269" s="7"/>
      <c r="E269" s="8"/>
      <c r="F269" s="8"/>
      <c r="H269" s="9"/>
      <c r="J269" s="10"/>
      <c r="K269" s="10"/>
    </row>
    <row r="270" spans="1:11" s="6" customFormat="1" x14ac:dyDescent="0.3">
      <c r="A270" s="7"/>
      <c r="E270" s="8"/>
      <c r="F270" s="8"/>
      <c r="H270" s="9"/>
      <c r="J270" s="10"/>
      <c r="K270" s="10"/>
    </row>
    <row r="271" spans="1:11" s="6" customFormat="1" x14ac:dyDescent="0.3">
      <c r="A271" s="7"/>
      <c r="E271" s="8"/>
      <c r="F271" s="8"/>
      <c r="H271" s="9"/>
      <c r="J271" s="10"/>
      <c r="K271" s="1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 x14ac:dyDescent="0.3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 x14ac:dyDescent="0.3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 x14ac:dyDescent="0.3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 x14ac:dyDescent="0.3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 x14ac:dyDescent="0.3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 x14ac:dyDescent="0.3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 x14ac:dyDescent="0.3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 x14ac:dyDescent="0.3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 x14ac:dyDescent="0.3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 x14ac:dyDescent="0.3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 x14ac:dyDescent="0.3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 x14ac:dyDescent="0.3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 x14ac:dyDescent="0.3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 x14ac:dyDescent="0.3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 x14ac:dyDescent="0.3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 x14ac:dyDescent="0.3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 x14ac:dyDescent="0.3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 x14ac:dyDescent="0.3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 x14ac:dyDescent="0.3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 x14ac:dyDescent="0.3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 x14ac:dyDescent="0.3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 x14ac:dyDescent="0.3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 x14ac:dyDescent="0.3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2026-02-04T12:07:40Z</dcterms:modified>
</cp:coreProperties>
</file>