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2B6ADAA-87EA-4F7B-AACC-A155B19E5745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LANC.!$A$1:$K$991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H5" i="3" s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<sst xmlns="http://schemas.openxmlformats.org/spreadsheetml/2006/main" count="2044" uniqueCount="40">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</sst>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91" totalsRowShown="0" headerRowDxfId="13" dataDxfId="12" tableBorderDxfId="11">
  <autoFilter ref="A1:K99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88"/>
  <sheetViews>
    <sheetView showGridLines="0" zoomScale="70" zoomScaleNormal="70" zoomScaleSheetLayoutView="70" workbookViewId="0">
      <pane ySplit="1" topLeftCell="A963" activePane="bottomLeft" state="frozen"/>
      <selection pane="bottomLeft" activeCell="I995" sqref="I99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28">
        <v>46189</v>
      </c>
      <c r="B983" s="29" t="str">
        <f>UPPER(TEXT(A983,"MMMM"))</f>
        <v>JUNHO</v>
      </c>
      <c r="C983" s="12" t="s">
        <v>15</v>
      </c>
      <c r="D983" s="12" t="s">
        <v>12</v>
      </c>
      <c r="E983" s="30"/>
      <c r="F983" s="30"/>
      <c r="G983" s="29"/>
      <c r="H983" s="31"/>
      <c r="I983" s="29">
        <f>IFERROR(IF(T_PROD[[#This Row],[PREVISTO]]-T_PROD[[#This Row],[EFETIVO]]&lt; 0,0,T_PROD[[#This Row],[PREVISTO]]-T_PROD[[#This Row],[EFETIVO]] ),"")</f>
        <v>0</v>
      </c>
      <c r="J983" s="15" t="str">
        <f>IFERROR(IF(T_PROD[[#This Row],[META]]&gt;0,(T_PROD[[#This Row],[META]]/T_PROD[[#This Row],[PREVISTO]]),""),"")</f>
        <v/>
      </c>
      <c r="K983" s="15" t="str">
        <f>IFERROR(IF(T_PROD[[#This Row],[PRODUÇÃO]]&gt;0,(T_PROD[[#This Row],[PRODUÇÃO]]/T_PROD[[#This Row],[EFETIVO]]),""),"")</f>
        <v/>
      </c>
    </row>
    <row r="984" spans="1:11" s="6" customFormat="1" x14ac:dyDescent="0.3">
      <c r="A984" s="28">
        <v>46189</v>
      </c>
      <c r="B984" s="29" t="str">
        <f t="shared" ref="B984:B991" si="108">UPPER(TEXT(A984,"MMMM"))</f>
        <v>JUNHO</v>
      </c>
      <c r="C984" s="12" t="s">
        <v>16</v>
      </c>
      <c r="D984" s="12" t="s">
        <v>12</v>
      </c>
      <c r="E984" s="30"/>
      <c r="F984" s="30"/>
      <c r="G984" s="29"/>
      <c r="H984" s="31"/>
      <c r="I984" s="29">
        <f>IFERROR(IF(T_PROD[[#This Row],[PREVISTO]]-T_PROD[[#This Row],[EFETIVO]]&lt; 0,0,T_PROD[[#This Row],[PREVISTO]]-T_PROD[[#This Row],[EFETIVO]] ),"")</f>
        <v>0</v>
      </c>
      <c r="J984" s="15" t="str">
        <f>IFERROR(IF(T_PROD[[#This Row],[META]]&gt;0,(T_PROD[[#This Row],[META]]/T_PROD[[#This Row],[PREVISTO]]),""),"")</f>
        <v/>
      </c>
      <c r="K984" s="15" t="str">
        <f>IFERROR(IF(T_PROD[[#This Row],[PRODUÇÃO]]&gt;0,(T_PROD[[#This Row],[PRODUÇÃO]]/T_PROD[[#This Row],[EFETIVO]]),""),"")</f>
        <v/>
      </c>
    </row>
    <row r="985" spans="1:11" s="6" customFormat="1" x14ac:dyDescent="0.3">
      <c r="A985" s="28">
        <v>46189</v>
      </c>
      <c r="B985" s="29" t="str">
        <f t="shared" si="108"/>
        <v>JUNHO</v>
      </c>
      <c r="C985" s="12" t="s">
        <v>17</v>
      </c>
      <c r="D985" s="12" t="s">
        <v>12</v>
      </c>
      <c r="E985" s="30"/>
      <c r="F985" s="30"/>
      <c r="G985" s="29"/>
      <c r="H985" s="31"/>
      <c r="I985" s="29">
        <f>IFERROR(IF(T_PROD[[#This Row],[PREVISTO]]-T_PROD[[#This Row],[EFETIVO]]&lt; 0,0,T_PROD[[#This Row],[PREVISTO]]-T_PROD[[#This Row],[EFETIVO]] ),"")</f>
        <v>0</v>
      </c>
      <c r="J985" s="15" t="str">
        <f>IFERROR(IF(T_PROD[[#This Row],[META]]&gt;0,(T_PROD[[#This Row],[META]]/T_PROD[[#This Row],[PREVISTO]]),""),"")</f>
        <v/>
      </c>
      <c r="K985" s="15" t="str">
        <f>IFERROR(IF(T_PROD[[#This Row],[PRODUÇÃO]]&gt;0,(T_PROD[[#This Row],[PRODUÇÃO]]/T_PROD[[#This Row],[EFETIVO]]),""),"")</f>
        <v/>
      </c>
    </row>
    <row r="986" spans="1:11" s="6" customFormat="1" x14ac:dyDescent="0.3">
      <c r="A986" s="28">
        <v>46189</v>
      </c>
      <c r="B986" s="29" t="str">
        <f t="shared" si="108"/>
        <v>JUNHO</v>
      </c>
      <c r="C986" s="12" t="s">
        <v>18</v>
      </c>
      <c r="D986" s="12" t="s">
        <v>12</v>
      </c>
      <c r="E986" s="30"/>
      <c r="F986" s="30"/>
      <c r="G986" s="29"/>
      <c r="H986" s="31"/>
      <c r="I986" s="29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28">
        <v>46189</v>
      </c>
      <c r="B987" s="29" t="str">
        <f t="shared" si="108"/>
        <v>JUNHO</v>
      </c>
      <c r="C987" s="12" t="s">
        <v>19</v>
      </c>
      <c r="D987" s="12" t="s">
        <v>12</v>
      </c>
      <c r="E987" s="30"/>
      <c r="F987" s="30"/>
      <c r="G987" s="29"/>
      <c r="H987" s="31"/>
      <c r="I987" s="29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28">
        <v>46189</v>
      </c>
      <c r="B988" s="29" t="str">
        <f t="shared" si="108"/>
        <v>JUNHO</v>
      </c>
      <c r="C988" s="12" t="s">
        <v>20</v>
      </c>
      <c r="D988" s="12" t="s">
        <v>12</v>
      </c>
      <c r="E988" s="30"/>
      <c r="F988" s="30"/>
      <c r="G988" s="29"/>
      <c r="H988" s="31"/>
      <c r="I988" s="29">
        <f>IFERROR(IF(T_PROD[[#This Row],[PREVISTO]]-T_PROD[[#This Row],[EFETIVO]]&lt; 0,0,T_PROD[[#This Row],[PREVISTO]]-T_PROD[[#This Row],[EFETIVO]] ),"")</f>
        <v>0</v>
      </c>
      <c r="J988" s="15" t="str">
        <f>IFERROR(IF(T_PROD[[#This Row],[META]]&gt;0,(T_PROD[[#This Row],[META]]/T_PROD[[#This Row],[PREVISTO]]),""),"")</f>
        <v/>
      </c>
      <c r="K988" s="15" t="str">
        <f>IFERROR(IF(T_PROD[[#This Row],[PRODUÇÃO]]&gt;0,(T_PROD[[#This Row],[PRODUÇÃO]]/T_PROD[[#This Row],[EFETIVO]]),""),"")</f>
        <v/>
      </c>
    </row>
    <row r="989" spans="1:11" s="6" customFormat="1" x14ac:dyDescent="0.3">
      <c r="A989" s="28">
        <v>46189</v>
      </c>
      <c r="B989" s="29" t="str">
        <f t="shared" si="108"/>
        <v>JUNHO</v>
      </c>
      <c r="C989" s="12" t="s">
        <v>11</v>
      </c>
      <c r="D989" s="12" t="s">
        <v>12</v>
      </c>
      <c r="E989" s="30">
        <v>620</v>
      </c>
      <c r="F989" s="30">
        <v>620</v>
      </c>
      <c r="G989" s="29">
        <v>31</v>
      </c>
      <c r="H989" s="31">
        <v>31</v>
      </c>
      <c r="I989" s="29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28">
        <v>46189</v>
      </c>
      <c r="B990" s="29" t="str">
        <f t="shared" si="108"/>
        <v>JUNHO</v>
      </c>
      <c r="C990" s="12" t="s">
        <v>32</v>
      </c>
      <c r="D990" s="12" t="s">
        <v>12</v>
      </c>
      <c r="E990" s="30">
        <v>99</v>
      </c>
      <c r="F990" s="30">
        <v>106</v>
      </c>
      <c r="G990" s="29">
        <v>9</v>
      </c>
      <c r="H990" s="31">
        <v>9</v>
      </c>
      <c r="I990" s="29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28">
        <v>46189</v>
      </c>
      <c r="B991" s="29" t="str">
        <f t="shared" si="108"/>
        <v>JUNHO</v>
      </c>
      <c r="C991" s="12" t="s">
        <v>14</v>
      </c>
      <c r="D991" s="12" t="s">
        <v>12</v>
      </c>
      <c r="E991" s="30">
        <v>719</v>
      </c>
      <c r="F991" s="30">
        <v>726</v>
      </c>
      <c r="G991" s="29">
        <v>95</v>
      </c>
      <c r="H991" s="31">
        <v>90</v>
      </c>
      <c r="I991" s="29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tabSelected="1" workbookViewId="0">
      <selection activeCell="G26" sqref="G2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363</v>
      </c>
      <c r="H2" s="24">
        <f>SUM(B2:G2)</f>
        <v>7245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3658</v>
      </c>
      <c r="H3" s="24">
        <f t="shared" ref="H3:H8" si="0">SUM(B3:G3)</f>
        <v>48974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39</v>
      </c>
      <c r="H4" s="24">
        <f t="shared" si="0"/>
        <v>1834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610+824+148+98+34</f>
        <v>1714</v>
      </c>
      <c r="H5" s="24">
        <f t="shared" si="0"/>
        <v>16860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224+110+112+67</f>
        <v>513</v>
      </c>
      <c r="H6" s="24">
        <f t="shared" si="0"/>
        <v>4734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191</v>
      </c>
      <c r="H7" s="24">
        <f t="shared" si="0"/>
        <v>6066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18</v>
      </c>
      <c r="H8" s="24">
        <f t="shared" si="0"/>
        <v>1688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2026-06-17T15:02:12Z</dcterms:modified>
</cp:coreProperties>
</file>