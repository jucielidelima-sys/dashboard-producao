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cieli\Desktop\Dashboard\"/>
    </mc:Choice>
  </mc:AlternateContent>
  <xr:revisionPtr revIDLastSave="0" documentId="13_ncr:1_{3A10ADA9-2DB4-4334-A280-AB2DBDAAB112}" xr6:coauthVersionLast="47" xr6:coauthVersionMax="47" xr10:uidLastSave="{00000000-0000-0000-0000-000000000000}"/>
  <bookViews>
    <workbookView xWindow="28680" yWindow="-120" windowWidth="20730" windowHeight="11040" xr2:uid="{2150E450-B528-47B5-8CCB-BB82D3D11557}"/>
  </bookViews>
  <sheets>
    <sheet name="LANC." sheetId="1" r:id="rId1"/>
    <sheet name="FORECAST" sheetId="2" r:id="rId2"/>
    <sheet name="FATURADO" sheetId="3" r:id="rId3"/>
  </sheets>
  <externalReferences>
    <externalReference r:id="rId4"/>
    <externalReference r:id="rId5"/>
    <externalReference r:id="rId6"/>
    <externalReference r:id="rId7"/>
    <externalReference r:id="rId8"/>
    <externalReference r:id="rId9"/>
    <externalReference r:id="rId10"/>
    <externalReference r:id="rId11"/>
  </externalReferences>
  <definedNames>
    <definedName name="\0">#REF!</definedName>
    <definedName name="\a">#REF!</definedName>
    <definedName name="__________xlcn.WorksheetConnection_Ret.titaLanç.AI1" hidden="1">#REF!</definedName>
    <definedName name="_________xlcn.WorksheetConnection_Ret.titaLanç.AI1" hidden="1">#REF!</definedName>
    <definedName name="_______xlcn.WorksheetConnection_Ret.titaLanç.AI1" hidden="1">#REF!</definedName>
    <definedName name="______xlcn.WorksheetConnection_Ret.titaLanç.AI1" hidden="1">#REF!</definedName>
    <definedName name="_____xlcn.WorksheetConnection_Ret.titaLanç.AI1" hidden="1">#REF!</definedName>
    <definedName name="____xlcn.WorksheetConnection_Ret.titaLanç.AI1" hidden="1">#REF!</definedName>
    <definedName name="__xlcn.WorksheetConnection_Ret.titaLanç.AI1" hidden="1">#REF!</definedName>
    <definedName name="_A">#REF!</definedName>
    <definedName name="_Abr1">#REF!</definedName>
    <definedName name="_Ago1">#REF!</definedName>
    <definedName name="_Brz1">[1]Feriados!$B$4:$B$14</definedName>
    <definedName name="_Brz2">[1]Feriados!$B$17:$B$24</definedName>
    <definedName name="_Dez1">#REF!</definedName>
    <definedName name="_Fev1">#REF!</definedName>
    <definedName name="_xlnm._FilterDatabase" localSheetId="0" hidden="1">LANC.!$A$1:$K$352</definedName>
    <definedName name="_Jan1">#REF!</definedName>
    <definedName name="_Jul1">#REF!</definedName>
    <definedName name="_Jun1">#REF!</definedName>
    <definedName name="_Mai1">#REF!</definedName>
    <definedName name="_Mar1">#REF!</definedName>
    <definedName name="_Nov1">#REF!</definedName>
    <definedName name="_Out1">#REF!</definedName>
    <definedName name="_Set1">#REF!</definedName>
    <definedName name="AB">#REF!</definedName>
    <definedName name="AC">#REF!</definedName>
    <definedName name="ACID.">#REF!</definedName>
    <definedName name="Ano">#REF!</definedName>
    <definedName name="AREA">#REF!</definedName>
    <definedName name="AZUL">#REF!</definedName>
    <definedName name="BIBI">#REF!</definedName>
    <definedName name="Cargos">INDIRECT('[2]Dados out'!$C$26)</definedName>
    <definedName name="cbu1a">#REF!</definedName>
    <definedName name="cbu1b">#REF!</definedName>
    <definedName name="cbu2a">#REF!</definedName>
    <definedName name="cbu2b">#REF!</definedName>
    <definedName name="cbu3a">#REF!</definedName>
    <definedName name="cbu3b">#REF!</definedName>
    <definedName name="cbu4a">#REF!</definedName>
    <definedName name="cbu4b">#REF!</definedName>
    <definedName name="cbu6a">#REF!</definedName>
    <definedName name="cbu6b">#REF!</definedName>
    <definedName name="cbu7a">#REF!</definedName>
    <definedName name="cbu7b">#REF!</definedName>
    <definedName name="cbu8a">#REF!</definedName>
    <definedName name="cbu8b">#REF!</definedName>
    <definedName name="cbugeA">#REF!</definedName>
    <definedName name="cbugeB">#REF!</definedName>
    <definedName name="CONS">#REF!</definedName>
    <definedName name="CONS.">#REF!</definedName>
    <definedName name="ConseSeg">INDIRECT('[3]PA-CONS$SEG'!$H$7)</definedName>
    <definedName name="DADO2">#REF!</definedName>
    <definedName name="dados">#REF!</definedName>
    <definedName name="DIA">#REF!</definedName>
    <definedName name="Excel_BuiltIn__FilterDatabase_1">#REF!</definedName>
    <definedName name="Excel_BuiltIn_Print_Area_3_1">#REF!</definedName>
    <definedName name="Excel_BuiltIn_Print_Area_4_1">#REF!</definedName>
    <definedName name="Excel_BuiltIn_Print_Area_4_1_1">#REF!</definedName>
    <definedName name="Excel_BuiltIn_Print_Area_7_1">#REF!</definedName>
    <definedName name="Exibir_Dat_Com">#REF!</definedName>
    <definedName name="Exibir_Fer_EUA">#REF!</definedName>
    <definedName name="Exibir_Fer_Nac">#REF!</definedName>
    <definedName name="FERRAMENTA">INDIRECT(#REF!)</definedName>
    <definedName name="FRR">#REF!</definedName>
    <definedName name="hist.inox">'[4]4'!$N$21:$S$33</definedName>
    <definedName name="hist.manual">'[4]4'!$H$21:$M$33</definedName>
    <definedName name="IMPRESSÃO">#REF!</definedName>
    <definedName name="KPI">#REF!</definedName>
    <definedName name="KPP">#REF!</definedName>
    <definedName name="linha1">#REF!</definedName>
    <definedName name="linha2">#REF!</definedName>
    <definedName name="linha3">#REF!</definedName>
    <definedName name="linha4">#REF!</definedName>
    <definedName name="linha6">#REF!</definedName>
    <definedName name="linha7">#REF!</definedName>
    <definedName name="linha8">#REF!</definedName>
    <definedName name="linhaanap">#REF!</definedName>
    <definedName name="linhage">#REF!</definedName>
    <definedName name="Linhas">[5]Dados!$G$2:$G$19</definedName>
    <definedName name="lista">#REF!</definedName>
    <definedName name="MAN">#REF!</definedName>
    <definedName name="MÁQUINA">INDIRECT(#REF!)</definedName>
    <definedName name="MARÇO">#REF!</definedName>
    <definedName name="Menu2">[6]calc!$J$2:$J$4</definedName>
    <definedName name="MÊS">#REF!</definedName>
    <definedName name="Meses">#REF!,#REF!,#REF!,#REF!,#REF!,#REF!,#REF!,#REF!,#REF!,#REF!,#REF!,#REF!</definedName>
    <definedName name="NOME1">INDIRECT('[7]3+'!$F$6)</definedName>
    <definedName name="NOME2">INDIRECT('[7]3+'!$F$8)</definedName>
    <definedName name="NOME3">INDIRECT('[7]3+'!$F$10)</definedName>
    <definedName name="P">#REF!</definedName>
    <definedName name="PA">INDIRECT('[3]PA-TODOS'!$L$7)</definedName>
    <definedName name="PAE">#REF!</definedName>
    <definedName name="PARAD.">#REF!</definedName>
    <definedName name="Páscoa">[1]Feriados!$B$6</definedName>
    <definedName name="PC">#REF!</definedName>
    <definedName name="Pilares">INDIRECT('[3]14 (5)'!$J$7)</definedName>
    <definedName name="PROD.">#REF!</definedName>
    <definedName name="QUAL.">#REF!</definedName>
    <definedName name="QUALIDADE">#REF!</definedName>
    <definedName name="S">INDIRECT(#REF!)</definedName>
    <definedName name="SEG">#REF!</definedName>
    <definedName name="SETORESMAQUINA">'[8]Dados Progressiva'!$M$2:$M$4</definedName>
    <definedName name="SUC">#REF!</definedName>
    <definedName name="SUC.">#REF!</definedName>
    <definedName name="tab.geral">#REF!</definedName>
    <definedName name="Tab.meta">#REF!</definedName>
    <definedName name="TMETA">#REF!</definedName>
    <definedName name="TURMA">#REF!</definedName>
    <definedName name="USA">[1]Feriados!$B$27:$B$34</definedName>
    <definedName name="Z_13679B02_FCB5_441B_89A1_2FF1BF786835_.wvu.Cols" localSheetId="0" hidden="1">LANC.!#REF!</definedName>
    <definedName name="Z_13679B02_FCB5_441B_89A1_2FF1BF786835_.wvu.FilterData" localSheetId="0" hidden="1">LANC.!$A$1:$I$1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345" i="1" l="1"/>
  <c r="B346" i="1"/>
  <c r="B347" i="1"/>
  <c r="B348" i="1"/>
  <c r="B349" i="1"/>
  <c r="B350" i="1"/>
  <c r="B351" i="1"/>
  <c r="B352" i="1"/>
  <c r="I345" i="1"/>
  <c r="I346" i="1"/>
  <c r="I347" i="1"/>
  <c r="I348" i="1"/>
  <c r="I349" i="1"/>
  <c r="I350" i="1"/>
  <c r="I351" i="1"/>
  <c r="I352" i="1"/>
  <c r="J345" i="1"/>
  <c r="J346" i="1"/>
  <c r="J347" i="1"/>
  <c r="J348" i="1"/>
  <c r="J349" i="1"/>
  <c r="J350" i="1"/>
  <c r="J351" i="1"/>
  <c r="K345" i="1"/>
  <c r="K346" i="1"/>
  <c r="K347" i="1"/>
  <c r="K348" i="1"/>
  <c r="K349" i="1"/>
  <c r="K350" i="1"/>
  <c r="K351" i="1"/>
  <c r="K352" i="1"/>
  <c r="B344" i="1"/>
  <c r="I344" i="1"/>
  <c r="J344" i="1"/>
  <c r="K344" i="1"/>
  <c r="B336" i="1"/>
  <c r="B337" i="1"/>
  <c r="B338" i="1"/>
  <c r="B339" i="1"/>
  <c r="B340" i="1"/>
  <c r="B341" i="1"/>
  <c r="B342" i="1"/>
  <c r="B343" i="1"/>
  <c r="I336" i="1"/>
  <c r="I337" i="1"/>
  <c r="I338" i="1"/>
  <c r="I339" i="1"/>
  <c r="I340" i="1"/>
  <c r="I341" i="1"/>
  <c r="I342" i="1"/>
  <c r="I343" i="1"/>
  <c r="J336" i="1"/>
  <c r="J337" i="1"/>
  <c r="J338" i="1"/>
  <c r="J339" i="1"/>
  <c r="J340" i="1"/>
  <c r="J341" i="1"/>
  <c r="J342" i="1"/>
  <c r="K336" i="1"/>
  <c r="K337" i="1"/>
  <c r="K338" i="1"/>
  <c r="K339" i="1"/>
  <c r="K340" i="1"/>
  <c r="K341" i="1"/>
  <c r="K342" i="1"/>
  <c r="K343" i="1"/>
  <c r="B335" i="1"/>
  <c r="I335" i="1"/>
  <c r="J335" i="1"/>
  <c r="K335" i="1"/>
  <c r="C5" i="3"/>
  <c r="C6" i="3"/>
  <c r="C4" i="3"/>
  <c r="C3" i="3"/>
  <c r="B327" i="1"/>
  <c r="B328" i="1"/>
  <c r="B329" i="1"/>
  <c r="B330" i="1"/>
  <c r="B331" i="1"/>
  <c r="B332" i="1"/>
  <c r="B333" i="1"/>
  <c r="B334" i="1"/>
  <c r="I327" i="1"/>
  <c r="I328" i="1"/>
  <c r="I329" i="1"/>
  <c r="I330" i="1"/>
  <c r="I331" i="1"/>
  <c r="I332" i="1"/>
  <c r="I333" i="1"/>
  <c r="I334" i="1"/>
  <c r="J327" i="1"/>
  <c r="J328" i="1"/>
  <c r="J329" i="1"/>
  <c r="J330" i="1"/>
  <c r="J331" i="1"/>
  <c r="J332" i="1"/>
  <c r="J333" i="1"/>
  <c r="K327" i="1"/>
  <c r="K328" i="1"/>
  <c r="K329" i="1"/>
  <c r="K330" i="1"/>
  <c r="K331" i="1"/>
  <c r="K332" i="1"/>
  <c r="K333" i="1"/>
  <c r="K334" i="1"/>
  <c r="B326" i="1"/>
  <c r="I326" i="1"/>
  <c r="J326" i="1"/>
  <c r="K326" i="1"/>
  <c r="D3" i="3"/>
  <c r="B318" i="1"/>
  <c r="B319" i="1"/>
  <c r="B320" i="1"/>
  <c r="B321" i="1"/>
  <c r="B322" i="1"/>
  <c r="B323" i="1"/>
  <c r="B324" i="1"/>
  <c r="B325" i="1"/>
  <c r="I318" i="1"/>
  <c r="I319" i="1"/>
  <c r="I320" i="1"/>
  <c r="I321" i="1"/>
  <c r="I322" i="1"/>
  <c r="I323" i="1"/>
  <c r="I324" i="1"/>
  <c r="I325" i="1"/>
  <c r="J318" i="1"/>
  <c r="J319" i="1"/>
  <c r="J320" i="1"/>
  <c r="J321" i="1"/>
  <c r="J322" i="1"/>
  <c r="J324" i="1"/>
  <c r="K318" i="1"/>
  <c r="K319" i="1"/>
  <c r="K320" i="1"/>
  <c r="K321" i="1"/>
  <c r="K322" i="1"/>
  <c r="K323" i="1"/>
  <c r="K324" i="1"/>
  <c r="K325" i="1"/>
  <c r="B317" i="1"/>
  <c r="I317" i="1"/>
  <c r="J317" i="1"/>
  <c r="K317" i="1"/>
  <c r="B309" i="1"/>
  <c r="B310" i="1"/>
  <c r="B311" i="1"/>
  <c r="B312" i="1"/>
  <c r="B313" i="1"/>
  <c r="B314" i="1"/>
  <c r="B315" i="1"/>
  <c r="B316" i="1"/>
  <c r="I309" i="1"/>
  <c r="I310" i="1"/>
  <c r="I311" i="1"/>
  <c r="I312" i="1"/>
  <c r="I313" i="1"/>
  <c r="I314" i="1"/>
  <c r="I315" i="1"/>
  <c r="I316" i="1"/>
  <c r="J309" i="1"/>
  <c r="J310" i="1"/>
  <c r="J311" i="1"/>
  <c r="J312" i="1"/>
  <c r="J313" i="1"/>
  <c r="J315" i="1"/>
  <c r="K309" i="1"/>
  <c r="K310" i="1"/>
  <c r="K311" i="1"/>
  <c r="K312" i="1"/>
  <c r="K313" i="1"/>
  <c r="K314" i="1"/>
  <c r="K315" i="1"/>
  <c r="K316" i="1"/>
  <c r="B308" i="1"/>
  <c r="I308" i="1"/>
  <c r="J308" i="1"/>
  <c r="K308" i="1"/>
  <c r="B301" i="1"/>
  <c r="B302" i="1"/>
  <c r="B303" i="1"/>
  <c r="B304" i="1"/>
  <c r="B305" i="1"/>
  <c r="B306" i="1"/>
  <c r="B307" i="1"/>
  <c r="I301" i="1"/>
  <c r="I302" i="1"/>
  <c r="I303" i="1"/>
  <c r="I304" i="1"/>
  <c r="I305" i="1"/>
  <c r="I306" i="1"/>
  <c r="I307" i="1"/>
  <c r="J301" i="1"/>
  <c r="J302" i="1"/>
  <c r="J303" i="1"/>
  <c r="J304" i="1"/>
  <c r="J306" i="1"/>
  <c r="K301" i="1"/>
  <c r="K302" i="1"/>
  <c r="K303" i="1"/>
  <c r="K304" i="1"/>
  <c r="K305" i="1"/>
  <c r="K306" i="1"/>
  <c r="K307" i="1"/>
  <c r="B300" i="1"/>
  <c r="I300" i="1"/>
  <c r="J300" i="1"/>
  <c r="K300" i="1"/>
  <c r="B299" i="1"/>
  <c r="I299" i="1"/>
  <c r="J299" i="1"/>
  <c r="K299" i="1"/>
  <c r="B291" i="1"/>
  <c r="B292" i="1"/>
  <c r="B293" i="1"/>
  <c r="B294" i="1"/>
  <c r="B295" i="1"/>
  <c r="B296" i="1"/>
  <c r="B297" i="1"/>
  <c r="B298" i="1"/>
  <c r="I291" i="1"/>
  <c r="I292" i="1"/>
  <c r="I293" i="1"/>
  <c r="I294" i="1"/>
  <c r="I295" i="1"/>
  <c r="I296" i="1"/>
  <c r="I297" i="1"/>
  <c r="I298" i="1"/>
  <c r="J291" i="1"/>
  <c r="J292" i="1"/>
  <c r="J293" i="1"/>
  <c r="J294" i="1"/>
  <c r="J295" i="1"/>
  <c r="J297" i="1"/>
  <c r="K291" i="1"/>
  <c r="K292" i="1"/>
  <c r="K293" i="1"/>
  <c r="K294" i="1"/>
  <c r="K295" i="1"/>
  <c r="K296" i="1"/>
  <c r="K297" i="1"/>
  <c r="K298" i="1"/>
  <c r="B290" i="1"/>
  <c r="I290" i="1"/>
  <c r="J290" i="1"/>
  <c r="K290" i="1"/>
  <c r="B282" i="1"/>
  <c r="B283" i="1"/>
  <c r="B284" i="1"/>
  <c r="B285" i="1"/>
  <c r="B286" i="1"/>
  <c r="B287" i="1"/>
  <c r="B288" i="1"/>
  <c r="B289" i="1"/>
  <c r="I282" i="1"/>
  <c r="I283" i="1"/>
  <c r="I284" i="1"/>
  <c r="I285" i="1"/>
  <c r="I286" i="1"/>
  <c r="I287" i="1"/>
  <c r="I288" i="1"/>
  <c r="I289" i="1"/>
  <c r="J282" i="1"/>
  <c r="J283" i="1"/>
  <c r="J284" i="1"/>
  <c r="J285" i="1"/>
  <c r="J286" i="1"/>
  <c r="J288" i="1"/>
  <c r="K282" i="1"/>
  <c r="K283" i="1"/>
  <c r="K284" i="1"/>
  <c r="K285" i="1"/>
  <c r="K286" i="1"/>
  <c r="K287" i="1"/>
  <c r="K288" i="1"/>
  <c r="K289" i="1"/>
  <c r="B281" i="1"/>
  <c r="I281" i="1"/>
  <c r="J281" i="1"/>
  <c r="K281" i="1"/>
  <c r="B273" i="1"/>
  <c r="B274" i="1"/>
  <c r="B275" i="1"/>
  <c r="B276" i="1"/>
  <c r="B277" i="1"/>
  <c r="B278" i="1"/>
  <c r="B279" i="1"/>
  <c r="B280" i="1"/>
  <c r="I273" i="1"/>
  <c r="I274" i="1"/>
  <c r="I275" i="1"/>
  <c r="I276" i="1"/>
  <c r="I277" i="1"/>
  <c r="I278" i="1"/>
  <c r="I279" i="1"/>
  <c r="I280" i="1"/>
  <c r="J273" i="1"/>
  <c r="J274" i="1"/>
  <c r="J275" i="1"/>
  <c r="J276" i="1"/>
  <c r="J277" i="1"/>
  <c r="J279" i="1"/>
  <c r="K273" i="1"/>
  <c r="K274" i="1"/>
  <c r="K275" i="1"/>
  <c r="K276" i="1"/>
  <c r="K277" i="1"/>
  <c r="K278" i="1"/>
  <c r="K279" i="1"/>
  <c r="K280" i="1"/>
  <c r="B272" i="1"/>
  <c r="I272" i="1"/>
  <c r="J272" i="1"/>
  <c r="K272" i="1"/>
  <c r="B264" i="1"/>
  <c r="B265" i="1"/>
  <c r="B266" i="1"/>
  <c r="B267" i="1"/>
  <c r="B268" i="1"/>
  <c r="B269" i="1"/>
  <c r="B270" i="1"/>
  <c r="B271" i="1"/>
  <c r="I264" i="1"/>
  <c r="I265" i="1"/>
  <c r="I266" i="1"/>
  <c r="I267" i="1"/>
  <c r="I268" i="1"/>
  <c r="I269" i="1"/>
  <c r="I270" i="1"/>
  <c r="I271" i="1"/>
  <c r="J264" i="1"/>
  <c r="J265" i="1"/>
  <c r="J266" i="1"/>
  <c r="J267" i="1"/>
  <c r="J268" i="1"/>
  <c r="J270" i="1"/>
  <c r="K264" i="1"/>
  <c r="K265" i="1"/>
  <c r="K266" i="1"/>
  <c r="K267" i="1"/>
  <c r="K268" i="1"/>
  <c r="K269" i="1"/>
  <c r="K270" i="1"/>
  <c r="K271" i="1"/>
  <c r="B263" i="1"/>
  <c r="I263" i="1"/>
  <c r="J263" i="1"/>
  <c r="K263" i="1"/>
  <c r="B255" i="1"/>
  <c r="B256" i="1"/>
  <c r="B257" i="1"/>
  <c r="B258" i="1"/>
  <c r="B259" i="1"/>
  <c r="B260" i="1"/>
  <c r="B261" i="1"/>
  <c r="B262" i="1"/>
  <c r="I255" i="1"/>
  <c r="I256" i="1"/>
  <c r="I257" i="1"/>
  <c r="I258" i="1"/>
  <c r="I259" i="1"/>
  <c r="I260" i="1"/>
  <c r="I261" i="1"/>
  <c r="I262" i="1"/>
  <c r="J255" i="1"/>
  <c r="J256" i="1"/>
  <c r="J257" i="1"/>
  <c r="J258" i="1"/>
  <c r="J259" i="1"/>
  <c r="J261" i="1"/>
  <c r="K255" i="1"/>
  <c r="K256" i="1"/>
  <c r="K257" i="1"/>
  <c r="K258" i="1"/>
  <c r="K259" i="1"/>
  <c r="K260" i="1"/>
  <c r="K261" i="1"/>
  <c r="K262" i="1"/>
  <c r="B254" i="1"/>
  <c r="I254" i="1"/>
  <c r="J254" i="1"/>
  <c r="K254" i="1"/>
  <c r="B246" i="1"/>
  <c r="B247" i="1"/>
  <c r="B248" i="1"/>
  <c r="B249" i="1"/>
  <c r="B250" i="1"/>
  <c r="B251" i="1"/>
  <c r="B252" i="1"/>
  <c r="B253" i="1"/>
  <c r="I246" i="1"/>
  <c r="I247" i="1"/>
  <c r="I248" i="1"/>
  <c r="I249" i="1"/>
  <c r="I250" i="1"/>
  <c r="I251" i="1"/>
  <c r="I252" i="1"/>
  <c r="I253" i="1"/>
  <c r="J246" i="1"/>
  <c r="J247" i="1"/>
  <c r="J248" i="1"/>
  <c r="J249" i="1"/>
  <c r="J250" i="1"/>
  <c r="J252" i="1"/>
  <c r="K246" i="1"/>
  <c r="K247" i="1"/>
  <c r="K248" i="1"/>
  <c r="K249" i="1"/>
  <c r="K250" i="1"/>
  <c r="K251" i="1"/>
  <c r="K252" i="1"/>
  <c r="K253" i="1"/>
  <c r="B245" i="1"/>
  <c r="I245" i="1"/>
  <c r="J245" i="1"/>
  <c r="K245" i="1"/>
  <c r="B237" i="1"/>
  <c r="B238" i="1"/>
  <c r="B239" i="1"/>
  <c r="B240" i="1"/>
  <c r="B241" i="1"/>
  <c r="B242" i="1"/>
  <c r="B243" i="1"/>
  <c r="B244" i="1"/>
  <c r="I237" i="1"/>
  <c r="I238" i="1"/>
  <c r="I239" i="1"/>
  <c r="I240" i="1"/>
  <c r="I241" i="1"/>
  <c r="I242" i="1"/>
  <c r="I243" i="1"/>
  <c r="I244" i="1"/>
  <c r="J237" i="1"/>
  <c r="J238" i="1"/>
  <c r="J239" i="1"/>
  <c r="J240" i="1"/>
  <c r="J241" i="1"/>
  <c r="J243" i="1"/>
  <c r="K237" i="1"/>
  <c r="K238" i="1"/>
  <c r="K239" i="1"/>
  <c r="K240" i="1"/>
  <c r="K241" i="1"/>
  <c r="K242" i="1"/>
  <c r="K243" i="1"/>
  <c r="K244" i="1"/>
  <c r="B236" i="1"/>
  <c r="I236" i="1"/>
  <c r="J236" i="1"/>
  <c r="K236" i="1"/>
  <c r="B228" i="1"/>
  <c r="B229" i="1"/>
  <c r="B230" i="1"/>
  <c r="B231" i="1"/>
  <c r="B232" i="1"/>
  <c r="B233" i="1"/>
  <c r="B234" i="1"/>
  <c r="B235" i="1"/>
  <c r="I228" i="1"/>
  <c r="I229" i="1"/>
  <c r="I230" i="1"/>
  <c r="I231" i="1"/>
  <c r="I232" i="1"/>
  <c r="I233" i="1"/>
  <c r="I234" i="1"/>
  <c r="I235" i="1"/>
  <c r="J228" i="1"/>
  <c r="J229" i="1"/>
  <c r="J230" i="1"/>
  <c r="J231" i="1"/>
  <c r="J232" i="1"/>
  <c r="J234" i="1"/>
  <c r="K228" i="1"/>
  <c r="K229" i="1"/>
  <c r="K230" i="1"/>
  <c r="K231" i="1"/>
  <c r="K232" i="1"/>
  <c r="K233" i="1"/>
  <c r="K234" i="1"/>
  <c r="K235" i="1"/>
  <c r="B227" i="1"/>
  <c r="I227" i="1"/>
  <c r="J227" i="1"/>
  <c r="K227" i="1"/>
  <c r="B219" i="1"/>
  <c r="B220" i="1"/>
  <c r="B221" i="1"/>
  <c r="B222" i="1"/>
  <c r="B223" i="1"/>
  <c r="B224" i="1"/>
  <c r="B225" i="1"/>
  <c r="B226" i="1"/>
  <c r="I219" i="1"/>
  <c r="I220" i="1"/>
  <c r="I221" i="1"/>
  <c r="I222" i="1"/>
  <c r="I223" i="1"/>
  <c r="I224" i="1"/>
  <c r="I225" i="1"/>
  <c r="I226" i="1"/>
  <c r="J219" i="1"/>
  <c r="J220" i="1"/>
  <c r="J221" i="1"/>
  <c r="J222" i="1"/>
  <c r="J223" i="1"/>
  <c r="K219" i="1"/>
  <c r="K220" i="1"/>
  <c r="K221" i="1"/>
  <c r="K222" i="1"/>
  <c r="K223" i="1"/>
  <c r="K224" i="1"/>
  <c r="K225" i="1"/>
  <c r="K226" i="1"/>
  <c r="B218" i="1"/>
  <c r="I218" i="1"/>
  <c r="J218" i="1"/>
  <c r="K218" i="1"/>
  <c r="B210" i="1"/>
  <c r="B211" i="1"/>
  <c r="B212" i="1"/>
  <c r="B213" i="1"/>
  <c r="B214" i="1"/>
  <c r="B215" i="1"/>
  <c r="B216" i="1"/>
  <c r="B217" i="1"/>
  <c r="I210" i="1"/>
  <c r="I211" i="1"/>
  <c r="I212" i="1"/>
  <c r="I213" i="1"/>
  <c r="I214" i="1"/>
  <c r="I215" i="1"/>
  <c r="I216" i="1"/>
  <c r="I217" i="1"/>
  <c r="J210" i="1"/>
  <c r="J211" i="1"/>
  <c r="J212" i="1"/>
  <c r="J213" i="1"/>
  <c r="J214" i="1"/>
  <c r="J216" i="1"/>
  <c r="K210" i="1"/>
  <c r="K211" i="1"/>
  <c r="K212" i="1"/>
  <c r="K213" i="1"/>
  <c r="K214" i="1"/>
  <c r="K215" i="1"/>
  <c r="K216" i="1"/>
  <c r="K217" i="1"/>
  <c r="B209" i="1"/>
  <c r="I209" i="1"/>
  <c r="J209" i="1"/>
  <c r="K209" i="1"/>
  <c r="B201" i="1"/>
  <c r="B202" i="1"/>
  <c r="B203" i="1"/>
  <c r="B204" i="1"/>
  <c r="B205" i="1"/>
  <c r="B206" i="1"/>
  <c r="B207" i="1"/>
  <c r="B208" i="1"/>
  <c r="I201" i="1"/>
  <c r="I202" i="1"/>
  <c r="I203" i="1"/>
  <c r="I204" i="1"/>
  <c r="I205" i="1"/>
  <c r="I206" i="1"/>
  <c r="I207" i="1"/>
  <c r="I208" i="1"/>
  <c r="J201" i="1"/>
  <c r="J202" i="1"/>
  <c r="J203" i="1"/>
  <c r="J204" i="1"/>
  <c r="J205" i="1"/>
  <c r="J207" i="1"/>
  <c r="K201" i="1"/>
  <c r="K202" i="1"/>
  <c r="K203" i="1"/>
  <c r="K204" i="1"/>
  <c r="K205" i="1"/>
  <c r="K206" i="1"/>
  <c r="K207" i="1"/>
  <c r="K208" i="1"/>
  <c r="B200" i="1"/>
  <c r="I200" i="1"/>
  <c r="J200" i="1"/>
  <c r="K200" i="1"/>
  <c r="B192" i="1"/>
  <c r="B193" i="1"/>
  <c r="B194" i="1"/>
  <c r="B195" i="1"/>
  <c r="B196" i="1"/>
  <c r="B197" i="1"/>
  <c r="B198" i="1"/>
  <c r="B199" i="1"/>
  <c r="I192" i="1"/>
  <c r="I193" i="1"/>
  <c r="I194" i="1"/>
  <c r="I195" i="1"/>
  <c r="I196" i="1"/>
  <c r="I197" i="1"/>
  <c r="I198" i="1"/>
  <c r="I199" i="1"/>
  <c r="J192" i="1"/>
  <c r="J193" i="1"/>
  <c r="J194" i="1"/>
  <c r="J195" i="1"/>
  <c r="J196" i="1"/>
  <c r="J198" i="1"/>
  <c r="K192" i="1"/>
  <c r="K193" i="1"/>
  <c r="K194" i="1"/>
  <c r="K195" i="1"/>
  <c r="K196" i="1"/>
  <c r="K197" i="1"/>
  <c r="K198" i="1"/>
  <c r="K199" i="1"/>
  <c r="B191" i="1"/>
  <c r="I191" i="1"/>
  <c r="J191" i="1"/>
  <c r="K191" i="1"/>
  <c r="D5" i="3"/>
  <c r="D6" i="3"/>
  <c r="D7" i="3"/>
  <c r="D8" i="3"/>
  <c r="D4" i="3"/>
  <c r="D2" i="3"/>
  <c r="K188" i="1"/>
  <c r="B183" i="1"/>
  <c r="B184" i="1"/>
  <c r="B185" i="1"/>
  <c r="B186" i="1"/>
  <c r="B187" i="1"/>
  <c r="B188" i="1"/>
  <c r="B189" i="1"/>
  <c r="B190" i="1"/>
  <c r="I183" i="1"/>
  <c r="I184" i="1"/>
  <c r="I185" i="1"/>
  <c r="I186" i="1"/>
  <c r="I187" i="1"/>
  <c r="I188" i="1"/>
  <c r="I189" i="1"/>
  <c r="I190" i="1"/>
  <c r="J183" i="1"/>
  <c r="J184" i="1"/>
  <c r="J185" i="1"/>
  <c r="J186" i="1"/>
  <c r="J187" i="1"/>
  <c r="K183" i="1"/>
  <c r="K184" i="1"/>
  <c r="K185" i="1"/>
  <c r="K186" i="1"/>
  <c r="K187" i="1"/>
  <c r="K189" i="1"/>
  <c r="K190" i="1"/>
  <c r="B182" i="1"/>
  <c r="I182" i="1"/>
  <c r="J182" i="1"/>
  <c r="K182" i="1"/>
  <c r="B181" i="1"/>
  <c r="I181" i="1"/>
  <c r="K181" i="1"/>
  <c r="B180" i="1"/>
  <c r="I180" i="1"/>
  <c r="K180" i="1"/>
  <c r="B179" i="1"/>
  <c r="I179" i="1"/>
  <c r="K179" i="1"/>
  <c r="B178" i="1"/>
  <c r="I178" i="1"/>
  <c r="J178" i="1"/>
  <c r="K178" i="1"/>
  <c r="B177" i="1"/>
  <c r="I177" i="1"/>
  <c r="J177" i="1"/>
  <c r="K177" i="1"/>
  <c r="B176" i="1"/>
  <c r="I176" i="1"/>
  <c r="J176" i="1"/>
  <c r="K176" i="1"/>
  <c r="B175" i="1"/>
  <c r="I175" i="1"/>
  <c r="J175" i="1"/>
  <c r="K175" i="1"/>
  <c r="B174" i="1"/>
  <c r="I174" i="1"/>
  <c r="J174" i="1"/>
  <c r="K174" i="1"/>
  <c r="B173" i="1"/>
  <c r="I173" i="1"/>
  <c r="J173" i="1"/>
  <c r="K173" i="1"/>
  <c r="B172" i="1"/>
  <c r="I172" i="1"/>
  <c r="K172" i="1"/>
  <c r="B171" i="1"/>
  <c r="I171" i="1"/>
  <c r="J171" i="1"/>
  <c r="K171" i="1"/>
  <c r="B170" i="1"/>
  <c r="I170" i="1"/>
  <c r="K170" i="1"/>
  <c r="B169" i="1"/>
  <c r="I169" i="1"/>
  <c r="J169" i="1"/>
  <c r="K169" i="1"/>
  <c r="B168" i="1"/>
  <c r="I168" i="1"/>
  <c r="J168" i="1"/>
  <c r="K168" i="1"/>
  <c r="B167" i="1"/>
  <c r="I167" i="1"/>
  <c r="J167" i="1"/>
  <c r="K167" i="1"/>
  <c r="B166" i="1"/>
  <c r="I166" i="1"/>
  <c r="J166" i="1"/>
  <c r="K166" i="1"/>
  <c r="B165" i="1"/>
  <c r="I165" i="1"/>
  <c r="J165" i="1"/>
  <c r="K165" i="1"/>
  <c r="B164" i="1"/>
  <c r="I164" i="1"/>
  <c r="J164" i="1"/>
  <c r="K164" i="1"/>
  <c r="F28" i="2"/>
  <c r="E28" i="2"/>
  <c r="F27" i="2"/>
  <c r="E27" i="2"/>
  <c r="F26" i="2"/>
  <c r="E26" i="2"/>
  <c r="F25" i="2"/>
  <c r="E25" i="2"/>
  <c r="F24" i="2"/>
  <c r="E24" i="2"/>
  <c r="F23" i="2"/>
  <c r="E23" i="2"/>
  <c r="F22" i="2"/>
  <c r="E22" i="2"/>
  <c r="F21" i="2"/>
  <c r="E21" i="2"/>
  <c r="F20" i="2"/>
  <c r="E20" i="2"/>
  <c r="F19" i="2"/>
  <c r="E19" i="2"/>
  <c r="F18" i="2"/>
  <c r="E18" i="2"/>
  <c r="F17" i="2"/>
  <c r="E17" i="2"/>
  <c r="F16" i="2"/>
  <c r="E16" i="2"/>
  <c r="F15" i="2"/>
  <c r="E15" i="2"/>
  <c r="F14" i="2"/>
  <c r="E14" i="2"/>
  <c r="F13" i="2"/>
  <c r="E13" i="2"/>
  <c r="F12" i="2"/>
  <c r="E12" i="2"/>
  <c r="F11" i="2"/>
  <c r="E11" i="2"/>
  <c r="F10" i="2"/>
  <c r="E10" i="2"/>
  <c r="F9" i="2"/>
  <c r="E9" i="2"/>
  <c r="F8" i="2"/>
  <c r="E8" i="2"/>
  <c r="F7" i="2"/>
  <c r="E7" i="2"/>
  <c r="F6" i="2"/>
  <c r="E6" i="2"/>
  <c r="F5" i="2"/>
  <c r="E5" i="2"/>
  <c r="F4" i="2"/>
  <c r="E4" i="2"/>
  <c r="F3" i="2"/>
  <c r="E3" i="2"/>
  <c r="F2" i="2"/>
  <c r="E2" i="2"/>
  <c r="B163" i="1" l="1"/>
  <c r="I163" i="1"/>
  <c r="K163" i="1"/>
  <c r="B162" i="1"/>
  <c r="I162" i="1"/>
  <c r="J162" i="1"/>
  <c r="K162" i="1"/>
  <c r="B161" i="1"/>
  <c r="I161" i="1"/>
  <c r="K161" i="1"/>
  <c r="B156" i="1"/>
  <c r="B157" i="1"/>
  <c r="B158" i="1"/>
  <c r="B159" i="1"/>
  <c r="B160" i="1"/>
  <c r="I156" i="1"/>
  <c r="I157" i="1"/>
  <c r="I158" i="1"/>
  <c r="I159" i="1"/>
  <c r="I160" i="1"/>
  <c r="J156" i="1"/>
  <c r="J157" i="1"/>
  <c r="J158" i="1"/>
  <c r="J159" i="1"/>
  <c r="J160" i="1"/>
  <c r="K156" i="1"/>
  <c r="K157" i="1"/>
  <c r="K158" i="1"/>
  <c r="K159" i="1"/>
  <c r="K160" i="1"/>
  <c r="B155" i="1"/>
  <c r="I155" i="1"/>
  <c r="J155" i="1"/>
  <c r="K155" i="1"/>
  <c r="K142" i="1"/>
  <c r="B149" i="1"/>
  <c r="B150" i="1"/>
  <c r="B151" i="1"/>
  <c r="B152" i="1"/>
  <c r="B153" i="1"/>
  <c r="B154" i="1"/>
  <c r="I149" i="1"/>
  <c r="I150" i="1"/>
  <c r="I151" i="1"/>
  <c r="I152" i="1"/>
  <c r="I153" i="1"/>
  <c r="I154" i="1"/>
  <c r="J149" i="1"/>
  <c r="J150" i="1"/>
  <c r="J151" i="1"/>
  <c r="J152" i="1"/>
  <c r="J153" i="1"/>
  <c r="J154" i="1"/>
  <c r="K149" i="1"/>
  <c r="K150" i="1"/>
  <c r="K151" i="1"/>
  <c r="K152" i="1"/>
  <c r="K153" i="1"/>
  <c r="K154" i="1"/>
  <c r="B143" i="1"/>
  <c r="B144" i="1"/>
  <c r="B145" i="1"/>
  <c r="B146" i="1"/>
  <c r="B147" i="1"/>
  <c r="B148" i="1"/>
  <c r="I143" i="1"/>
  <c r="I144" i="1"/>
  <c r="I145" i="1"/>
  <c r="I146" i="1"/>
  <c r="I147" i="1"/>
  <c r="I148" i="1"/>
  <c r="J143" i="1"/>
  <c r="J144" i="1"/>
  <c r="J145" i="1"/>
  <c r="J146" i="1"/>
  <c r="J147" i="1"/>
  <c r="J148" i="1"/>
  <c r="K143" i="1"/>
  <c r="K144" i="1"/>
  <c r="K145" i="1"/>
  <c r="K146" i="1"/>
  <c r="K147" i="1"/>
  <c r="K148" i="1"/>
  <c r="B137" i="1"/>
  <c r="B138" i="1"/>
  <c r="B139" i="1"/>
  <c r="B140" i="1"/>
  <c r="B141" i="1"/>
  <c r="B142" i="1"/>
  <c r="I137" i="1"/>
  <c r="I138" i="1"/>
  <c r="I139" i="1"/>
  <c r="I140" i="1"/>
  <c r="I141" i="1"/>
  <c r="I142" i="1"/>
  <c r="J137" i="1"/>
  <c r="J138" i="1"/>
  <c r="J139" i="1"/>
  <c r="J140" i="1"/>
  <c r="J141" i="1"/>
  <c r="J142" i="1"/>
  <c r="K137" i="1"/>
  <c r="K138" i="1"/>
  <c r="K139" i="1"/>
  <c r="K140" i="1"/>
  <c r="K141" i="1"/>
  <c r="B131" i="1"/>
  <c r="B132" i="1"/>
  <c r="B133" i="1"/>
  <c r="B134" i="1"/>
  <c r="B135" i="1"/>
  <c r="B136" i="1"/>
  <c r="I131" i="1"/>
  <c r="I132" i="1"/>
  <c r="I133" i="1"/>
  <c r="I134" i="1"/>
  <c r="I135" i="1"/>
  <c r="I136" i="1"/>
  <c r="J131" i="1"/>
  <c r="J132" i="1"/>
  <c r="J133" i="1"/>
  <c r="J134" i="1"/>
  <c r="J135" i="1"/>
  <c r="J136" i="1"/>
  <c r="K131" i="1"/>
  <c r="K132" i="1"/>
  <c r="K133" i="1"/>
  <c r="K134" i="1"/>
  <c r="K135" i="1"/>
  <c r="K136" i="1"/>
  <c r="B125" i="1"/>
  <c r="B126" i="1"/>
  <c r="B127" i="1"/>
  <c r="B128" i="1"/>
  <c r="B129" i="1"/>
  <c r="B130" i="1"/>
  <c r="I125" i="1"/>
  <c r="I126" i="1"/>
  <c r="I127" i="1"/>
  <c r="I128" i="1"/>
  <c r="I129" i="1"/>
  <c r="I130" i="1"/>
  <c r="J125" i="1"/>
  <c r="J126" i="1"/>
  <c r="J127" i="1"/>
  <c r="J128" i="1"/>
  <c r="J129" i="1"/>
  <c r="J130" i="1"/>
  <c r="K125" i="1"/>
  <c r="K126" i="1"/>
  <c r="K127" i="1"/>
  <c r="K128" i="1"/>
  <c r="K129" i="1"/>
  <c r="K130" i="1"/>
  <c r="B119" i="1"/>
  <c r="B120" i="1"/>
  <c r="B121" i="1"/>
  <c r="B122" i="1"/>
  <c r="B123" i="1"/>
  <c r="B124" i="1"/>
  <c r="I119" i="1"/>
  <c r="I120" i="1"/>
  <c r="I121" i="1"/>
  <c r="I122" i="1"/>
  <c r="I123" i="1"/>
  <c r="I124" i="1"/>
  <c r="J119" i="1"/>
  <c r="J120" i="1"/>
  <c r="J121" i="1"/>
  <c r="J122" i="1"/>
  <c r="J123" i="1"/>
  <c r="J124" i="1"/>
  <c r="K119" i="1"/>
  <c r="K120" i="1"/>
  <c r="K121" i="1"/>
  <c r="K122" i="1"/>
  <c r="K123" i="1"/>
  <c r="K124" i="1"/>
  <c r="B113" i="1"/>
  <c r="B114" i="1"/>
  <c r="B115" i="1"/>
  <c r="B116" i="1"/>
  <c r="B117" i="1"/>
  <c r="B118" i="1"/>
  <c r="I113" i="1"/>
  <c r="I114" i="1"/>
  <c r="I115" i="1"/>
  <c r="I116" i="1"/>
  <c r="I117" i="1"/>
  <c r="I118" i="1"/>
  <c r="J113" i="1"/>
  <c r="J114" i="1"/>
  <c r="J115" i="1"/>
  <c r="J116" i="1"/>
  <c r="J117" i="1"/>
  <c r="J118" i="1"/>
  <c r="K113" i="1"/>
  <c r="K114" i="1"/>
  <c r="K115" i="1"/>
  <c r="K116" i="1"/>
  <c r="K117" i="1"/>
  <c r="K118" i="1"/>
  <c r="B107" i="1"/>
  <c r="B108" i="1"/>
  <c r="B109" i="1"/>
  <c r="B110" i="1"/>
  <c r="B111" i="1"/>
  <c r="B112" i="1"/>
  <c r="I107" i="1"/>
  <c r="I108" i="1"/>
  <c r="I109" i="1"/>
  <c r="I110" i="1"/>
  <c r="I111" i="1"/>
  <c r="I112" i="1"/>
  <c r="J107" i="1"/>
  <c r="J108" i="1"/>
  <c r="J109" i="1"/>
  <c r="J110" i="1"/>
  <c r="J111" i="1"/>
  <c r="J112" i="1"/>
  <c r="K107" i="1"/>
  <c r="K108" i="1"/>
  <c r="K109" i="1"/>
  <c r="K110" i="1"/>
  <c r="K111" i="1"/>
  <c r="K112" i="1"/>
  <c r="B101" i="1"/>
  <c r="B102" i="1"/>
  <c r="B103" i="1"/>
  <c r="B104" i="1"/>
  <c r="B105" i="1"/>
  <c r="B106" i="1"/>
  <c r="I101" i="1"/>
  <c r="I102" i="1"/>
  <c r="I103" i="1"/>
  <c r="I104" i="1"/>
  <c r="I105" i="1"/>
  <c r="I106" i="1"/>
  <c r="J101" i="1"/>
  <c r="J102" i="1"/>
  <c r="J103" i="1"/>
  <c r="J104" i="1"/>
  <c r="J105" i="1"/>
  <c r="J106" i="1"/>
  <c r="K101" i="1"/>
  <c r="K102" i="1"/>
  <c r="K103" i="1"/>
  <c r="K104" i="1"/>
  <c r="K105" i="1"/>
  <c r="K106" i="1"/>
  <c r="B95" i="1"/>
  <c r="B96" i="1"/>
  <c r="B97" i="1"/>
  <c r="B98" i="1"/>
  <c r="B99" i="1"/>
  <c r="B100" i="1"/>
  <c r="I95" i="1"/>
  <c r="I96" i="1"/>
  <c r="I97" i="1"/>
  <c r="I98" i="1"/>
  <c r="I99" i="1"/>
  <c r="I100" i="1"/>
  <c r="J95" i="1"/>
  <c r="J96" i="1"/>
  <c r="J97" i="1"/>
  <c r="J98" i="1"/>
  <c r="J99" i="1"/>
  <c r="J100" i="1"/>
  <c r="K95" i="1"/>
  <c r="K96" i="1"/>
  <c r="K97" i="1"/>
  <c r="K98" i="1"/>
  <c r="K99" i="1"/>
  <c r="K100" i="1"/>
  <c r="B89" i="1"/>
  <c r="B90" i="1"/>
  <c r="B91" i="1"/>
  <c r="B92" i="1"/>
  <c r="B93" i="1"/>
  <c r="B94" i="1"/>
  <c r="I89" i="1"/>
  <c r="I90" i="1"/>
  <c r="I91" i="1"/>
  <c r="I92" i="1"/>
  <c r="I93" i="1"/>
  <c r="I94" i="1"/>
  <c r="J89" i="1"/>
  <c r="J90" i="1"/>
  <c r="J91" i="1"/>
  <c r="J92" i="1"/>
  <c r="J93" i="1"/>
  <c r="J94" i="1"/>
  <c r="K89" i="1"/>
  <c r="K90" i="1"/>
  <c r="K91" i="1"/>
  <c r="K92" i="1"/>
  <c r="K93" i="1"/>
  <c r="K94" i="1"/>
  <c r="B83" i="1"/>
  <c r="B84" i="1"/>
  <c r="B85" i="1"/>
  <c r="B86" i="1"/>
  <c r="B87" i="1"/>
  <c r="B88" i="1"/>
  <c r="I83" i="1"/>
  <c r="I84" i="1"/>
  <c r="I85" i="1"/>
  <c r="I86" i="1"/>
  <c r="I87" i="1"/>
  <c r="I88" i="1"/>
  <c r="J83" i="1"/>
  <c r="J84" i="1"/>
  <c r="J85" i="1"/>
  <c r="J86" i="1"/>
  <c r="J87" i="1"/>
  <c r="J88" i="1"/>
  <c r="K83" i="1"/>
  <c r="K84" i="1"/>
  <c r="K85" i="1"/>
  <c r="K86" i="1"/>
  <c r="K87" i="1"/>
  <c r="K88" i="1"/>
  <c r="B77" i="1"/>
  <c r="B78" i="1"/>
  <c r="B79" i="1"/>
  <c r="B80" i="1"/>
  <c r="B81" i="1"/>
  <c r="B82" i="1"/>
  <c r="I77" i="1"/>
  <c r="I78" i="1"/>
  <c r="I79" i="1"/>
  <c r="I80" i="1"/>
  <c r="I81" i="1"/>
  <c r="I82" i="1"/>
  <c r="J77" i="1"/>
  <c r="J78" i="1"/>
  <c r="J79" i="1"/>
  <c r="J80" i="1"/>
  <c r="J81" i="1"/>
  <c r="J82" i="1"/>
  <c r="K77" i="1"/>
  <c r="K78" i="1"/>
  <c r="K79" i="1"/>
  <c r="K80" i="1"/>
  <c r="K81" i="1"/>
  <c r="K82" i="1"/>
  <c r="B71" i="1"/>
  <c r="B72" i="1"/>
  <c r="B73" i="1"/>
  <c r="B74" i="1"/>
  <c r="B75" i="1"/>
  <c r="B76" i="1"/>
  <c r="I71" i="1"/>
  <c r="I72" i="1"/>
  <c r="I73" i="1"/>
  <c r="I74" i="1"/>
  <c r="I75" i="1"/>
  <c r="I76" i="1"/>
  <c r="J71" i="1"/>
  <c r="J72" i="1"/>
  <c r="J73" i="1"/>
  <c r="J74" i="1"/>
  <c r="J75" i="1"/>
  <c r="J76" i="1"/>
  <c r="K71" i="1"/>
  <c r="K72" i="1"/>
  <c r="K73" i="1"/>
  <c r="K74" i="1"/>
  <c r="K75" i="1"/>
  <c r="K76" i="1"/>
  <c r="B70" i="1"/>
  <c r="I70" i="1"/>
  <c r="J70" i="1"/>
  <c r="K70" i="1"/>
  <c r="B69" i="1"/>
  <c r="I69" i="1"/>
  <c r="J69" i="1"/>
  <c r="K69" i="1"/>
  <c r="B68" i="1"/>
  <c r="I68" i="1"/>
  <c r="J68" i="1"/>
  <c r="K68" i="1"/>
  <c r="B67" i="1"/>
  <c r="I67" i="1"/>
  <c r="J67" i="1"/>
  <c r="K67" i="1"/>
  <c r="B66" i="1"/>
  <c r="I66" i="1"/>
  <c r="J66" i="1"/>
  <c r="K66" i="1"/>
  <c r="B65" i="1"/>
  <c r="I65" i="1"/>
  <c r="J65" i="1"/>
  <c r="K65" i="1"/>
  <c r="B64" i="1"/>
  <c r="I64" i="1"/>
  <c r="J64" i="1"/>
  <c r="K64" i="1"/>
  <c r="B63" i="1"/>
  <c r="I63" i="1"/>
  <c r="J63" i="1"/>
  <c r="K63" i="1"/>
  <c r="B62" i="1"/>
  <c r="I62" i="1"/>
  <c r="J62" i="1"/>
  <c r="K62" i="1"/>
  <c r="B61" i="1"/>
  <c r="I61" i="1"/>
  <c r="J61" i="1"/>
  <c r="K61" i="1"/>
  <c r="B60" i="1"/>
  <c r="I60" i="1"/>
  <c r="J60" i="1"/>
  <c r="K60" i="1"/>
  <c r="B59" i="1"/>
  <c r="I59" i="1"/>
  <c r="J59" i="1"/>
  <c r="K59" i="1"/>
  <c r="B58" i="1"/>
  <c r="I58" i="1"/>
  <c r="J58" i="1"/>
  <c r="K58" i="1"/>
  <c r="B57" i="1"/>
  <c r="I57" i="1"/>
  <c r="J57" i="1"/>
  <c r="K57" i="1"/>
  <c r="B56" i="1"/>
  <c r="I56" i="1"/>
  <c r="J56" i="1"/>
  <c r="K56" i="1"/>
  <c r="B55" i="1"/>
  <c r="I55" i="1"/>
  <c r="J55" i="1"/>
  <c r="K55" i="1"/>
  <c r="B54" i="1"/>
  <c r="I54" i="1"/>
  <c r="J54" i="1"/>
  <c r="K54" i="1"/>
  <c r="B53" i="1"/>
  <c r="I53" i="1"/>
  <c r="J53" i="1"/>
  <c r="K53" i="1"/>
  <c r="B52" i="1"/>
  <c r="I52" i="1"/>
  <c r="K52" i="1"/>
  <c r="B51" i="1"/>
  <c r="I51" i="1"/>
  <c r="J51" i="1"/>
  <c r="K51" i="1"/>
  <c r="B50" i="1"/>
  <c r="I50" i="1"/>
  <c r="K50" i="1"/>
  <c r="B49" i="1"/>
  <c r="I49" i="1"/>
  <c r="K49" i="1"/>
  <c r="B48" i="1"/>
  <c r="I48" i="1"/>
  <c r="J48" i="1"/>
  <c r="K48" i="1"/>
  <c r="B47" i="1"/>
  <c r="I47" i="1"/>
  <c r="K47" i="1"/>
  <c r="K46" i="1"/>
  <c r="I46" i="1"/>
  <c r="B46" i="1"/>
  <c r="K45" i="1"/>
  <c r="I45" i="1"/>
  <c r="B45" i="1"/>
  <c r="K44" i="1"/>
  <c r="I44" i="1"/>
  <c r="B44" i="1"/>
  <c r="K43" i="1"/>
  <c r="I43" i="1"/>
  <c r="B43" i="1"/>
  <c r="K42" i="1"/>
  <c r="J42" i="1"/>
  <c r="I42" i="1"/>
  <c r="B42" i="1"/>
  <c r="K41" i="1"/>
  <c r="I41" i="1"/>
  <c r="B41" i="1"/>
  <c r="K40" i="1"/>
  <c r="J40" i="1"/>
  <c r="I40" i="1"/>
  <c r="B40" i="1"/>
  <c r="K39" i="1"/>
  <c r="J39" i="1"/>
  <c r="I39" i="1"/>
  <c r="B39" i="1"/>
  <c r="K38" i="1"/>
  <c r="I38" i="1"/>
  <c r="B38" i="1"/>
  <c r="K37" i="1"/>
  <c r="I37" i="1"/>
  <c r="B37" i="1"/>
  <c r="K36" i="1"/>
  <c r="J36" i="1"/>
  <c r="I36" i="1"/>
  <c r="B36" i="1"/>
  <c r="K35" i="1"/>
  <c r="I35" i="1"/>
  <c r="B35" i="1"/>
  <c r="K34" i="1"/>
  <c r="I34" i="1"/>
  <c r="B34" i="1"/>
  <c r="K33" i="1"/>
  <c r="J33" i="1"/>
  <c r="I33" i="1"/>
  <c r="B33" i="1"/>
  <c r="K32" i="1"/>
  <c r="I32" i="1"/>
  <c r="B32" i="1"/>
  <c r="K31" i="1"/>
  <c r="I31" i="1"/>
  <c r="B31" i="1"/>
  <c r="K30" i="1"/>
  <c r="I30" i="1"/>
  <c r="B30" i="1"/>
  <c r="K29" i="1"/>
  <c r="I29" i="1"/>
  <c r="B29" i="1"/>
  <c r="K28" i="1"/>
  <c r="I28" i="1"/>
  <c r="B28" i="1"/>
  <c r="K27" i="1"/>
  <c r="J27" i="1"/>
  <c r="I27" i="1"/>
  <c r="B27" i="1"/>
  <c r="K26" i="1"/>
  <c r="I26" i="1"/>
  <c r="B26" i="1"/>
  <c r="K25" i="1"/>
  <c r="I25" i="1"/>
  <c r="B25" i="1"/>
  <c r="K24" i="1"/>
  <c r="J24" i="1"/>
  <c r="I24" i="1"/>
  <c r="B24" i="1"/>
  <c r="K23" i="1"/>
  <c r="I23" i="1"/>
  <c r="B23" i="1"/>
  <c r="K22" i="1"/>
  <c r="I22" i="1"/>
  <c r="B22" i="1"/>
  <c r="K21" i="1"/>
  <c r="I21" i="1"/>
  <c r="B21" i="1"/>
  <c r="K20" i="1"/>
  <c r="I20" i="1"/>
  <c r="B20" i="1"/>
  <c r="K19" i="1"/>
  <c r="I19" i="1"/>
  <c r="B19" i="1"/>
  <c r="K18" i="1"/>
  <c r="I18" i="1"/>
  <c r="B18" i="1"/>
  <c r="K17" i="1"/>
  <c r="I17" i="1"/>
  <c r="B17" i="1"/>
  <c r="K16" i="1"/>
  <c r="I16" i="1"/>
  <c r="B16" i="1"/>
  <c r="K15" i="1"/>
  <c r="I15" i="1"/>
  <c r="B15" i="1"/>
  <c r="K14" i="1"/>
  <c r="I14" i="1"/>
  <c r="B14" i="1"/>
  <c r="K13" i="1"/>
  <c r="I13" i="1"/>
  <c r="B13" i="1"/>
  <c r="K12" i="1"/>
  <c r="I12" i="1"/>
  <c r="B12" i="1"/>
  <c r="K11" i="1"/>
  <c r="I11" i="1"/>
  <c r="B11" i="1"/>
  <c r="K10" i="1"/>
  <c r="I10" i="1"/>
  <c r="B10" i="1"/>
  <c r="K9" i="1"/>
  <c r="J9" i="1"/>
  <c r="I9" i="1"/>
  <c r="B9" i="1"/>
  <c r="K8" i="1"/>
  <c r="I8" i="1"/>
  <c r="B8" i="1"/>
  <c r="K7" i="1"/>
  <c r="J7" i="1"/>
  <c r="I7" i="1"/>
  <c r="B7" i="1"/>
  <c r="K6" i="1"/>
  <c r="I6" i="1"/>
  <c r="B6" i="1"/>
  <c r="K5" i="1"/>
  <c r="J5" i="1"/>
  <c r="I5" i="1"/>
  <c r="B5" i="1"/>
  <c r="K4" i="1"/>
  <c r="I4" i="1"/>
  <c r="B4" i="1"/>
  <c r="K3" i="1"/>
  <c r="J3" i="1"/>
  <c r="I3" i="1"/>
  <c r="B3" i="1"/>
  <c r="K2" i="1"/>
  <c r="I2" i="1"/>
  <c r="B2" i="1"/>
</calcChain>
</file>

<file path=xl/sharedStrings.xml><?xml version="1.0" encoding="utf-8"?>
<sst xmlns="http://schemas.openxmlformats.org/spreadsheetml/2006/main" count="759" uniqueCount="33">
  <si>
    <t>DATA</t>
  </si>
  <si>
    <t>MÊS</t>
  </si>
  <si>
    <t>LINHA</t>
  </si>
  <si>
    <t>TURNO</t>
  </si>
  <si>
    <t>META</t>
  </si>
  <si>
    <t>PRODUÇÃO</t>
  </si>
  <si>
    <t>PREVISTO</t>
  </si>
  <si>
    <t>EFETIVO</t>
  </si>
  <si>
    <t>DIFERENÇA</t>
  </si>
  <si>
    <t>M. PRODT</t>
  </si>
  <si>
    <t>PRODT.</t>
  </si>
  <si>
    <t>MONTAGEM - LINHA 01</t>
  </si>
  <si>
    <t>1° T</t>
  </si>
  <si>
    <t>MONTAGEM - AIR FRYER</t>
  </si>
  <si>
    <t>FAB.RDO</t>
  </si>
  <si>
    <t>LINHA ILHA</t>
  </si>
  <si>
    <t>LINHA CVC</t>
  </si>
  <si>
    <t>FOGÃO CKT</t>
  </si>
  <si>
    <t>FORNO B</t>
  </si>
  <si>
    <t>FORNO E</t>
  </si>
  <si>
    <t>FAB.BNU</t>
  </si>
  <si>
    <t xml:space="preserve">LINHA </t>
  </si>
  <si>
    <t>FOR. JAN</t>
  </si>
  <si>
    <t>FOR. FEV</t>
  </si>
  <si>
    <t>FOR. MAR</t>
  </si>
  <si>
    <t>MEDIA FOR.</t>
  </si>
  <si>
    <t>MAX FOR.</t>
  </si>
  <si>
    <t xml:space="preserve">MEDIA VENDAS 2025 </t>
  </si>
  <si>
    <t>MAX VENDAS 2025</t>
  </si>
  <si>
    <t>FAT.JAN</t>
  </si>
  <si>
    <t>FAT.FEV</t>
  </si>
  <si>
    <t>FAT.TOTAL</t>
  </si>
  <si>
    <t>EMBUTIR 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</si>
</sst>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/>
        <bgColor theme="4" tint="0.79998168889431442"/>
      </patternFill>
    </fill>
    <fill>
      <patternFill patternType="solid">
        <fgColor theme="0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7">
    <xf numFmtId="0" fontId="0" fillId="0" borderId="0" xfId="0"/>
    <xf numFmtId="1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1" fontId="2" fillId="0" borderId="0" xfId="0" applyNumberFormat="1" applyFont="1" applyAlignment="1">
      <alignment horizontal="center"/>
    </xf>
    <xf numFmtId="2" fontId="2" fillId="0" borderId="0" xfId="1" applyNumberFormat="1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14" fontId="3" fillId="0" borderId="0" xfId="0" applyNumberFormat="1" applyFont="1" applyAlignment="1">
      <alignment horizontal="center"/>
    </xf>
    <xf numFmtId="3" fontId="3" fillId="0" borderId="0" xfId="0" applyNumberFormat="1" applyFont="1" applyAlignment="1">
      <alignment horizontal="center"/>
    </xf>
    <xf numFmtId="1" fontId="3" fillId="0" borderId="0" xfId="0" applyNumberFormat="1" applyFont="1" applyAlignment="1">
      <alignment horizontal="center"/>
    </xf>
    <xf numFmtId="2" fontId="3" fillId="0" borderId="0" xfId="1" applyNumberFormat="1" applyFont="1" applyFill="1" applyBorder="1" applyAlignment="1">
      <alignment horizontal="center"/>
    </xf>
    <xf numFmtId="14" fontId="4" fillId="0" borderId="0" xfId="0" applyNumberFormat="1" applyFont="1" applyAlignment="1">
      <alignment horizontal="center"/>
    </xf>
    <xf numFmtId="0" fontId="4" fillId="0" borderId="0" xfId="0" applyFont="1" applyAlignment="1">
      <alignment horizontal="center"/>
    </xf>
    <xf numFmtId="3" fontId="4" fillId="0" borderId="0" xfId="0" applyNumberFormat="1" applyFont="1" applyAlignment="1">
      <alignment horizontal="center"/>
    </xf>
    <xf numFmtId="1" fontId="4" fillId="0" borderId="0" xfId="0" applyNumberFormat="1" applyFont="1" applyAlignment="1">
      <alignment horizontal="center"/>
    </xf>
    <xf numFmtId="2" fontId="4" fillId="0" borderId="0" xfId="1" applyNumberFormat="1" applyFont="1" applyFill="1" applyBorder="1" applyAlignment="1">
      <alignment horizontal="center"/>
    </xf>
    <xf numFmtId="14" fontId="3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3" fontId="3" fillId="0" borderId="0" xfId="0" applyNumberFormat="1" applyFont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2" fontId="3" fillId="0" borderId="0" xfId="1" applyNumberFormat="1" applyFont="1" applyFill="1" applyBorder="1" applyAlignment="1">
      <alignment horizontal="center" vertical="center"/>
    </xf>
    <xf numFmtId="14" fontId="3" fillId="0" borderId="0" xfId="0" applyNumberFormat="1" applyFont="1" applyAlignment="1">
      <alignment horizontal="left"/>
    </xf>
    <xf numFmtId="0" fontId="3" fillId="0" borderId="0" xfId="0" applyFont="1" applyAlignment="1">
      <alignment horizontal="left"/>
    </xf>
    <xf numFmtId="3" fontId="3" fillId="0" borderId="0" xfId="0" applyNumberFormat="1" applyFont="1" applyAlignment="1">
      <alignment horizontal="left"/>
    </xf>
    <xf numFmtId="1" fontId="3" fillId="0" borderId="0" xfId="0" applyNumberFormat="1" applyFont="1" applyAlignment="1">
      <alignment horizontal="left"/>
    </xf>
    <xf numFmtId="2" fontId="3" fillId="0" borderId="0" xfId="1" applyNumberFormat="1" applyFont="1" applyFill="1" applyBorder="1" applyAlignment="1">
      <alignment horizontal="left"/>
    </xf>
    <xf numFmtId="0" fontId="5" fillId="2" borderId="1" xfId="0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3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1" fontId="0" fillId="2" borderId="1" xfId="0" applyNumberFormat="1" applyFill="1" applyBorder="1" applyAlignment="1">
      <alignment horizontal="center"/>
    </xf>
    <xf numFmtId="0" fontId="3" fillId="4" borderId="0" xfId="0" applyFont="1" applyFill="1" applyAlignment="1">
      <alignment horizontal="center"/>
    </xf>
    <xf numFmtId="14" fontId="4" fillId="0" borderId="0" xfId="0" applyNumberFormat="1" applyFont="1" applyFill="1" applyAlignment="1">
      <alignment horizontal="center"/>
    </xf>
    <xf numFmtId="0" fontId="4" fillId="0" borderId="0" xfId="0" applyNumberFormat="1" applyFont="1" applyFill="1" applyAlignment="1">
      <alignment horizontal="center"/>
    </xf>
    <xf numFmtId="3" fontId="4" fillId="0" borderId="0" xfId="0" applyNumberFormat="1" applyFont="1" applyFill="1" applyAlignment="1">
      <alignment horizontal="center"/>
    </xf>
    <xf numFmtId="1" fontId="4" fillId="0" borderId="0" xfId="0" applyNumberFormat="1" applyFont="1" applyFill="1" applyAlignment="1">
      <alignment horizontal="center"/>
    </xf>
  </cellXfs>
  <cellStyles count="2">
    <cellStyle name="Normal" xfId="0" builtinId="0"/>
    <cellStyle name="Porcentagem" xfId="1" builtinId="5"/>
  </cellStyles>
  <dxfs count="1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3" formatCode="#,##0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border outline="0">
        <left style="medium">
          <color indexed="64"/>
        </left>
        <top style="thin">
          <color theme="1"/>
        </top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externalLink" Target="externalLinks/externalLink8.xml"/><Relationship Id="rId5" Type="http://schemas.openxmlformats.org/officeDocument/2006/relationships/externalLink" Target="externalLinks/externalLink2.xml"/><Relationship Id="rId15" Type="http://schemas.openxmlformats.org/officeDocument/2006/relationships/calcChain" Target="calcChain.xml"/><Relationship Id="rId10" Type="http://schemas.openxmlformats.org/officeDocument/2006/relationships/externalLink" Target="externalLinks/externalLink7.xml"/><Relationship Id="rId4" Type="http://schemas.openxmlformats.org/officeDocument/2006/relationships/externalLink" Target="externalLinks/externalLink1.xml"/><Relationship Id="rId9" Type="http://schemas.openxmlformats.org/officeDocument/2006/relationships/externalLink" Target="externalLinks/externalLink6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MENU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142875</xdr:colOff>
      <xdr:row>0</xdr:row>
      <xdr:rowOff>115359</xdr:rowOff>
    </xdr:from>
    <xdr:to>
      <xdr:col>11</xdr:col>
      <xdr:colOff>0</xdr:colOff>
      <xdr:row>0</xdr:row>
      <xdr:rowOff>409768</xdr:rowOff>
    </xdr:to>
    <xdr:sp macro="" textlink="">
      <xdr:nvSpPr>
        <xdr:cNvPr id="2" name="Arredondar Retângulo em um Canto Diagonal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D984061-6568-4B13-9250-894200353233}"/>
            </a:ext>
          </a:extLst>
        </xdr:cNvPr>
        <xdr:cNvSpPr/>
      </xdr:nvSpPr>
      <xdr:spPr>
        <a:xfrm>
          <a:off x="142875" y="115359"/>
          <a:ext cx="9968865" cy="294409"/>
        </a:xfrm>
        <a:prstGeom prst="flowChartAlternateProcess">
          <a:avLst/>
        </a:prstGeom>
        <a:solidFill>
          <a:schemeClr val="accent2"/>
        </a:solidFill>
        <a:ln w="3175">
          <a:solidFill>
            <a:sysClr val="windowText" lastClr="000000"/>
          </a:solidFill>
        </a:ln>
        <a:effectLst/>
      </xdr:spPr>
      <xdr:style>
        <a:lnRef idx="2">
          <a:schemeClr val="dk1"/>
        </a:lnRef>
        <a:fillRef idx="1">
          <a:schemeClr val="lt1"/>
        </a:fillRef>
        <a:effectRef idx="0">
          <a:schemeClr val="dk1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pt-BR" sz="2000" b="0" cap="none" spc="0">
              <a:ln w="18415" cmpd="sng">
                <a:noFill/>
                <a:prstDash val="solid"/>
              </a:ln>
              <a:solidFill>
                <a:schemeClr val="bg1"/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</a:rPr>
            <a:t>RETORNAR AO MENU</a:t>
          </a:r>
          <a:endParaRPr lang="pt-BR" sz="1100" b="0" cap="none" spc="0">
            <a:ln w="18415" cmpd="sng">
              <a:noFill/>
              <a:prstDash val="solid"/>
            </a:ln>
            <a:solidFill>
              <a:schemeClr val="bg1"/>
            </a:solidFill>
            <a:effectLst>
              <a:outerShdw blurRad="50800" dist="38100" dir="5400000" algn="t" rotWithShape="0">
                <a:prstClr val="black">
                  <a:alpha val="40000"/>
                </a:prstClr>
              </a:outerShdw>
            </a:effectLst>
          </a:endParaRPr>
        </a:p>
      </xdr:txBody>
    </xdr:sp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Zezinho/Documents/PRODU&#199;&#195;O%20ATLAS/Calend&#225;rio/SuperCalend&#225;rio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luiz.adriel/Desktop/cargos-salarios.xlsm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ENCIA%20PROG.%20PESADA%202020.xlsm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hudsonl/Downloads/Users/hudsonl/Downloads/Efici&#234;ncia%20Baterias%20-%202020.xlsm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U:\Industrial\Celula%20Baterias\Gest&#227;o%20-%202022\Dashboard\01%20-%20Dashboard%20-%20Sistema%20a%20G&#225;s%20%20-%202022.xlsm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luiz.adriel/Dashboard/080_CSD_final.xlsm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stamparia/Apontamento/EFICI&#202;NCIA%20PROG.%20PESADA%202020.xlsm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/Industrial/Manufatura/EDER/APONTAMENTO/PAINEL%20ELETR&#212;NICO/Backups/PAINEL%20ELETR&#212;NICO_%2025-Mar&#231;o/MANUAL/CONT.PROD.%20MAR&#199;O%20-%20C&#243;pia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Anual"/>
      <sheetName val="Feriados"/>
      <sheetName val="DADOS"/>
    </sheetNames>
    <sheetDataSet>
      <sheetData sheetId="0"/>
      <sheetData sheetId="1">
        <row r="4">
          <cell r="B4">
            <v>43101</v>
          </cell>
        </row>
        <row r="5">
          <cell r="B5">
            <v>43189</v>
          </cell>
        </row>
        <row r="6">
          <cell r="B6">
            <v>43191</v>
          </cell>
        </row>
        <row r="7">
          <cell r="B7">
            <v>43211</v>
          </cell>
        </row>
        <row r="8">
          <cell r="B8">
            <v>43221</v>
          </cell>
        </row>
        <row r="9">
          <cell r="B9">
            <v>43251</v>
          </cell>
        </row>
        <row r="10">
          <cell r="B10">
            <v>43350</v>
          </cell>
        </row>
        <row r="11">
          <cell r="B11">
            <v>43385</v>
          </cell>
        </row>
        <row r="12">
          <cell r="B12">
            <v>43406</v>
          </cell>
        </row>
        <row r="13">
          <cell r="B13">
            <v>43419</v>
          </cell>
        </row>
        <row r="14">
          <cell r="B14">
            <v>43459</v>
          </cell>
        </row>
        <row r="17">
          <cell r="B17">
            <v>43144</v>
          </cell>
        </row>
        <row r="18">
          <cell r="B18">
            <v>43184</v>
          </cell>
        </row>
        <row r="19">
          <cell r="B19">
            <v>43190</v>
          </cell>
        </row>
        <row r="20">
          <cell r="B20">
            <v>43233</v>
          </cell>
        </row>
        <row r="21">
          <cell r="B21">
            <v>43263</v>
          </cell>
        </row>
        <row r="22">
          <cell r="B22">
            <v>43385</v>
          </cell>
        </row>
        <row r="23">
          <cell r="B23">
            <v>43324</v>
          </cell>
        </row>
        <row r="24">
          <cell r="B24">
            <v>43373</v>
          </cell>
        </row>
        <row r="27">
          <cell r="B27">
            <v>43115</v>
          </cell>
        </row>
        <row r="28">
          <cell r="B28">
            <v>43150</v>
          </cell>
        </row>
        <row r="29">
          <cell r="B29">
            <v>43248</v>
          </cell>
        </row>
        <row r="30">
          <cell r="B30">
            <v>43285</v>
          </cell>
        </row>
        <row r="31">
          <cell r="B31">
            <v>43346</v>
          </cell>
        </row>
        <row r="32">
          <cell r="B32">
            <v>43381</v>
          </cell>
        </row>
        <row r="33">
          <cell r="B33">
            <v>43415</v>
          </cell>
        </row>
        <row r="34">
          <cell r="B34">
            <v>43426</v>
          </cell>
        </row>
      </sheetData>
      <sheetData sheetId="2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i"/>
      <sheetName val="DI"/>
      <sheetName val="CC"/>
      <sheetName val="RC"/>
      <sheetName val="GRAF"/>
      <sheetName val="RI"/>
      <sheetName val="Plan1"/>
      <sheetName val="DI_FUNC"/>
      <sheetName val="CC_OUTRAS"/>
      <sheetName val="Plan6"/>
      <sheetName val="RC_IND"/>
      <sheetName val="GRAF_IND"/>
      <sheetName val="AUXILIAR"/>
      <sheetName val="Dados in"/>
      <sheetName val="Dados out"/>
      <sheetName val="D1"/>
      <sheetName val="D2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>
        <row r="26">
          <cell r="C26" t="str">
            <v>Encarregado</v>
          </cell>
        </row>
      </sheetData>
      <sheetData sheetId="15" refreshError="1"/>
      <sheetData sheetId="16" refreshError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Dados custo"/>
      <sheetName val="2"/>
      <sheetName val="3"/>
      <sheetName val="4"/>
      <sheetName val="8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dados"/>
      <sheetName val="19"/>
      <sheetName val="19 (2)"/>
      <sheetName val="Plan2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  <sheetName val="EFICIENCIA PROG. PESADA 2020"/>
      <sheetName val="Plan1"/>
      <sheetName val="Plan4"/>
      <sheetName val="Plan5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21">
          <cell r="G21" t="str">
            <v>Agulha</v>
          </cell>
        </row>
      </sheetData>
      <sheetData sheetId="10"/>
      <sheetData sheetId="11"/>
      <sheetData sheetId="12"/>
      <sheetData sheetId="13"/>
      <sheetData sheetId="14">
        <row r="5">
          <cell r="I5" t="str">
            <v>EM</v>
          </cell>
        </row>
      </sheetData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>
        <row r="7">
          <cell r="J7" t="str">
            <v>Op.Especializado</v>
          </cell>
        </row>
      </sheetData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>
        <row r="7">
          <cell r="L7" t="str">
            <v>CONS</v>
          </cell>
        </row>
      </sheetData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>
        <row r="7">
          <cell r="H7" t="str">
            <v>CONS</v>
          </cell>
        </row>
      </sheetData>
      <sheetData sheetId="43"/>
      <sheetData sheetId="44"/>
      <sheetData sheetId="45" refreshError="1"/>
      <sheetData sheetId="46" refreshError="1"/>
      <sheetData sheetId="47" refreshError="1"/>
      <sheetData sheetId="48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LANÇAMENTOS"/>
      <sheetName val="Base Dados"/>
      <sheetName val="Dados custo"/>
      <sheetName val="Plan1"/>
      <sheetName val="Eficiência"/>
      <sheetName val="Menu"/>
      <sheetName val="2"/>
      <sheetName val="3"/>
      <sheetName val="4"/>
      <sheetName val="8"/>
      <sheetName val="9"/>
      <sheetName val="12"/>
      <sheetName val="17"/>
      <sheetName val="16"/>
      <sheetName val="17 (2)"/>
      <sheetName val="17(4)"/>
      <sheetName val="Ret"/>
      <sheetName val="17(3)"/>
      <sheetName val="18"/>
      <sheetName val="14"/>
      <sheetName val="18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21">
          <cell r="H21" t="str">
            <v>n</v>
          </cell>
          <cell r="I21" t="str">
            <v>mês</v>
          </cell>
          <cell r="J21" t="str">
            <v>hist. 1°</v>
          </cell>
          <cell r="K21" t="str">
            <v>hist. 2°</v>
          </cell>
          <cell r="L21" t="str">
            <v>hist. 3°</v>
          </cell>
          <cell r="M21" t="str">
            <v>hist.</v>
          </cell>
          <cell r="N21" t="str">
            <v>]</v>
          </cell>
          <cell r="O21" t="str">
            <v>mês</v>
          </cell>
          <cell r="P21" t="str">
            <v>hist. 1°</v>
          </cell>
          <cell r="Q21" t="str">
            <v>hist. 2°</v>
          </cell>
          <cell r="R21" t="str">
            <v>hist. 3°</v>
          </cell>
          <cell r="S21" t="str">
            <v>hist.</v>
          </cell>
        </row>
        <row r="22">
          <cell r="H22">
            <v>1</v>
          </cell>
          <cell r="I22" t="str">
            <v>JANEIRO</v>
          </cell>
          <cell r="J22">
            <v>0.91</v>
          </cell>
          <cell r="K22">
            <v>0.97</v>
          </cell>
          <cell r="L22">
            <v>0.8</v>
          </cell>
          <cell r="M22">
            <v>0.8933333333333332</v>
          </cell>
          <cell r="N22">
            <v>1</v>
          </cell>
          <cell r="O22" t="str">
            <v>JANEIRO</v>
          </cell>
          <cell r="P22">
            <v>1.1499999999999999</v>
          </cell>
          <cell r="Q22">
            <v>1.17</v>
          </cell>
          <cell r="R22">
            <v>0.97</v>
          </cell>
          <cell r="S22">
            <v>1.0966666666666667</v>
          </cell>
        </row>
        <row r="23">
          <cell r="H23">
            <v>2</v>
          </cell>
          <cell r="I23" t="str">
            <v>FEVEREIRO</v>
          </cell>
          <cell r="J23">
            <v>1.0900000000000001</v>
          </cell>
          <cell r="K23">
            <v>0.96</v>
          </cell>
          <cell r="L23">
            <v>0.38</v>
          </cell>
          <cell r="M23">
            <v>0.80999999999999994</v>
          </cell>
          <cell r="N23">
            <v>2</v>
          </cell>
          <cell r="O23" t="str">
            <v>FEVEREIRO</v>
          </cell>
          <cell r="P23">
            <v>1.03</v>
          </cell>
          <cell r="Q23">
            <v>1.1399999999999999</v>
          </cell>
          <cell r="R23">
            <v>0.9</v>
          </cell>
          <cell r="S23">
            <v>1.0233333333333332</v>
          </cell>
        </row>
        <row r="24">
          <cell r="H24">
            <v>3</v>
          </cell>
          <cell r="I24" t="str">
            <v>MARÇO</v>
          </cell>
          <cell r="J24">
            <v>0.93</v>
          </cell>
          <cell r="K24">
            <v>0.94</v>
          </cell>
          <cell r="L24">
            <v>0.61</v>
          </cell>
          <cell r="M24">
            <v>0.82666666666666666</v>
          </cell>
          <cell r="N24">
            <v>3</v>
          </cell>
          <cell r="O24" t="str">
            <v>MARÇO</v>
          </cell>
          <cell r="P24">
            <v>1.1200000000000001</v>
          </cell>
          <cell r="Q24">
            <v>1.1399999999999999</v>
          </cell>
          <cell r="R24">
            <v>0.99</v>
          </cell>
          <cell r="S24">
            <v>1.0833333333333333</v>
          </cell>
        </row>
        <row r="25">
          <cell r="H25">
            <v>4</v>
          </cell>
          <cell r="I25" t="str">
            <v>ABRIL</v>
          </cell>
          <cell r="J25">
            <v>0.88</v>
          </cell>
          <cell r="K25">
            <v>0.81</v>
          </cell>
          <cell r="M25">
            <v>0.84499999999999997</v>
          </cell>
          <cell r="N25">
            <v>4</v>
          </cell>
          <cell r="O25" t="str">
            <v>ABRIL</v>
          </cell>
          <cell r="P25">
            <v>1.01</v>
          </cell>
          <cell r="Q25">
            <v>1.23</v>
          </cell>
          <cell r="S25">
            <v>1.1200000000000001</v>
          </cell>
        </row>
        <row r="26">
          <cell r="H26">
            <v>5</v>
          </cell>
          <cell r="I26" t="str">
            <v>MAIO</v>
          </cell>
          <cell r="J26">
            <v>0.87</v>
          </cell>
          <cell r="K26">
            <v>1.04</v>
          </cell>
          <cell r="M26">
            <v>0.94</v>
          </cell>
          <cell r="N26">
            <v>5</v>
          </cell>
          <cell r="O26" t="str">
            <v>MAIO</v>
          </cell>
          <cell r="P26">
            <v>0.96</v>
          </cell>
          <cell r="Q26">
            <v>0.96</v>
          </cell>
          <cell r="S26">
            <v>0.96</v>
          </cell>
        </row>
        <row r="27">
          <cell r="H27">
            <v>6</v>
          </cell>
          <cell r="I27" t="str">
            <v>JUNHO</v>
          </cell>
          <cell r="M27">
            <v>0</v>
          </cell>
          <cell r="N27">
            <v>6</v>
          </cell>
          <cell r="O27" t="str">
            <v>JUNHO</v>
          </cell>
          <cell r="S27">
            <v>0</v>
          </cell>
        </row>
        <row r="28">
          <cell r="H28">
            <v>7</v>
          </cell>
          <cell r="I28" t="str">
            <v>JULHO</v>
          </cell>
          <cell r="J28">
            <v>0.77</v>
          </cell>
          <cell r="K28">
            <v>0.84</v>
          </cell>
          <cell r="M28">
            <v>0.80499999999999994</v>
          </cell>
          <cell r="N28">
            <v>7</v>
          </cell>
          <cell r="O28" t="str">
            <v>JULHO</v>
          </cell>
          <cell r="P28">
            <v>0.77</v>
          </cell>
          <cell r="Q28">
            <v>0.84</v>
          </cell>
          <cell r="S28">
            <v>0.80499999999999994</v>
          </cell>
        </row>
        <row r="29">
          <cell r="H29">
            <v>8</v>
          </cell>
          <cell r="I29" t="str">
            <v>AGOSTO</v>
          </cell>
          <cell r="J29">
            <v>0.76</v>
          </cell>
          <cell r="K29">
            <v>0.76</v>
          </cell>
          <cell r="M29">
            <v>0.76</v>
          </cell>
          <cell r="N29">
            <v>8</v>
          </cell>
          <cell r="O29" t="str">
            <v>AGOSTO</v>
          </cell>
          <cell r="S29">
            <v>0</v>
          </cell>
        </row>
        <row r="30">
          <cell r="H30">
            <v>9</v>
          </cell>
          <cell r="I30" t="str">
            <v>SETEMBRO</v>
          </cell>
          <cell r="J30">
            <v>0.7</v>
          </cell>
          <cell r="K30">
            <v>0.69</v>
          </cell>
          <cell r="M30">
            <v>0.69499999999999995</v>
          </cell>
          <cell r="N30">
            <v>9</v>
          </cell>
          <cell r="O30" t="str">
            <v>SETEMBRO</v>
          </cell>
          <cell r="P30">
            <v>0.94</v>
          </cell>
          <cell r="Q30">
            <v>1.34</v>
          </cell>
          <cell r="R30">
            <v>0.89</v>
          </cell>
          <cell r="S30">
            <v>1.0566666666666669</v>
          </cell>
        </row>
        <row r="31">
          <cell r="H31">
            <v>10</v>
          </cell>
          <cell r="I31" t="str">
            <v>OUTUBRO</v>
          </cell>
          <cell r="J31">
            <v>0.78</v>
          </cell>
          <cell r="K31">
            <v>0.79</v>
          </cell>
          <cell r="M31">
            <v>0.78500000000000003</v>
          </cell>
          <cell r="N31">
            <v>10</v>
          </cell>
          <cell r="O31" t="str">
            <v>OUTUBRO</v>
          </cell>
          <cell r="P31">
            <v>0.9</v>
          </cell>
          <cell r="Q31">
            <v>1.19</v>
          </cell>
          <cell r="R31">
            <v>0.94</v>
          </cell>
          <cell r="S31">
            <v>1.01</v>
          </cell>
        </row>
        <row r="32">
          <cell r="H32">
            <v>11</v>
          </cell>
          <cell r="I32" t="str">
            <v>NOVEMBRO</v>
          </cell>
          <cell r="J32">
            <v>0.81</v>
          </cell>
          <cell r="K32">
            <v>0.85</v>
          </cell>
          <cell r="M32">
            <v>0.83000000000000007</v>
          </cell>
          <cell r="N32">
            <v>11</v>
          </cell>
          <cell r="O32" t="str">
            <v>NOVEMBRO</v>
          </cell>
          <cell r="P32">
            <v>0.92</v>
          </cell>
          <cell r="Q32">
            <v>1.21</v>
          </cell>
          <cell r="S32">
            <v>1.0649999999999999</v>
          </cell>
        </row>
        <row r="33">
          <cell r="H33">
            <v>12</v>
          </cell>
          <cell r="I33" t="str">
            <v>DEZEMBRO</v>
          </cell>
          <cell r="J33">
            <v>0.87</v>
          </cell>
          <cell r="K33">
            <v>0.97</v>
          </cell>
          <cell r="M33">
            <v>0.91999999999999993</v>
          </cell>
          <cell r="N33">
            <v>12</v>
          </cell>
          <cell r="O33" t="str">
            <v>DEZEMBRO</v>
          </cell>
          <cell r="P33">
            <v>1.1399999999999999</v>
          </cell>
          <cell r="Q33">
            <v>1.27</v>
          </cell>
          <cell r="S33">
            <v>1.2050000000000001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olha2"/>
      <sheetName val="CALGER"/>
      <sheetName val="Menu"/>
      <sheetName val="Lançamentos"/>
      <sheetName val="Dados"/>
      <sheetName val="Feedback"/>
      <sheetName val="ICONS"/>
      <sheetName val="IACID"/>
      <sheetName val="IABS"/>
      <sheetName val="ISUC"/>
      <sheetName val="IQRDL"/>
      <sheetName val="KPIOLE"/>
      <sheetName val="KPI"/>
      <sheetName val="P"/>
      <sheetName val="Q"/>
      <sheetName val="D"/>
      <sheetName val="ESTRT"/>
      <sheetName val="ORGN"/>
      <sheetName val="PLNAÇ"/>
      <sheetName val="OBJM"/>
      <sheetName val="PDQ"/>
      <sheetName val="SBIND"/>
      <sheetName val="PLCONS"/>
      <sheetName val="PLACID"/>
      <sheetName val="PLTURN"/>
      <sheetName val="PLOEE"/>
      <sheetName val="PLABS"/>
      <sheetName val="PLSUC"/>
      <sheetName val="QL"/>
      <sheetName val="CONS"/>
      <sheetName val="ACID"/>
      <sheetName val="SUC"/>
      <sheetName val="Folha1"/>
    </sheetNames>
    <sheetDataSet>
      <sheetData sheetId="0"/>
      <sheetData sheetId="1"/>
      <sheetData sheetId="2"/>
      <sheetData sheetId="3"/>
      <sheetData sheetId="4">
        <row r="2">
          <cell r="G2" t="str">
            <v>ESTEIRA 01</v>
          </cell>
        </row>
        <row r="3">
          <cell r="G3" t="str">
            <v>ESTEIRA 02</v>
          </cell>
        </row>
        <row r="4">
          <cell r="G4" t="str">
            <v>ESTEIRA 03</v>
          </cell>
        </row>
        <row r="5">
          <cell r="G5" t="str">
            <v>ESTEIRA 04</v>
          </cell>
        </row>
        <row r="6">
          <cell r="G6" t="str">
            <v>ESTEIRA 05</v>
          </cell>
        </row>
        <row r="7">
          <cell r="G7" t="str">
            <v>PONT 001</v>
          </cell>
        </row>
        <row r="8">
          <cell r="G8" t="str">
            <v>PONT 002</v>
          </cell>
        </row>
        <row r="9">
          <cell r="G9" t="str">
            <v>PONT 003</v>
          </cell>
        </row>
        <row r="10">
          <cell r="G10" t="str">
            <v>PONT 004</v>
          </cell>
        </row>
        <row r="11">
          <cell r="G11" t="str">
            <v>PONT 005</v>
          </cell>
        </row>
        <row r="12">
          <cell r="G12" t="str">
            <v>PONT 006</v>
          </cell>
        </row>
        <row r="13">
          <cell r="G13" t="str">
            <v>PONT 007</v>
          </cell>
        </row>
        <row r="14">
          <cell r="G14" t="str">
            <v>FLEX LEAN</v>
          </cell>
        </row>
        <row r="15">
          <cell r="G15" t="str">
            <v>CONF 001</v>
          </cell>
        </row>
        <row r="16">
          <cell r="G16" t="str">
            <v>ROBO</v>
          </cell>
        </row>
        <row r="17">
          <cell r="G17" t="str">
            <v>PRE 40</v>
          </cell>
        </row>
        <row r="18">
          <cell r="G18" t="str">
            <v>PRE 42</v>
          </cell>
        </row>
        <row r="19">
          <cell r="G19" t="str">
            <v>DOB.MAN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shboard"/>
      <sheetName val="data"/>
      <sheetName val="calc"/>
    </sheetNames>
    <sheetDataSet>
      <sheetData sheetId="0"/>
      <sheetData sheetId="1"/>
      <sheetData sheetId="2">
        <row r="2">
          <cell r="J2" t="str">
            <v>Calls</v>
          </cell>
        </row>
        <row r="3">
          <cell r="J3" t="str">
            <v>Call Duration (m)</v>
          </cell>
        </row>
        <row r="4">
          <cell r="J4" t="str">
            <v>Resolved Calls (%)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Dados Progressiva"/>
      <sheetName val="PROGRESSIVA"/>
      <sheetName val="Menu"/>
      <sheetName val="3+"/>
      <sheetName val="Dados custo"/>
      <sheetName val="OP"/>
      <sheetName val="2"/>
      <sheetName val="3"/>
      <sheetName val="8"/>
      <sheetName val="4"/>
      <sheetName val="9"/>
      <sheetName val="12"/>
      <sheetName val="16"/>
      <sheetName val="16 (2)"/>
      <sheetName val="17"/>
      <sheetName val="17 (2)"/>
      <sheetName val="17(3)"/>
      <sheetName val="17(4)"/>
      <sheetName val="Ret"/>
      <sheetName val="18"/>
      <sheetName val="18 (2)"/>
      <sheetName val="18 (3)"/>
      <sheetName val="14"/>
      <sheetName val="14 (2)"/>
      <sheetName val="14 (3)"/>
      <sheetName val="14 (4)"/>
      <sheetName val="14 (5)"/>
      <sheetName val="Plan3"/>
      <sheetName val="14 (6)"/>
      <sheetName val="14 (7)"/>
      <sheetName val="15 (2)"/>
      <sheetName val="14 (8)"/>
      <sheetName val="dados"/>
      <sheetName val="19 (2)"/>
      <sheetName val="19"/>
      <sheetName val="PA-TODOS"/>
      <sheetName val="PA-P"/>
      <sheetName val="PA-PC"/>
      <sheetName val="PA-AC"/>
      <sheetName val="PA-FRR"/>
      <sheetName val="PA-MAN"/>
      <sheetName val="PA-CONS"/>
      <sheetName val="PA-AB"/>
      <sheetName val="PA-SEG"/>
      <sheetName val="PA-CONS$SEG"/>
      <sheetName val="PA-SUC"/>
      <sheetName val="PA-ISH"/>
    </sheetNames>
    <sheetDataSet>
      <sheetData sheetId="0" refreshError="1"/>
      <sheetData sheetId="1">
        <row r="1">
          <cell r="G1">
            <v>7</v>
          </cell>
        </row>
      </sheetData>
      <sheetData sheetId="2" refreshError="1"/>
      <sheetData sheetId="3">
        <row r="6">
          <cell r="F6" t="str">
            <v>M_</v>
          </cell>
        </row>
        <row r="8">
          <cell r="F8" t="str">
            <v>D_</v>
          </cell>
        </row>
        <row r="10">
          <cell r="F10" t="str">
            <v>X</v>
          </cell>
        </row>
      </sheetData>
      <sheetData sheetId="4" refreshError="1"/>
      <sheetData sheetId="5" refreshError="1"/>
      <sheetData sheetId="6">
        <row r="11">
          <cell r="H11" t="str">
            <v>ESTAMPARIA PROGRESSIVA PESADA DISPONIBILIDADE MÁQUINA -  OUTUBRO 2020</v>
          </cell>
        </row>
      </sheetData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>
        <row r="5">
          <cell r="I5" t="str">
            <v>EM</v>
          </cell>
        </row>
      </sheetData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>
        <row r="7">
          <cell r="J7" t="str">
            <v>Administrativo</v>
          </cell>
        </row>
      </sheetData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>
        <row r="7">
          <cell r="L7" t="str">
            <v>SUC</v>
          </cell>
        </row>
      </sheetData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>
        <row r="7">
          <cell r="H7" t="str">
            <v>SEG</v>
          </cell>
        </row>
      </sheetData>
      <sheetData sheetId="45" refreshError="1"/>
      <sheetData sheetId="46" refreshError="1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ficiência"/>
      <sheetName val="Produção"/>
      <sheetName val="Sucata"/>
      <sheetName val="Dinâmicas"/>
      <sheetName val="Paradas"/>
      <sheetName val="Tempo Operacional"/>
      <sheetName val="Planejamento"/>
      <sheetName val="Dados Progressiva"/>
      <sheetName val="Dados Manual"/>
      <sheetName val="Dados Inox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>
        <row r="2">
          <cell r="M2" t="str">
            <v>MANUAL</v>
          </cell>
        </row>
        <row r="3">
          <cell r="M3" t="str">
            <v>INOX</v>
          </cell>
        </row>
        <row r="4">
          <cell r="M4" t="str">
            <v>PROGRESSIVA</v>
          </cell>
        </row>
      </sheetData>
      <sheetData sheetId="8"/>
      <sheetData sheetId="9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3AF037B-0FF0-476E-90B8-47EE3B2C6636}" name="T_PROD" displayName="T_PROD" ref="A1:K352" totalsRowShown="0" headerRowDxfId="13" dataDxfId="12" tableBorderDxfId="11">
  <autoFilter ref="A1:K352" xr:uid="{00000000-0009-0000-0100-000001000000}"/>
  <tableColumns count="11">
    <tableColumn id="1" xr3:uid="{C0D563D9-D6A0-4A47-9C01-DAA664E47EDF}" name="DATA" dataDxfId="10"/>
    <tableColumn id="2" xr3:uid="{2C01904C-439A-41B7-BC4C-24448F0C3FD1}" name="MÊS" dataDxfId="9">
      <calculatedColumnFormula>UPPER(TEXT(A2,"MMMM"))</calculatedColumnFormula>
    </tableColumn>
    <tableColumn id="3" xr3:uid="{295ECDF3-1FCD-4BD3-9795-36A1BC604C48}" name="LINHA" dataDxfId="8"/>
    <tableColumn id="4" xr3:uid="{2FAA365F-28D5-46A8-B903-AC12C3A67BD9}" name="TURNO" dataDxfId="7"/>
    <tableColumn id="5" xr3:uid="{9D6DD458-5DA7-4AB2-8B0C-0C04A425659E}" name="META" dataDxfId="6"/>
    <tableColumn id="6" xr3:uid="{72571C20-D00F-4EC6-8899-AE0CAB143CFF}" name="PRODUÇÃO" dataDxfId="5"/>
    <tableColumn id="10" xr3:uid="{D7765150-36C1-453A-9E5F-D60D19C7316F}" name="PREVISTO" dataDxfId="4"/>
    <tableColumn id="11" xr3:uid="{3C77E1E9-63B3-4F84-AAB0-7221E128A4B0}" name="EFETIVO" dataDxfId="3"/>
    <tableColumn id="19" xr3:uid="{795BB9E9-DB4D-4A5C-824F-C861D9C3DA7A}" name="DIFERENÇA" dataDxfId="2">
      <calculatedColumnFormula>IFERROR(IF(T_PROD[[#This Row],[PREVISTO]]-T_PROD[[#This Row],[EFETIVO]]&lt; 0,0,T_PROD[[#This Row],[PREVISTO]]-T_PROD[[#This Row],[EFETIVO]] ),"")</calculatedColumnFormula>
    </tableColumn>
    <tableColumn id="14" xr3:uid="{16D42117-F7DB-43E0-90D4-557A651F6924}" name="M. PRODT" dataDxfId="1">
      <calculatedColumnFormula>IFERROR(IF(T_PROD[[#This Row],[META]]&gt;0,(T_PROD[[#This Row],[META]]/T_PROD[[#This Row],[PREVISTO]]),""),"")</calculatedColumnFormula>
    </tableColumn>
    <tableColumn id="15" xr3:uid="{5EF2C388-DE25-4D89-8103-B1160479D6F6}" name="PRODT." dataDxfId="0">
      <calculatedColumnFormula>IFERROR(IF(T_PROD[[#This Row],[PRODUÇÃO]]&gt;0,(T_PROD[[#This Row],[PRODUÇÃO]]/T_PROD[[#This Row],[EFETIVO]]),""),"")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41C85-DF17-4F72-A39E-99FC40D1451E}">
  <sheetPr codeName="Folha9">
    <tabColor rgb="FF0C509F"/>
    <pageSetUpPr autoPageBreaks="0"/>
  </sheetPr>
  <dimension ref="A1:K1006"/>
  <sheetViews>
    <sheetView showGridLines="0" tabSelected="1" zoomScale="70" zoomScaleNormal="70" zoomScaleSheetLayoutView="70" workbookViewId="0">
      <pane ySplit="1" topLeftCell="A319" activePane="bottomLeft" state="frozen"/>
      <selection pane="bottomLeft" activeCell="J352" sqref="J352"/>
    </sheetView>
  </sheetViews>
  <sheetFormatPr defaultColWidth="9.109375" defaultRowHeight="14.4" x14ac:dyDescent="0.3"/>
  <cols>
    <col min="1" max="1" width="14.5546875" style="21" bestFit="1" customWidth="1"/>
    <col min="2" max="2" width="10.33203125" style="22" bestFit="1" customWidth="1"/>
    <col min="3" max="3" width="25.33203125" style="22" bestFit="1" customWidth="1"/>
    <col min="4" max="4" width="10.6640625" style="22" bestFit="1" customWidth="1"/>
    <col min="5" max="5" width="9.33203125" style="23" bestFit="1" customWidth="1"/>
    <col min="6" max="6" width="14.44140625" style="23" bestFit="1" customWidth="1"/>
    <col min="7" max="7" width="12.88671875" style="22" bestFit="1" customWidth="1"/>
    <col min="8" max="8" width="11.5546875" style="24" bestFit="1" customWidth="1"/>
    <col min="9" max="9" width="14.33203125" style="22" bestFit="1" customWidth="1"/>
    <col min="10" max="10" width="13.109375" style="25" bestFit="1" customWidth="1"/>
    <col min="11" max="11" width="10.88671875" style="25" bestFit="1" customWidth="1"/>
    <col min="12" max="16384" width="9.109375" style="22"/>
  </cols>
  <sheetData>
    <row r="1" spans="1:11" s="6" customFormat="1" ht="58.5" customHeight="1" x14ac:dyDescent="0.3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  <c r="H1" s="4" t="s">
        <v>7</v>
      </c>
      <c r="I1" s="2" t="s">
        <v>8</v>
      </c>
      <c r="J1" s="5" t="s">
        <v>9</v>
      </c>
      <c r="K1" s="5" t="s">
        <v>10</v>
      </c>
    </row>
    <row r="2" spans="1:11" s="6" customFormat="1" x14ac:dyDescent="0.3">
      <c r="A2" s="7">
        <v>46027</v>
      </c>
      <c r="B2" s="6" t="str">
        <f t="shared" ref="B2:B43" si="0">UPPER(TEXT(A2,"MMMM"))</f>
        <v>JANEIRO</v>
      </c>
      <c r="C2" s="6" t="s">
        <v>11</v>
      </c>
      <c r="D2" s="6" t="s">
        <v>12</v>
      </c>
      <c r="E2" s="8">
        <v>550</v>
      </c>
      <c r="F2" s="8">
        <v>510</v>
      </c>
      <c r="G2" s="6">
        <v>32</v>
      </c>
      <c r="H2" s="9">
        <v>26</v>
      </c>
      <c r="I2" s="6">
        <f>IFERROR(IF(T_PROD[[#This Row],[PREVISTO]]-T_PROD[[#This Row],[EFETIVO]]&lt; 0,0,T_PROD[[#This Row],[PREVISTO]]-T_PROD[[#This Row],[EFETIVO]] ),"")</f>
        <v>6</v>
      </c>
      <c r="J2" s="10">
        <v>18</v>
      </c>
      <c r="K2" s="10">
        <f>IFERROR(IF(T_PROD[[#This Row],[PRODUÇÃO]]&gt;0,(T_PROD[[#This Row],[PRODUÇÃO]]/T_PROD[[#This Row],[EFETIVO]]),""),"")</f>
        <v>19.615384615384617</v>
      </c>
    </row>
    <row r="3" spans="1:11" s="6" customFormat="1" x14ac:dyDescent="0.3">
      <c r="A3" s="7">
        <v>46027</v>
      </c>
      <c r="B3" s="6" t="str">
        <f t="shared" si="0"/>
        <v>JANEIRO</v>
      </c>
      <c r="C3" s="6" t="s">
        <v>13</v>
      </c>
      <c r="D3" s="6" t="s">
        <v>12</v>
      </c>
      <c r="E3" s="8">
        <v>150</v>
      </c>
      <c r="F3" s="8">
        <v>54</v>
      </c>
      <c r="G3" s="6">
        <v>10</v>
      </c>
      <c r="H3" s="9">
        <v>9</v>
      </c>
      <c r="I3" s="6">
        <f>IFERROR(IF(T_PROD[[#This Row],[PREVISTO]]-T_PROD[[#This Row],[EFETIVO]]&lt; 0,0,T_PROD[[#This Row],[PREVISTO]]-T_PROD[[#This Row],[EFETIVO]] ),"")</f>
        <v>1</v>
      </c>
      <c r="J3" s="10">
        <f>IFERROR(IF(T_PROD[[#This Row],[META]]&gt;0,(T_PROD[[#This Row],[META]]/T_PROD[[#This Row],[PREVISTO]]),""),"")</f>
        <v>15</v>
      </c>
      <c r="K3" s="10">
        <f>IFERROR(IF(T_PROD[[#This Row],[PRODUÇÃO]]&gt;0,(T_PROD[[#This Row],[PRODUÇÃO]]/T_PROD[[#This Row],[EFETIVO]]),""),"")</f>
        <v>6</v>
      </c>
    </row>
    <row r="4" spans="1:11" s="6" customFormat="1" x14ac:dyDescent="0.3">
      <c r="A4" s="7">
        <v>46028</v>
      </c>
      <c r="B4" s="6" t="str">
        <f t="shared" si="0"/>
        <v>JANEIRO</v>
      </c>
      <c r="C4" s="6" t="s">
        <v>11</v>
      </c>
      <c r="D4" s="6" t="s">
        <v>12</v>
      </c>
      <c r="E4" s="8">
        <v>550</v>
      </c>
      <c r="F4" s="8">
        <v>540</v>
      </c>
      <c r="G4" s="6">
        <v>33</v>
      </c>
      <c r="H4" s="9">
        <v>29</v>
      </c>
      <c r="I4" s="6">
        <f>IFERROR(IF(T_PROD[[#This Row],[PREVISTO]]-T_PROD[[#This Row],[EFETIVO]]&lt; 0,0,T_PROD[[#This Row],[PREVISTO]]-T_PROD[[#This Row],[EFETIVO]] ),"")</f>
        <v>4</v>
      </c>
      <c r="J4" s="10">
        <v>18</v>
      </c>
      <c r="K4" s="10">
        <f>IFERROR(IF(T_PROD[[#This Row],[PRODUÇÃO]]&gt;0,(T_PROD[[#This Row],[PRODUÇÃO]]/T_PROD[[#This Row],[EFETIVO]]),""),"")</f>
        <v>18.620689655172413</v>
      </c>
    </row>
    <row r="5" spans="1:11" s="6" customFormat="1" x14ac:dyDescent="0.3">
      <c r="A5" s="7">
        <v>46028</v>
      </c>
      <c r="B5" s="6" t="str">
        <f t="shared" si="0"/>
        <v>JANEIRO</v>
      </c>
      <c r="C5" s="6" t="s">
        <v>13</v>
      </c>
      <c r="D5" s="6" t="s">
        <v>12</v>
      </c>
      <c r="E5" s="8">
        <v>150</v>
      </c>
      <c r="F5" s="8">
        <v>95</v>
      </c>
      <c r="G5" s="6">
        <v>10</v>
      </c>
      <c r="H5" s="9">
        <v>9</v>
      </c>
      <c r="I5" s="6">
        <f>IFERROR(IF(T_PROD[[#This Row],[PREVISTO]]-T_PROD[[#This Row],[EFETIVO]]&lt; 0,0,T_PROD[[#This Row],[PREVISTO]]-T_PROD[[#This Row],[EFETIVO]] ),"")</f>
        <v>1</v>
      </c>
      <c r="J5" s="10">
        <f>IFERROR(IF(T_PROD[[#This Row],[META]]&gt;0,(T_PROD[[#This Row],[META]]/T_PROD[[#This Row],[PREVISTO]]),""),"")</f>
        <v>15</v>
      </c>
      <c r="K5" s="10">
        <f>IFERROR(IF(T_PROD[[#This Row],[PRODUÇÃO]]&gt;0,(T_PROD[[#This Row],[PRODUÇÃO]]/T_PROD[[#This Row],[EFETIVO]]),""),"")</f>
        <v>10.555555555555555</v>
      </c>
    </row>
    <row r="6" spans="1:11" s="6" customFormat="1" x14ac:dyDescent="0.3">
      <c r="A6" s="7">
        <v>46029</v>
      </c>
      <c r="B6" s="6" t="str">
        <f t="shared" si="0"/>
        <v>JANEIRO</v>
      </c>
      <c r="C6" s="6" t="s">
        <v>11</v>
      </c>
      <c r="D6" s="6" t="s">
        <v>12</v>
      </c>
      <c r="E6" s="8">
        <v>550</v>
      </c>
      <c r="F6" s="8">
        <v>515</v>
      </c>
      <c r="G6" s="6">
        <v>33</v>
      </c>
      <c r="H6" s="9">
        <v>28</v>
      </c>
      <c r="I6" s="6">
        <f>IFERROR(IF(T_PROD[[#This Row],[PREVISTO]]-T_PROD[[#This Row],[EFETIVO]]&lt; 0,0,T_PROD[[#This Row],[PREVISTO]]-T_PROD[[#This Row],[EFETIVO]] ),"")</f>
        <v>5</v>
      </c>
      <c r="J6" s="10">
        <v>18</v>
      </c>
      <c r="K6" s="10">
        <f>IFERROR(IF(T_PROD[[#This Row],[PRODUÇÃO]]&gt;0,(T_PROD[[#This Row],[PRODUÇÃO]]/T_PROD[[#This Row],[EFETIVO]]),""),"")</f>
        <v>18.392857142857142</v>
      </c>
    </row>
    <row r="7" spans="1:11" s="6" customFormat="1" x14ac:dyDescent="0.3">
      <c r="A7" s="7">
        <v>46029</v>
      </c>
      <c r="B7" s="6" t="str">
        <f t="shared" si="0"/>
        <v>JANEIRO</v>
      </c>
      <c r="C7" s="6" t="s">
        <v>13</v>
      </c>
      <c r="D7" s="6" t="s">
        <v>12</v>
      </c>
      <c r="E7" s="8">
        <v>150</v>
      </c>
      <c r="F7" s="8">
        <v>112</v>
      </c>
      <c r="G7" s="6">
        <v>10</v>
      </c>
      <c r="H7" s="9">
        <v>10</v>
      </c>
      <c r="I7" s="6">
        <f>IFERROR(IF(T_PROD[[#This Row],[PREVISTO]]-T_PROD[[#This Row],[EFETIVO]]&lt; 0,0,T_PROD[[#This Row],[PREVISTO]]-T_PROD[[#This Row],[EFETIVO]] ),"")</f>
        <v>0</v>
      </c>
      <c r="J7" s="10">
        <f>IFERROR(IF(T_PROD[[#This Row],[META]]&gt;0,(T_PROD[[#This Row],[META]]/T_PROD[[#This Row],[PREVISTO]]),""),"")</f>
        <v>15</v>
      </c>
      <c r="K7" s="10">
        <f>IFERROR(IF(T_PROD[[#This Row],[PRODUÇÃO]]&gt;0,(T_PROD[[#This Row],[PRODUÇÃO]]/T_PROD[[#This Row],[EFETIVO]]),""),"")</f>
        <v>11.2</v>
      </c>
    </row>
    <row r="8" spans="1:11" s="6" customFormat="1" x14ac:dyDescent="0.3">
      <c r="A8" s="7">
        <v>46030</v>
      </c>
      <c r="B8" s="6" t="str">
        <f t="shared" si="0"/>
        <v>JANEIRO</v>
      </c>
      <c r="C8" s="6" t="s">
        <v>11</v>
      </c>
      <c r="D8" s="6" t="s">
        <v>12</v>
      </c>
      <c r="E8" s="8">
        <v>550</v>
      </c>
      <c r="F8" s="8">
        <v>600</v>
      </c>
      <c r="G8" s="6">
        <v>33</v>
      </c>
      <c r="H8" s="9">
        <v>30</v>
      </c>
      <c r="I8" s="6">
        <f>IFERROR(IF(T_PROD[[#This Row],[PREVISTO]]-T_PROD[[#This Row],[EFETIVO]]&lt; 0,0,T_PROD[[#This Row],[PREVISTO]]-T_PROD[[#This Row],[EFETIVO]] ),"")</f>
        <v>3</v>
      </c>
      <c r="J8" s="10">
        <v>18</v>
      </c>
      <c r="K8" s="10">
        <f>IFERROR(IF(T_PROD[[#This Row],[PRODUÇÃO]]&gt;0,(T_PROD[[#This Row],[PRODUÇÃO]]/T_PROD[[#This Row],[EFETIVO]]),""),"")</f>
        <v>20</v>
      </c>
    </row>
    <row r="9" spans="1:11" s="6" customFormat="1" x14ac:dyDescent="0.3">
      <c r="A9" s="7">
        <v>46030</v>
      </c>
      <c r="B9" s="6" t="str">
        <f t="shared" si="0"/>
        <v>JANEIRO</v>
      </c>
      <c r="C9" s="6" t="s">
        <v>13</v>
      </c>
      <c r="D9" s="6" t="s">
        <v>12</v>
      </c>
      <c r="E9" s="8">
        <v>150</v>
      </c>
      <c r="F9" s="8">
        <v>128</v>
      </c>
      <c r="G9" s="6">
        <v>10</v>
      </c>
      <c r="H9" s="9">
        <v>10</v>
      </c>
      <c r="I9" s="6">
        <f>IFERROR(IF(T_PROD[[#This Row],[PREVISTO]]-T_PROD[[#This Row],[EFETIVO]]&lt; 0,0,T_PROD[[#This Row],[PREVISTO]]-T_PROD[[#This Row],[EFETIVO]] ),"")</f>
        <v>0</v>
      </c>
      <c r="J9" s="10">
        <f>IFERROR(IF(T_PROD[[#This Row],[META]]&gt;0,(T_PROD[[#This Row],[META]]/T_PROD[[#This Row],[PREVISTO]]),""),"")</f>
        <v>15</v>
      </c>
      <c r="K9" s="10">
        <f>IFERROR(IF(T_PROD[[#This Row],[PRODUÇÃO]]&gt;0,(T_PROD[[#This Row],[PRODUÇÃO]]/T_PROD[[#This Row],[EFETIVO]]),""),"")</f>
        <v>12.8</v>
      </c>
    </row>
    <row r="10" spans="1:11" s="6" customFormat="1" x14ac:dyDescent="0.3">
      <c r="A10" s="7">
        <v>46030</v>
      </c>
      <c r="B10" s="6" t="str">
        <f t="shared" si="0"/>
        <v>JANEIRO</v>
      </c>
      <c r="C10" s="6" t="s">
        <v>14</v>
      </c>
      <c r="D10" s="6" t="s">
        <v>12</v>
      </c>
      <c r="E10" s="8">
        <v>700</v>
      </c>
      <c r="F10" s="8">
        <v>728</v>
      </c>
      <c r="G10" s="6">
        <v>86</v>
      </c>
      <c r="H10" s="9">
        <v>78</v>
      </c>
      <c r="I10" s="6">
        <f>IFERROR(IF(T_PROD[[#This Row],[PREVISTO]]-T_PROD[[#This Row],[EFETIVO]]&lt; 0,0,T_PROD[[#This Row],[PREVISTO]]-T_PROD[[#This Row],[EFETIVO]] ),"")</f>
        <v>8</v>
      </c>
      <c r="J10" s="10">
        <v>8.1</v>
      </c>
      <c r="K10" s="10">
        <f>IFERROR(IF(T_PROD[[#This Row],[PRODUÇÃO]]&gt;0,(T_PROD[[#This Row],[PRODUÇÃO]]/T_PROD[[#This Row],[EFETIVO]]),""),"")</f>
        <v>9.3333333333333339</v>
      </c>
    </row>
    <row r="11" spans="1:11" s="6" customFormat="1" x14ac:dyDescent="0.3">
      <c r="A11" s="7">
        <v>46029</v>
      </c>
      <c r="B11" s="6" t="str">
        <f t="shared" si="0"/>
        <v>JANEIRO</v>
      </c>
      <c r="C11" s="6" t="s">
        <v>14</v>
      </c>
      <c r="D11" s="6" t="s">
        <v>12</v>
      </c>
      <c r="E11" s="8">
        <v>700</v>
      </c>
      <c r="F11" s="8">
        <v>627</v>
      </c>
      <c r="G11" s="6">
        <v>86</v>
      </c>
      <c r="H11" s="9">
        <v>79</v>
      </c>
      <c r="I11" s="6">
        <f>IFERROR(IF(T_PROD[[#This Row],[PREVISTO]]-T_PROD[[#This Row],[EFETIVO]]&lt; 0,0,T_PROD[[#This Row],[PREVISTO]]-T_PROD[[#This Row],[EFETIVO]] ),"")</f>
        <v>7</v>
      </c>
      <c r="J11" s="10">
        <v>8.1</v>
      </c>
      <c r="K11" s="10">
        <f>IFERROR(IF(T_PROD[[#This Row],[PRODUÇÃO]]&gt;0,(T_PROD[[#This Row],[PRODUÇÃO]]/T_PROD[[#This Row],[EFETIVO]]),""),"")</f>
        <v>7.9367088607594933</v>
      </c>
    </row>
    <row r="12" spans="1:11" s="6" customFormat="1" x14ac:dyDescent="0.3">
      <c r="A12" s="7">
        <v>46028</v>
      </c>
      <c r="B12" s="6" t="str">
        <f t="shared" si="0"/>
        <v>JANEIRO</v>
      </c>
      <c r="C12" s="6" t="s">
        <v>14</v>
      </c>
      <c r="D12" s="6" t="s">
        <v>12</v>
      </c>
      <c r="E12" s="8">
        <v>700</v>
      </c>
      <c r="F12" s="8">
        <v>635</v>
      </c>
      <c r="G12" s="6">
        <v>86</v>
      </c>
      <c r="H12" s="9">
        <v>79</v>
      </c>
      <c r="I12" s="6">
        <f>IFERROR(IF(T_PROD[[#This Row],[PREVISTO]]-T_PROD[[#This Row],[EFETIVO]]&lt; 0,0,T_PROD[[#This Row],[PREVISTO]]-T_PROD[[#This Row],[EFETIVO]] ),"")</f>
        <v>7</v>
      </c>
      <c r="J12" s="10">
        <v>8.1</v>
      </c>
      <c r="K12" s="10">
        <f>IFERROR(IF(T_PROD[[#This Row],[PRODUÇÃO]]&gt;0,(T_PROD[[#This Row],[PRODUÇÃO]]/T_PROD[[#This Row],[EFETIVO]]),""),"")</f>
        <v>8.037974683544304</v>
      </c>
    </row>
    <row r="13" spans="1:11" s="6" customFormat="1" x14ac:dyDescent="0.3">
      <c r="A13" s="7">
        <v>46027</v>
      </c>
      <c r="B13" s="6" t="str">
        <f t="shared" si="0"/>
        <v>JANEIRO</v>
      </c>
      <c r="C13" s="6" t="s">
        <v>14</v>
      </c>
      <c r="D13" s="6" t="s">
        <v>12</v>
      </c>
      <c r="E13" s="8">
        <v>700</v>
      </c>
      <c r="F13" s="8">
        <v>564</v>
      </c>
      <c r="G13" s="6">
        <v>86</v>
      </c>
      <c r="H13" s="9">
        <v>80</v>
      </c>
      <c r="I13" s="6">
        <f>IFERROR(IF(T_PROD[[#This Row],[PREVISTO]]-T_PROD[[#This Row],[EFETIVO]]&lt; 0,0,T_PROD[[#This Row],[PREVISTO]]-T_PROD[[#This Row],[EFETIVO]] ),"")</f>
        <v>6</v>
      </c>
      <c r="J13" s="10">
        <v>8.1</v>
      </c>
      <c r="K13" s="10">
        <f>IFERROR(IF(T_PROD[[#This Row],[PRODUÇÃO]]&gt;0,(T_PROD[[#This Row],[PRODUÇÃO]]/T_PROD[[#This Row],[EFETIVO]]),""),"")</f>
        <v>7.05</v>
      </c>
    </row>
    <row r="14" spans="1:11" s="6" customFormat="1" x14ac:dyDescent="0.3">
      <c r="A14" s="7">
        <v>46031</v>
      </c>
      <c r="B14" s="6" t="str">
        <f t="shared" si="0"/>
        <v>JANEIRO</v>
      </c>
      <c r="C14" s="6" t="s">
        <v>14</v>
      </c>
      <c r="D14" s="6" t="s">
        <v>12</v>
      </c>
      <c r="E14" s="8">
        <v>535</v>
      </c>
      <c r="F14" s="8">
        <v>460</v>
      </c>
      <c r="G14" s="6">
        <v>86</v>
      </c>
      <c r="H14" s="9">
        <v>77</v>
      </c>
      <c r="I14" s="6">
        <f>IFERROR(IF(T_PROD[[#This Row],[PREVISTO]]-T_PROD[[#This Row],[EFETIVO]]&lt; 0,0,T_PROD[[#This Row],[PREVISTO]]-T_PROD[[#This Row],[EFETIVO]] ),"")</f>
        <v>9</v>
      </c>
      <c r="J14" s="10">
        <v>8.1</v>
      </c>
      <c r="K14" s="10">
        <f>IFERROR(IF(T_PROD[[#This Row],[PRODUÇÃO]]&gt;0,(T_PROD[[#This Row],[PRODUÇÃO]]/T_PROD[[#This Row],[EFETIVO]]),""),"")</f>
        <v>5.9740259740259738</v>
      </c>
    </row>
    <row r="15" spans="1:11" s="6" customFormat="1" x14ac:dyDescent="0.3">
      <c r="A15" s="7">
        <v>46031</v>
      </c>
      <c r="B15" s="6" t="str">
        <f t="shared" si="0"/>
        <v>JANEIRO</v>
      </c>
      <c r="C15" s="6" t="s">
        <v>11</v>
      </c>
      <c r="D15" s="6" t="s">
        <v>12</v>
      </c>
      <c r="E15" s="8">
        <v>420</v>
      </c>
      <c r="F15" s="8">
        <v>370</v>
      </c>
      <c r="G15" s="6">
        <v>33</v>
      </c>
      <c r="H15" s="9">
        <v>28</v>
      </c>
      <c r="I15" s="6">
        <f>IFERROR(IF(T_PROD[[#This Row],[PREVISTO]]-T_PROD[[#This Row],[EFETIVO]]&lt; 0,0,T_PROD[[#This Row],[PREVISTO]]-T_PROD[[#This Row],[EFETIVO]] ),"")</f>
        <v>5</v>
      </c>
      <c r="J15" s="10">
        <v>18</v>
      </c>
      <c r="K15" s="10">
        <f>IFERROR(IF(T_PROD[[#This Row],[PRODUÇÃO]]&gt;0,(T_PROD[[#This Row],[PRODUÇÃO]]/T_PROD[[#This Row],[EFETIVO]]),""),"")</f>
        <v>13.214285714285714</v>
      </c>
    </row>
    <row r="16" spans="1:11" s="6" customFormat="1" x14ac:dyDescent="0.3">
      <c r="A16" s="7">
        <v>46031</v>
      </c>
      <c r="B16" s="6" t="str">
        <f t="shared" si="0"/>
        <v>JANEIRO</v>
      </c>
      <c r="C16" s="6" t="s">
        <v>13</v>
      </c>
      <c r="D16" s="6" t="s">
        <v>12</v>
      </c>
      <c r="E16" s="8">
        <v>115</v>
      </c>
      <c r="F16" s="8">
        <v>90</v>
      </c>
      <c r="G16" s="6">
        <v>10</v>
      </c>
      <c r="H16" s="9">
        <v>9</v>
      </c>
      <c r="I16" s="6">
        <f>IFERROR(IF(T_PROD[[#This Row],[PREVISTO]]-T_PROD[[#This Row],[EFETIVO]]&lt; 0,0,T_PROD[[#This Row],[PREVISTO]]-T_PROD[[#This Row],[EFETIVO]] ),"")</f>
        <v>1</v>
      </c>
      <c r="J16" s="10">
        <v>15</v>
      </c>
      <c r="K16" s="10">
        <f>IFERROR(IF(T_PROD[[#This Row],[PRODUÇÃO]]&gt;0,(T_PROD[[#This Row],[PRODUÇÃO]]/T_PROD[[#This Row],[EFETIVO]]),""),"")</f>
        <v>10</v>
      </c>
    </row>
    <row r="17" spans="1:11" s="6" customFormat="1" x14ac:dyDescent="0.3">
      <c r="A17" s="7">
        <v>46034</v>
      </c>
      <c r="B17" s="6" t="str">
        <f t="shared" si="0"/>
        <v>JANEIRO</v>
      </c>
      <c r="C17" s="6" t="s">
        <v>11</v>
      </c>
      <c r="D17" s="6" t="s">
        <v>12</v>
      </c>
      <c r="E17" s="8">
        <v>550</v>
      </c>
      <c r="F17" s="8">
        <v>530</v>
      </c>
      <c r="G17" s="6">
        <v>33</v>
      </c>
      <c r="H17" s="9">
        <v>28</v>
      </c>
      <c r="I17" s="6">
        <f>IFERROR(IF(T_PROD[[#This Row],[PREVISTO]]-T_PROD[[#This Row],[EFETIVO]]&lt; 0,0,T_PROD[[#This Row],[PREVISTO]]-T_PROD[[#This Row],[EFETIVO]] ),"")</f>
        <v>5</v>
      </c>
      <c r="J17" s="10">
        <v>18</v>
      </c>
      <c r="K17" s="10">
        <f>IFERROR(IF(T_PROD[[#This Row],[PRODUÇÃO]]&gt;0,(T_PROD[[#This Row],[PRODUÇÃO]]/T_PROD[[#This Row],[EFETIVO]]),""),"")</f>
        <v>18.928571428571427</v>
      </c>
    </row>
    <row r="18" spans="1:11" s="6" customFormat="1" x14ac:dyDescent="0.3">
      <c r="A18" s="7">
        <v>46034</v>
      </c>
      <c r="B18" s="6" t="str">
        <f t="shared" si="0"/>
        <v>JANEIRO</v>
      </c>
      <c r="C18" s="6" t="s">
        <v>13</v>
      </c>
      <c r="D18" s="6" t="s">
        <v>12</v>
      </c>
      <c r="E18" s="8">
        <v>150</v>
      </c>
      <c r="F18" s="8">
        <v>120</v>
      </c>
      <c r="G18" s="6">
        <v>10</v>
      </c>
      <c r="H18" s="9">
        <v>9</v>
      </c>
      <c r="I18" s="6">
        <f>IFERROR(IF(T_PROD[[#This Row],[PREVISTO]]-T_PROD[[#This Row],[EFETIVO]]&lt; 0,0,T_PROD[[#This Row],[PREVISTO]]-T_PROD[[#This Row],[EFETIVO]] ),"")</f>
        <v>1</v>
      </c>
      <c r="J18" s="10">
        <v>15</v>
      </c>
      <c r="K18" s="10">
        <f>IFERROR(IF(T_PROD[[#This Row],[PRODUÇÃO]]&gt;0,(T_PROD[[#This Row],[PRODUÇÃO]]/T_PROD[[#This Row],[EFETIVO]]),""),"")</f>
        <v>13.333333333333334</v>
      </c>
    </row>
    <row r="19" spans="1:11" s="6" customFormat="1" x14ac:dyDescent="0.3">
      <c r="A19" s="7">
        <v>46034</v>
      </c>
      <c r="B19" s="6" t="str">
        <f t="shared" si="0"/>
        <v>JANEIRO</v>
      </c>
      <c r="C19" s="6" t="s">
        <v>14</v>
      </c>
      <c r="D19" s="6" t="s">
        <v>12</v>
      </c>
      <c r="E19" s="8">
        <v>700</v>
      </c>
      <c r="F19" s="8">
        <v>650</v>
      </c>
      <c r="G19" s="6">
        <v>84</v>
      </c>
      <c r="H19" s="9">
        <v>77</v>
      </c>
      <c r="I19" s="6">
        <f>IFERROR(IF(T_PROD[[#This Row],[PREVISTO]]-T_PROD[[#This Row],[EFETIVO]]&lt; 0,0,T_PROD[[#This Row],[PREVISTO]]-T_PROD[[#This Row],[EFETIVO]] ),"")</f>
        <v>7</v>
      </c>
      <c r="J19" s="10">
        <v>8.1</v>
      </c>
      <c r="K19" s="10">
        <f>IFERROR(IF(T_PROD[[#This Row],[PRODUÇÃO]]&gt;0,(T_PROD[[#This Row],[PRODUÇÃO]]/T_PROD[[#This Row],[EFETIVO]]),""),"")</f>
        <v>8.4415584415584419</v>
      </c>
    </row>
    <row r="20" spans="1:11" s="6" customFormat="1" x14ac:dyDescent="0.3">
      <c r="A20" s="7">
        <v>46035</v>
      </c>
      <c r="B20" s="6" t="str">
        <f t="shared" si="0"/>
        <v>JANEIRO</v>
      </c>
      <c r="C20" s="6" t="s">
        <v>11</v>
      </c>
      <c r="D20" s="6" t="s">
        <v>12</v>
      </c>
      <c r="E20" s="8">
        <v>550</v>
      </c>
      <c r="F20" s="8">
        <v>512</v>
      </c>
      <c r="G20" s="6">
        <v>33</v>
      </c>
      <c r="H20" s="9">
        <v>27</v>
      </c>
      <c r="I20" s="6">
        <f>IFERROR(IF(T_PROD[[#This Row],[PREVISTO]]-T_PROD[[#This Row],[EFETIVO]]&lt; 0,0,T_PROD[[#This Row],[PREVISTO]]-T_PROD[[#This Row],[EFETIVO]] ),"")</f>
        <v>6</v>
      </c>
      <c r="J20" s="10">
        <v>18</v>
      </c>
      <c r="K20" s="10">
        <f>IFERROR(IF(T_PROD[[#This Row],[PRODUÇÃO]]&gt;0,(T_PROD[[#This Row],[PRODUÇÃO]]/T_PROD[[#This Row],[EFETIVO]]),""),"")</f>
        <v>18.962962962962962</v>
      </c>
    </row>
    <row r="21" spans="1:11" s="6" customFormat="1" x14ac:dyDescent="0.3">
      <c r="A21" s="7">
        <v>46035</v>
      </c>
      <c r="B21" s="6" t="str">
        <f t="shared" si="0"/>
        <v>JANEIRO</v>
      </c>
      <c r="C21" s="6" t="s">
        <v>13</v>
      </c>
      <c r="D21" s="6" t="s">
        <v>12</v>
      </c>
      <c r="E21" s="8">
        <v>150</v>
      </c>
      <c r="F21" s="8">
        <v>130</v>
      </c>
      <c r="G21" s="6">
        <v>10</v>
      </c>
      <c r="H21" s="9">
        <v>9</v>
      </c>
      <c r="I21" s="6">
        <f>IFERROR(IF(T_PROD[[#This Row],[PREVISTO]]-T_PROD[[#This Row],[EFETIVO]]&lt; 0,0,T_PROD[[#This Row],[PREVISTO]]-T_PROD[[#This Row],[EFETIVO]] ),"")</f>
        <v>1</v>
      </c>
      <c r="J21" s="10">
        <v>15</v>
      </c>
      <c r="K21" s="10">
        <f>IFERROR(IF(T_PROD[[#This Row],[PRODUÇÃO]]&gt;0,(T_PROD[[#This Row],[PRODUÇÃO]]/T_PROD[[#This Row],[EFETIVO]]),""),"")</f>
        <v>14.444444444444445</v>
      </c>
    </row>
    <row r="22" spans="1:11" s="6" customFormat="1" x14ac:dyDescent="0.3">
      <c r="A22" s="7">
        <v>46035</v>
      </c>
      <c r="B22" s="6" t="str">
        <f t="shared" si="0"/>
        <v>JANEIRO</v>
      </c>
      <c r="C22" s="6" t="s">
        <v>14</v>
      </c>
      <c r="D22" s="6" t="s">
        <v>12</v>
      </c>
      <c r="E22" s="8">
        <v>700</v>
      </c>
      <c r="F22" s="8">
        <v>642</v>
      </c>
      <c r="G22" s="6">
        <v>84</v>
      </c>
      <c r="H22" s="9">
        <v>76</v>
      </c>
      <c r="I22" s="6">
        <f>IFERROR(IF(T_PROD[[#This Row],[PREVISTO]]-T_PROD[[#This Row],[EFETIVO]]&lt; 0,0,T_PROD[[#This Row],[PREVISTO]]-T_PROD[[#This Row],[EFETIVO]] ),"")</f>
        <v>8</v>
      </c>
      <c r="J22" s="10">
        <v>8.1</v>
      </c>
      <c r="K22" s="10">
        <f>IFERROR(IF(T_PROD[[#This Row],[PRODUÇÃO]]&gt;0,(T_PROD[[#This Row],[PRODUÇÃO]]/T_PROD[[#This Row],[EFETIVO]]),""),"")</f>
        <v>8.4473684210526319</v>
      </c>
    </row>
    <row r="23" spans="1:11" s="6" customFormat="1" x14ac:dyDescent="0.3">
      <c r="A23" s="7">
        <v>46036</v>
      </c>
      <c r="B23" s="6" t="str">
        <f t="shared" si="0"/>
        <v>JANEIRO</v>
      </c>
      <c r="C23" s="6" t="s">
        <v>11</v>
      </c>
      <c r="D23" s="6" t="s">
        <v>12</v>
      </c>
      <c r="E23" s="8">
        <v>550</v>
      </c>
      <c r="F23" s="8">
        <v>440</v>
      </c>
      <c r="G23" s="6">
        <v>33</v>
      </c>
      <c r="H23" s="9">
        <v>28</v>
      </c>
      <c r="I23" s="6">
        <f>IFERROR(IF(T_PROD[[#This Row],[PREVISTO]]-T_PROD[[#This Row],[EFETIVO]]&lt; 0,0,T_PROD[[#This Row],[PREVISTO]]-T_PROD[[#This Row],[EFETIVO]] ),"")</f>
        <v>5</v>
      </c>
      <c r="J23" s="10">
        <v>18</v>
      </c>
      <c r="K23" s="10">
        <f>IFERROR(IF(T_PROD[[#This Row],[PRODUÇÃO]]&gt;0,(T_PROD[[#This Row],[PRODUÇÃO]]/T_PROD[[#This Row],[EFETIVO]]),""),"")</f>
        <v>15.714285714285714</v>
      </c>
    </row>
    <row r="24" spans="1:11" s="6" customFormat="1" x14ac:dyDescent="0.3">
      <c r="A24" s="7">
        <v>46036</v>
      </c>
      <c r="B24" s="6" t="str">
        <f t="shared" si="0"/>
        <v>JANEIRO</v>
      </c>
      <c r="C24" s="6" t="s">
        <v>13</v>
      </c>
      <c r="D24" s="6" t="s">
        <v>12</v>
      </c>
      <c r="E24" s="8">
        <v>150</v>
      </c>
      <c r="F24" s="8">
        <v>131</v>
      </c>
      <c r="G24" s="6">
        <v>10</v>
      </c>
      <c r="H24" s="9">
        <v>10</v>
      </c>
      <c r="I24" s="6">
        <f>IFERROR(IF(T_PROD[[#This Row],[PREVISTO]]-T_PROD[[#This Row],[EFETIVO]]&lt; 0,0,T_PROD[[#This Row],[PREVISTO]]-T_PROD[[#This Row],[EFETIVO]] ),"")</f>
        <v>0</v>
      </c>
      <c r="J24" s="10">
        <f>IFERROR(IF(T_PROD[[#This Row],[META]]&gt;0,(T_PROD[[#This Row],[META]]/T_PROD[[#This Row],[PREVISTO]]),""),"")</f>
        <v>15</v>
      </c>
      <c r="K24" s="10">
        <f>IFERROR(IF(T_PROD[[#This Row],[PRODUÇÃO]]&gt;0,(T_PROD[[#This Row],[PRODUÇÃO]]/T_PROD[[#This Row],[EFETIVO]]),""),"")</f>
        <v>13.1</v>
      </c>
    </row>
    <row r="25" spans="1:11" s="6" customFormat="1" x14ac:dyDescent="0.3">
      <c r="A25" s="7">
        <v>46036</v>
      </c>
      <c r="B25" s="6" t="str">
        <f t="shared" si="0"/>
        <v>JANEIRO</v>
      </c>
      <c r="C25" s="6" t="s">
        <v>14</v>
      </c>
      <c r="D25" s="6" t="s">
        <v>12</v>
      </c>
      <c r="E25" s="8">
        <v>700</v>
      </c>
      <c r="F25" s="8">
        <v>531</v>
      </c>
      <c r="G25" s="6">
        <v>84</v>
      </c>
      <c r="H25" s="9">
        <v>74</v>
      </c>
      <c r="I25" s="6">
        <f>IFERROR(IF(T_PROD[[#This Row],[PREVISTO]]-T_PROD[[#This Row],[EFETIVO]]&lt; 0,0,T_PROD[[#This Row],[PREVISTO]]-T_PROD[[#This Row],[EFETIVO]] ),"")</f>
        <v>10</v>
      </c>
      <c r="J25" s="10">
        <v>8.1</v>
      </c>
      <c r="K25" s="10">
        <f>IFERROR(IF(T_PROD[[#This Row],[PRODUÇÃO]]&gt;0,(T_PROD[[#This Row],[PRODUÇÃO]]/T_PROD[[#This Row],[EFETIVO]]),""),"")</f>
        <v>7.1756756756756754</v>
      </c>
    </row>
    <row r="26" spans="1:11" s="6" customFormat="1" x14ac:dyDescent="0.3">
      <c r="A26" s="11">
        <v>46037</v>
      </c>
      <c r="B26" s="12" t="str">
        <f t="shared" si="0"/>
        <v>JANEIRO</v>
      </c>
      <c r="C26" s="12" t="s">
        <v>11</v>
      </c>
      <c r="D26" s="12" t="s">
        <v>12</v>
      </c>
      <c r="E26" s="13">
        <v>550</v>
      </c>
      <c r="F26" s="13">
        <v>450</v>
      </c>
      <c r="G26" s="12">
        <v>33</v>
      </c>
      <c r="H26" s="14">
        <v>28</v>
      </c>
      <c r="I26" s="12">
        <f>IFERROR(IF(T_PROD[[#This Row],[PREVISTO]]-T_PROD[[#This Row],[EFETIVO]]&lt; 0,0,T_PROD[[#This Row],[PREVISTO]]-T_PROD[[#This Row],[EFETIVO]] ),"")</f>
        <v>5</v>
      </c>
      <c r="J26" s="15">
        <v>18</v>
      </c>
      <c r="K26" s="15">
        <f>IFERROR(IF(T_PROD[[#This Row],[PRODUÇÃO]]&gt;0,(T_PROD[[#This Row],[PRODUÇÃO]]/T_PROD[[#This Row],[EFETIVO]]),""),"")</f>
        <v>16.071428571428573</v>
      </c>
    </row>
    <row r="27" spans="1:11" s="6" customFormat="1" x14ac:dyDescent="0.3">
      <c r="A27" s="11">
        <v>46037</v>
      </c>
      <c r="B27" s="12" t="str">
        <f t="shared" si="0"/>
        <v>JANEIRO</v>
      </c>
      <c r="C27" s="12" t="s">
        <v>13</v>
      </c>
      <c r="D27" s="12" t="s">
        <v>12</v>
      </c>
      <c r="E27" s="13">
        <v>150</v>
      </c>
      <c r="F27" s="13">
        <v>140</v>
      </c>
      <c r="G27" s="12">
        <v>10</v>
      </c>
      <c r="H27" s="14">
        <v>10</v>
      </c>
      <c r="I27" s="12">
        <f>IFERROR(IF(T_PROD[[#This Row],[PREVISTO]]-T_PROD[[#This Row],[EFETIVO]]&lt; 0,0,T_PROD[[#This Row],[PREVISTO]]-T_PROD[[#This Row],[EFETIVO]] ),"")</f>
        <v>0</v>
      </c>
      <c r="J27" s="15">
        <f>IFERROR(IF(T_PROD[[#This Row],[META]]&gt;0,(T_PROD[[#This Row],[META]]/T_PROD[[#This Row],[PREVISTO]]),""),"")</f>
        <v>15</v>
      </c>
      <c r="K27" s="15">
        <f>IFERROR(IF(T_PROD[[#This Row],[PRODUÇÃO]]&gt;0,(T_PROD[[#This Row],[PRODUÇÃO]]/T_PROD[[#This Row],[EFETIVO]]),""),"")</f>
        <v>14</v>
      </c>
    </row>
    <row r="28" spans="1:11" s="6" customFormat="1" x14ac:dyDescent="0.3">
      <c r="A28" s="11">
        <v>46037</v>
      </c>
      <c r="B28" s="12" t="str">
        <f t="shared" si="0"/>
        <v>JANEIRO</v>
      </c>
      <c r="C28" s="12" t="s">
        <v>14</v>
      </c>
      <c r="D28" s="12" t="s">
        <v>12</v>
      </c>
      <c r="E28" s="13">
        <v>700</v>
      </c>
      <c r="F28" s="13">
        <v>590</v>
      </c>
      <c r="G28" s="12">
        <v>84</v>
      </c>
      <c r="H28" s="14">
        <v>78</v>
      </c>
      <c r="I28" s="12">
        <f>IFERROR(IF(T_PROD[[#This Row],[PREVISTO]]-T_PROD[[#This Row],[EFETIVO]]&lt; 0,0,T_PROD[[#This Row],[PREVISTO]]-T_PROD[[#This Row],[EFETIVO]] ),"")</f>
        <v>6</v>
      </c>
      <c r="J28" s="15">
        <v>8.1</v>
      </c>
      <c r="K28" s="15">
        <f>IFERROR(IF(T_PROD[[#This Row],[PRODUÇÃO]]&gt;0,(T_PROD[[#This Row],[PRODUÇÃO]]/T_PROD[[#This Row],[EFETIVO]]),""),"")</f>
        <v>7.5641025641025639</v>
      </c>
    </row>
    <row r="29" spans="1:11" s="6" customFormat="1" x14ac:dyDescent="0.3">
      <c r="A29" s="11">
        <v>46038</v>
      </c>
      <c r="B29" s="12" t="str">
        <f t="shared" si="0"/>
        <v>JANEIRO</v>
      </c>
      <c r="C29" s="12" t="s">
        <v>11</v>
      </c>
      <c r="D29" s="12" t="s">
        <v>12</v>
      </c>
      <c r="E29" s="13">
        <v>430</v>
      </c>
      <c r="F29" s="13">
        <v>310</v>
      </c>
      <c r="G29" s="12">
        <v>33</v>
      </c>
      <c r="H29" s="14">
        <v>26</v>
      </c>
      <c r="I29" s="12">
        <f>IFERROR(IF(T_PROD[[#This Row],[PREVISTO]]-T_PROD[[#This Row],[EFETIVO]]&lt; 0,0,T_PROD[[#This Row],[PREVISTO]]-T_PROD[[#This Row],[EFETIVO]] ),"")</f>
        <v>7</v>
      </c>
      <c r="J29" s="15">
        <v>18</v>
      </c>
      <c r="K29" s="15">
        <f>IFERROR(IF(T_PROD[[#This Row],[PRODUÇÃO]]&gt;0,(T_PROD[[#This Row],[PRODUÇÃO]]/T_PROD[[#This Row],[EFETIVO]]),""),"")</f>
        <v>11.923076923076923</v>
      </c>
    </row>
    <row r="30" spans="1:11" s="6" customFormat="1" x14ac:dyDescent="0.3">
      <c r="A30" s="11">
        <v>46038</v>
      </c>
      <c r="B30" s="12" t="str">
        <f t="shared" si="0"/>
        <v>JANEIRO</v>
      </c>
      <c r="C30" s="12" t="s">
        <v>13</v>
      </c>
      <c r="D30" s="12" t="s">
        <v>12</v>
      </c>
      <c r="E30" s="13">
        <v>115</v>
      </c>
      <c r="F30" s="13">
        <v>95</v>
      </c>
      <c r="G30" s="12">
        <v>10</v>
      </c>
      <c r="H30" s="14">
        <v>8</v>
      </c>
      <c r="I30" s="12">
        <f>IFERROR(IF(T_PROD[[#This Row],[PREVISTO]]-T_PROD[[#This Row],[EFETIVO]]&lt; 0,0,T_PROD[[#This Row],[PREVISTO]]-T_PROD[[#This Row],[EFETIVO]] ),"")</f>
        <v>2</v>
      </c>
      <c r="J30" s="15">
        <v>15</v>
      </c>
      <c r="K30" s="15">
        <f>IFERROR(IF(T_PROD[[#This Row],[PRODUÇÃO]]&gt;0,(T_PROD[[#This Row],[PRODUÇÃO]]/T_PROD[[#This Row],[EFETIVO]]),""),"")</f>
        <v>11.875</v>
      </c>
    </row>
    <row r="31" spans="1:11" s="6" customFormat="1" x14ac:dyDescent="0.3">
      <c r="A31" s="11">
        <v>46038</v>
      </c>
      <c r="B31" s="12" t="str">
        <f t="shared" si="0"/>
        <v>JANEIRO</v>
      </c>
      <c r="C31" s="12" t="s">
        <v>14</v>
      </c>
      <c r="D31" s="12" t="s">
        <v>12</v>
      </c>
      <c r="E31" s="13">
        <v>545</v>
      </c>
      <c r="F31" s="13">
        <v>405</v>
      </c>
      <c r="G31" s="12">
        <v>86</v>
      </c>
      <c r="H31" s="14">
        <v>73</v>
      </c>
      <c r="I31" s="12">
        <f>IFERROR(IF(T_PROD[[#This Row],[PREVISTO]]-T_PROD[[#This Row],[EFETIVO]]&lt; 0,0,T_PROD[[#This Row],[PREVISTO]]-T_PROD[[#This Row],[EFETIVO]] ),"")</f>
        <v>13</v>
      </c>
      <c r="J31" s="15">
        <v>8.1</v>
      </c>
      <c r="K31" s="15">
        <f>IFERROR(IF(T_PROD[[#This Row],[PRODUÇÃO]]&gt;0,(T_PROD[[#This Row],[PRODUÇÃO]]/T_PROD[[#This Row],[EFETIVO]]),""),"")</f>
        <v>5.5479452054794525</v>
      </c>
    </row>
    <row r="32" spans="1:11" s="6" customFormat="1" x14ac:dyDescent="0.3">
      <c r="A32" s="11">
        <v>46041</v>
      </c>
      <c r="B32" s="12" t="str">
        <f t="shared" si="0"/>
        <v>JANEIRO</v>
      </c>
      <c r="C32" s="12" t="s">
        <v>11</v>
      </c>
      <c r="D32" s="12" t="s">
        <v>12</v>
      </c>
      <c r="E32" s="13">
        <v>550</v>
      </c>
      <c r="F32" s="13">
        <v>620</v>
      </c>
      <c r="G32" s="12">
        <v>33</v>
      </c>
      <c r="H32" s="14">
        <v>29</v>
      </c>
      <c r="I32" s="12">
        <f>IFERROR(IF(T_PROD[[#This Row],[PREVISTO]]-T_PROD[[#This Row],[EFETIVO]]&lt; 0,0,T_PROD[[#This Row],[PREVISTO]]-T_PROD[[#This Row],[EFETIVO]] ),"")</f>
        <v>4</v>
      </c>
      <c r="J32" s="15">
        <v>18</v>
      </c>
      <c r="K32" s="15">
        <f>IFERROR(IF(T_PROD[[#This Row],[PRODUÇÃO]]&gt;0,(T_PROD[[#This Row],[PRODUÇÃO]]/T_PROD[[#This Row],[EFETIVO]]),""),"")</f>
        <v>21.379310344827587</v>
      </c>
    </row>
    <row r="33" spans="1:11" s="6" customFormat="1" x14ac:dyDescent="0.3">
      <c r="A33" s="11">
        <v>46041</v>
      </c>
      <c r="B33" s="12" t="str">
        <f t="shared" si="0"/>
        <v>JANEIRO</v>
      </c>
      <c r="C33" s="12" t="s">
        <v>13</v>
      </c>
      <c r="D33" s="12" t="s">
        <v>12</v>
      </c>
      <c r="E33" s="13">
        <v>150</v>
      </c>
      <c r="F33" s="13">
        <v>134</v>
      </c>
      <c r="G33" s="12">
        <v>10</v>
      </c>
      <c r="H33" s="14">
        <v>9</v>
      </c>
      <c r="I33" s="12">
        <f>IFERROR(IF(T_PROD[[#This Row],[PREVISTO]]-T_PROD[[#This Row],[EFETIVO]]&lt; 0,0,T_PROD[[#This Row],[PREVISTO]]-T_PROD[[#This Row],[EFETIVO]] ),"")</f>
        <v>1</v>
      </c>
      <c r="J33" s="15">
        <f>IFERROR(IF(T_PROD[[#This Row],[META]]&gt;0,(T_PROD[[#This Row],[META]]/T_PROD[[#This Row],[PREVISTO]]),""),"")</f>
        <v>15</v>
      </c>
      <c r="K33" s="15">
        <f>IFERROR(IF(T_PROD[[#This Row],[PRODUÇÃO]]&gt;0,(T_PROD[[#This Row],[PRODUÇÃO]]/T_PROD[[#This Row],[EFETIVO]]),""),"")</f>
        <v>14.888888888888889</v>
      </c>
    </row>
    <row r="34" spans="1:11" s="6" customFormat="1" x14ac:dyDescent="0.3">
      <c r="A34" s="11">
        <v>46041</v>
      </c>
      <c r="B34" s="12" t="str">
        <f t="shared" si="0"/>
        <v>JANEIRO</v>
      </c>
      <c r="C34" s="12" t="s">
        <v>14</v>
      </c>
      <c r="D34" s="12" t="s">
        <v>12</v>
      </c>
      <c r="E34" s="13">
        <v>700</v>
      </c>
      <c r="F34" s="13">
        <v>754</v>
      </c>
      <c r="G34" s="12">
        <v>86</v>
      </c>
      <c r="H34" s="14">
        <v>82</v>
      </c>
      <c r="I34" s="12">
        <f>IFERROR(IF(T_PROD[[#This Row],[PREVISTO]]-T_PROD[[#This Row],[EFETIVO]]&lt; 0,0,T_PROD[[#This Row],[PREVISTO]]-T_PROD[[#This Row],[EFETIVO]] ),"")</f>
        <v>4</v>
      </c>
      <c r="J34" s="15">
        <v>8.1</v>
      </c>
      <c r="K34" s="15">
        <f>IFERROR(IF(T_PROD[[#This Row],[PRODUÇÃO]]&gt;0,(T_PROD[[#This Row],[PRODUÇÃO]]/T_PROD[[#This Row],[EFETIVO]]),""),"")</f>
        <v>9.1951219512195124</v>
      </c>
    </row>
    <row r="35" spans="1:11" s="6" customFormat="1" x14ac:dyDescent="0.3">
      <c r="A35" s="11">
        <v>46042</v>
      </c>
      <c r="B35" s="12" t="str">
        <f t="shared" si="0"/>
        <v>JANEIRO</v>
      </c>
      <c r="C35" s="12" t="s">
        <v>11</v>
      </c>
      <c r="D35" s="12" t="s">
        <v>12</v>
      </c>
      <c r="E35" s="13">
        <v>550</v>
      </c>
      <c r="F35" s="13">
        <v>600</v>
      </c>
      <c r="G35" s="12">
        <v>33</v>
      </c>
      <c r="H35" s="14">
        <v>29</v>
      </c>
      <c r="I35" s="12">
        <f>IFERROR(IF(T_PROD[[#This Row],[PREVISTO]]-T_PROD[[#This Row],[EFETIVO]]&lt; 0,0,T_PROD[[#This Row],[PREVISTO]]-T_PROD[[#This Row],[EFETIVO]] ),"")</f>
        <v>4</v>
      </c>
      <c r="J35" s="15">
        <v>18</v>
      </c>
      <c r="K35" s="15">
        <f>IFERROR(IF(T_PROD[[#This Row],[PRODUÇÃO]]&gt;0,(T_PROD[[#This Row],[PRODUÇÃO]]/T_PROD[[#This Row],[EFETIVO]]),""),"")</f>
        <v>20.689655172413794</v>
      </c>
    </row>
    <row r="36" spans="1:11" s="6" customFormat="1" x14ac:dyDescent="0.3">
      <c r="A36" s="11">
        <v>46042</v>
      </c>
      <c r="B36" s="12" t="str">
        <f t="shared" si="0"/>
        <v>JANEIRO</v>
      </c>
      <c r="C36" s="12" t="s">
        <v>13</v>
      </c>
      <c r="D36" s="12" t="s">
        <v>12</v>
      </c>
      <c r="E36" s="13">
        <v>150</v>
      </c>
      <c r="F36" s="13">
        <v>151</v>
      </c>
      <c r="G36" s="12">
        <v>10</v>
      </c>
      <c r="H36" s="14">
        <v>10</v>
      </c>
      <c r="I36" s="12">
        <f>IFERROR(IF(T_PROD[[#This Row],[PREVISTO]]-T_PROD[[#This Row],[EFETIVO]]&lt; 0,0,T_PROD[[#This Row],[PREVISTO]]-T_PROD[[#This Row],[EFETIVO]] ),"")</f>
        <v>0</v>
      </c>
      <c r="J36" s="15">
        <f>IFERROR(IF(T_PROD[[#This Row],[META]]&gt;0,(T_PROD[[#This Row],[META]]/T_PROD[[#This Row],[PREVISTO]]),""),"")</f>
        <v>15</v>
      </c>
      <c r="K36" s="15">
        <f>IFERROR(IF(T_PROD[[#This Row],[PRODUÇÃO]]&gt;0,(T_PROD[[#This Row],[PRODUÇÃO]]/T_PROD[[#This Row],[EFETIVO]]),""),"")</f>
        <v>15.1</v>
      </c>
    </row>
    <row r="37" spans="1:11" s="6" customFormat="1" x14ac:dyDescent="0.3">
      <c r="A37" s="11">
        <v>46042</v>
      </c>
      <c r="B37" s="12" t="str">
        <f t="shared" si="0"/>
        <v>JANEIRO</v>
      </c>
      <c r="C37" s="12" t="s">
        <v>14</v>
      </c>
      <c r="D37" s="12" t="s">
        <v>12</v>
      </c>
      <c r="E37" s="13">
        <v>700</v>
      </c>
      <c r="F37" s="13">
        <v>751</v>
      </c>
      <c r="G37" s="12">
        <v>86</v>
      </c>
      <c r="H37" s="14">
        <v>80</v>
      </c>
      <c r="I37" s="12">
        <f>IFERROR(IF(T_PROD[[#This Row],[PREVISTO]]-T_PROD[[#This Row],[EFETIVO]]&lt; 0,0,T_PROD[[#This Row],[PREVISTO]]-T_PROD[[#This Row],[EFETIVO]] ),"")</f>
        <v>6</v>
      </c>
      <c r="J37" s="15">
        <v>8.1</v>
      </c>
      <c r="K37" s="15">
        <f>IFERROR(IF(T_PROD[[#This Row],[PRODUÇÃO]]&gt;0,(T_PROD[[#This Row],[PRODUÇÃO]]/T_PROD[[#This Row],[EFETIVO]]),""),"")</f>
        <v>9.3874999999999993</v>
      </c>
    </row>
    <row r="38" spans="1:11" s="6" customFormat="1" x14ac:dyDescent="0.3">
      <c r="A38" s="11">
        <v>46043</v>
      </c>
      <c r="B38" s="12" t="str">
        <f t="shared" si="0"/>
        <v>JANEIRO</v>
      </c>
      <c r="C38" s="12" t="s">
        <v>11</v>
      </c>
      <c r="D38" s="12" t="s">
        <v>12</v>
      </c>
      <c r="E38" s="13">
        <v>550</v>
      </c>
      <c r="F38" s="13">
        <v>615</v>
      </c>
      <c r="G38" s="12">
        <v>31</v>
      </c>
      <c r="H38" s="14">
        <v>29</v>
      </c>
      <c r="I38" s="12">
        <f>IFERROR(IF(T_PROD[[#This Row],[PREVISTO]]-T_PROD[[#This Row],[EFETIVO]]&lt; 0,0,T_PROD[[#This Row],[PREVISTO]]-T_PROD[[#This Row],[EFETIVO]] ),"")</f>
        <v>2</v>
      </c>
      <c r="J38" s="15">
        <v>18</v>
      </c>
      <c r="K38" s="15">
        <f>IFERROR(IF(T_PROD[[#This Row],[PRODUÇÃO]]&gt;0,(T_PROD[[#This Row],[PRODUÇÃO]]/T_PROD[[#This Row],[EFETIVO]]),""),"")</f>
        <v>21.206896551724139</v>
      </c>
    </row>
    <row r="39" spans="1:11" s="6" customFormat="1" x14ac:dyDescent="0.3">
      <c r="A39" s="11">
        <v>46043</v>
      </c>
      <c r="B39" s="12" t="str">
        <f t="shared" si="0"/>
        <v>JANEIRO</v>
      </c>
      <c r="C39" s="12" t="s">
        <v>13</v>
      </c>
      <c r="D39" s="12" t="s">
        <v>12</v>
      </c>
      <c r="E39" s="13">
        <v>150</v>
      </c>
      <c r="F39" s="13">
        <v>157</v>
      </c>
      <c r="G39" s="12">
        <v>10</v>
      </c>
      <c r="H39" s="14">
        <v>10</v>
      </c>
      <c r="I39" s="12">
        <f>IFERROR(IF(T_PROD[[#This Row],[PREVISTO]]-T_PROD[[#This Row],[EFETIVO]]&lt; 0,0,T_PROD[[#This Row],[PREVISTO]]-T_PROD[[#This Row],[EFETIVO]] ),"")</f>
        <v>0</v>
      </c>
      <c r="J39" s="15">
        <f>IFERROR(IF(T_PROD[[#This Row],[META]]&gt;0,(T_PROD[[#This Row],[META]]/T_PROD[[#This Row],[PREVISTO]]),""),"")</f>
        <v>15</v>
      </c>
      <c r="K39" s="15">
        <f>IFERROR(IF(T_PROD[[#This Row],[PRODUÇÃO]]&gt;0,(T_PROD[[#This Row],[PRODUÇÃO]]/T_PROD[[#This Row],[EFETIVO]]),""),"")</f>
        <v>15.7</v>
      </c>
    </row>
    <row r="40" spans="1:11" s="6" customFormat="1" x14ac:dyDescent="0.3">
      <c r="A40" s="11">
        <v>46043</v>
      </c>
      <c r="B40" s="12" t="str">
        <f t="shared" si="0"/>
        <v>JANEIRO</v>
      </c>
      <c r="C40" s="12" t="s">
        <v>14</v>
      </c>
      <c r="D40" s="12" t="s">
        <v>12</v>
      </c>
      <c r="E40" s="13">
        <v>700</v>
      </c>
      <c r="F40" s="13">
        <v>772</v>
      </c>
      <c r="G40" s="12">
        <v>86</v>
      </c>
      <c r="H40" s="14">
        <v>79</v>
      </c>
      <c r="I40" s="12">
        <f>IFERROR(IF(T_PROD[[#This Row],[PREVISTO]]-T_PROD[[#This Row],[EFETIVO]]&lt; 0,0,T_PROD[[#This Row],[PREVISTO]]-T_PROD[[#This Row],[EFETIVO]] ),"")</f>
        <v>7</v>
      </c>
      <c r="J40" s="15">
        <f>IFERROR(IF(T_PROD[[#This Row],[META]]&gt;0,(T_PROD[[#This Row],[META]]/T_PROD[[#This Row],[PREVISTO]]),""),"")</f>
        <v>8.1395348837209305</v>
      </c>
      <c r="K40" s="15">
        <f>IFERROR(IF(T_PROD[[#This Row],[PRODUÇÃO]]&gt;0,(T_PROD[[#This Row],[PRODUÇÃO]]/T_PROD[[#This Row],[EFETIVO]]),""),"")</f>
        <v>9.7721518987341778</v>
      </c>
    </row>
    <row r="41" spans="1:11" s="6" customFormat="1" x14ac:dyDescent="0.3">
      <c r="A41" s="11">
        <v>46044</v>
      </c>
      <c r="B41" s="12" t="str">
        <f t="shared" si="0"/>
        <v>JANEIRO</v>
      </c>
      <c r="C41" s="12" t="s">
        <v>11</v>
      </c>
      <c r="D41" s="12" t="s">
        <v>12</v>
      </c>
      <c r="E41" s="13">
        <v>550</v>
      </c>
      <c r="F41" s="13">
        <v>570</v>
      </c>
      <c r="G41" s="12">
        <v>33</v>
      </c>
      <c r="H41" s="14">
        <v>28</v>
      </c>
      <c r="I41" s="12">
        <f>IFERROR(IF(T_PROD[[#This Row],[PREVISTO]]-T_PROD[[#This Row],[EFETIVO]]&lt; 0,0,T_PROD[[#This Row],[PREVISTO]]-T_PROD[[#This Row],[EFETIVO]] ),"")</f>
        <v>5</v>
      </c>
      <c r="J41" s="15">
        <v>18</v>
      </c>
      <c r="K41" s="15">
        <f>IFERROR(IF(T_PROD[[#This Row],[PRODUÇÃO]]&gt;0,(T_PROD[[#This Row],[PRODUÇÃO]]/T_PROD[[#This Row],[EFETIVO]]),""),"")</f>
        <v>20.357142857142858</v>
      </c>
    </row>
    <row r="42" spans="1:11" s="6" customFormat="1" x14ac:dyDescent="0.3">
      <c r="A42" s="11">
        <v>46044</v>
      </c>
      <c r="B42" s="12" t="str">
        <f t="shared" si="0"/>
        <v>JANEIRO</v>
      </c>
      <c r="C42" s="12" t="s">
        <v>13</v>
      </c>
      <c r="D42" s="12" t="s">
        <v>12</v>
      </c>
      <c r="E42" s="13">
        <v>150</v>
      </c>
      <c r="F42" s="13">
        <v>150</v>
      </c>
      <c r="G42" s="12">
        <v>10</v>
      </c>
      <c r="H42" s="14">
        <v>9</v>
      </c>
      <c r="I42" s="12">
        <f>IFERROR(IF(T_PROD[[#This Row],[PREVISTO]]-T_PROD[[#This Row],[EFETIVO]]&lt; 0,0,T_PROD[[#This Row],[PREVISTO]]-T_PROD[[#This Row],[EFETIVO]] ),"")</f>
        <v>1</v>
      </c>
      <c r="J42" s="15">
        <f>IFERROR(IF(T_PROD[[#This Row],[META]]&gt;0,(T_PROD[[#This Row],[META]]/T_PROD[[#This Row],[PREVISTO]]),""),"")</f>
        <v>15</v>
      </c>
      <c r="K42" s="15">
        <f>IFERROR(IF(T_PROD[[#This Row],[PRODUÇÃO]]&gt;0,(T_PROD[[#This Row],[PRODUÇÃO]]/T_PROD[[#This Row],[EFETIVO]]),""),"")</f>
        <v>16.666666666666668</v>
      </c>
    </row>
    <row r="43" spans="1:11" s="6" customFormat="1" x14ac:dyDescent="0.3">
      <c r="A43" s="11">
        <v>46044</v>
      </c>
      <c r="B43" s="12" t="str">
        <f t="shared" si="0"/>
        <v>JANEIRO</v>
      </c>
      <c r="C43" s="12" t="s">
        <v>14</v>
      </c>
      <c r="D43" s="12" t="s">
        <v>12</v>
      </c>
      <c r="E43" s="13">
        <v>700</v>
      </c>
      <c r="F43" s="13">
        <v>720</v>
      </c>
      <c r="G43" s="12">
        <v>86</v>
      </c>
      <c r="H43" s="14">
        <v>78</v>
      </c>
      <c r="I43" s="12">
        <f>IFERROR(IF(T_PROD[[#This Row],[PREVISTO]]-T_PROD[[#This Row],[EFETIVO]]&lt; 0,0,T_PROD[[#This Row],[PREVISTO]]-T_PROD[[#This Row],[EFETIVO]] ),"")</f>
        <v>8</v>
      </c>
      <c r="J43" s="15">
        <v>8.1</v>
      </c>
      <c r="K43" s="15">
        <f>IFERROR(IF(T_PROD[[#This Row],[PRODUÇÃO]]&gt;0,(T_PROD[[#This Row],[PRODUÇÃO]]/T_PROD[[#This Row],[EFETIVO]]),""),"")</f>
        <v>9.2307692307692299</v>
      </c>
    </row>
    <row r="44" spans="1:11" s="6" customFormat="1" x14ac:dyDescent="0.3">
      <c r="A44" s="11">
        <v>46045</v>
      </c>
      <c r="B44" s="12" t="str">
        <f t="shared" ref="B44:B52" si="1">UPPER(TEXT(A44,"MMMM"))</f>
        <v>JANEIRO</v>
      </c>
      <c r="C44" s="12" t="s">
        <v>11</v>
      </c>
      <c r="D44" s="12" t="s">
        <v>12</v>
      </c>
      <c r="E44" s="13">
        <v>430</v>
      </c>
      <c r="F44" s="13">
        <v>435</v>
      </c>
      <c r="G44" s="12">
        <v>33</v>
      </c>
      <c r="H44" s="14">
        <v>27</v>
      </c>
      <c r="I44" s="12">
        <f>IFERROR(IF(T_PROD[[#This Row],[PREVISTO]]-T_PROD[[#This Row],[EFETIVO]]&lt; 0,0,T_PROD[[#This Row],[PREVISTO]]-T_PROD[[#This Row],[EFETIVO]] ),"")</f>
        <v>6</v>
      </c>
      <c r="J44" s="15">
        <v>18</v>
      </c>
      <c r="K44" s="15">
        <f>IFERROR(IF(T_PROD[[#This Row],[PRODUÇÃO]]&gt;0,(T_PROD[[#This Row],[PRODUÇÃO]]/T_PROD[[#This Row],[EFETIVO]]),""),"")</f>
        <v>16.111111111111111</v>
      </c>
    </row>
    <row r="45" spans="1:11" s="6" customFormat="1" x14ac:dyDescent="0.3">
      <c r="A45" s="11">
        <v>46045</v>
      </c>
      <c r="B45" s="12" t="str">
        <f t="shared" si="1"/>
        <v>JANEIRO</v>
      </c>
      <c r="C45" s="12" t="s">
        <v>13</v>
      </c>
      <c r="D45" s="12" t="s">
        <v>12</v>
      </c>
      <c r="E45" s="13">
        <v>115</v>
      </c>
      <c r="F45" s="13">
        <v>104</v>
      </c>
      <c r="G45" s="12">
        <v>15</v>
      </c>
      <c r="H45" s="14">
        <v>9</v>
      </c>
      <c r="I45" s="12">
        <f>IFERROR(IF(T_PROD[[#This Row],[PREVISTO]]-T_PROD[[#This Row],[EFETIVO]]&lt; 0,0,T_PROD[[#This Row],[PREVISTO]]-T_PROD[[#This Row],[EFETIVO]] ),"")</f>
        <v>6</v>
      </c>
      <c r="J45" s="15">
        <v>15</v>
      </c>
      <c r="K45" s="15">
        <f>IFERROR(IF(T_PROD[[#This Row],[PRODUÇÃO]]&gt;0,(T_PROD[[#This Row],[PRODUÇÃO]]/T_PROD[[#This Row],[EFETIVO]]),""),"")</f>
        <v>11.555555555555555</v>
      </c>
    </row>
    <row r="46" spans="1:11" s="6" customFormat="1" x14ac:dyDescent="0.3">
      <c r="A46" s="11">
        <v>46045</v>
      </c>
      <c r="B46" s="12" t="str">
        <f t="shared" si="1"/>
        <v>JANEIRO</v>
      </c>
      <c r="C46" s="12" t="s">
        <v>14</v>
      </c>
      <c r="D46" s="12" t="s">
        <v>12</v>
      </c>
      <c r="E46" s="13">
        <v>545</v>
      </c>
      <c r="F46" s="13">
        <v>539</v>
      </c>
      <c r="G46" s="12">
        <v>86</v>
      </c>
      <c r="H46" s="14">
        <v>76</v>
      </c>
      <c r="I46" s="12">
        <f>IFERROR(IF(T_PROD[[#This Row],[PREVISTO]]-T_PROD[[#This Row],[EFETIVO]]&lt; 0,0,T_PROD[[#This Row],[PREVISTO]]-T_PROD[[#This Row],[EFETIVO]] ),"")</f>
        <v>10</v>
      </c>
      <c r="J46" s="15">
        <v>8.1</v>
      </c>
      <c r="K46" s="15">
        <f>IFERROR(IF(T_PROD[[#This Row],[PRODUÇÃO]]&gt;0,(T_PROD[[#This Row],[PRODUÇÃO]]/T_PROD[[#This Row],[EFETIVO]]),""),"")</f>
        <v>7.0921052631578947</v>
      </c>
    </row>
    <row r="47" spans="1:11" s="6" customFormat="1" x14ac:dyDescent="0.3">
      <c r="A47" s="11">
        <v>46048</v>
      </c>
      <c r="B47" s="12" t="str">
        <f t="shared" si="1"/>
        <v>JANEIRO</v>
      </c>
      <c r="C47" s="12" t="s">
        <v>11</v>
      </c>
      <c r="D47" s="12" t="s">
        <v>12</v>
      </c>
      <c r="E47" s="13">
        <v>550</v>
      </c>
      <c r="F47" s="8">
        <v>550</v>
      </c>
      <c r="G47" s="6">
        <v>33</v>
      </c>
      <c r="H47" s="9">
        <v>28</v>
      </c>
      <c r="I47" s="12">
        <f>IFERROR(IF(T_PROD[[#This Row],[PREVISTO]]-T_PROD[[#This Row],[EFETIVO]]&lt; 0,0,T_PROD[[#This Row],[PREVISTO]]-T_PROD[[#This Row],[EFETIVO]] ),"")</f>
        <v>5</v>
      </c>
      <c r="J47" s="15">
        <v>18</v>
      </c>
      <c r="K47" s="15">
        <f>IFERROR(IF(T_PROD[[#This Row],[PRODUÇÃO]]&gt;0,(T_PROD[[#This Row],[PRODUÇÃO]]/T_PROD[[#This Row],[EFETIVO]]),""),"")</f>
        <v>19.642857142857142</v>
      </c>
    </row>
    <row r="48" spans="1:11" s="6" customFormat="1" x14ac:dyDescent="0.3">
      <c r="A48" s="11">
        <v>46048</v>
      </c>
      <c r="B48" s="12" t="str">
        <f t="shared" si="1"/>
        <v>JANEIRO</v>
      </c>
      <c r="C48" s="12" t="s">
        <v>13</v>
      </c>
      <c r="D48" s="12" t="s">
        <v>12</v>
      </c>
      <c r="E48" s="13">
        <v>150</v>
      </c>
      <c r="F48" s="8">
        <v>132</v>
      </c>
      <c r="G48" s="6">
        <v>10</v>
      </c>
      <c r="H48" s="9">
        <v>9</v>
      </c>
      <c r="I48" s="12">
        <f>IFERROR(IF(T_PROD[[#This Row],[PREVISTO]]-T_PROD[[#This Row],[EFETIVO]]&lt; 0,0,T_PROD[[#This Row],[PREVISTO]]-T_PROD[[#This Row],[EFETIVO]] ),"")</f>
        <v>1</v>
      </c>
      <c r="J48" s="15">
        <f>IFERROR(IF(T_PROD[[#This Row],[META]]&gt;0,(T_PROD[[#This Row],[META]]/T_PROD[[#This Row],[PREVISTO]]),""),"")</f>
        <v>15</v>
      </c>
      <c r="K48" s="15">
        <f>IFERROR(IF(T_PROD[[#This Row],[PRODUÇÃO]]&gt;0,(T_PROD[[#This Row],[PRODUÇÃO]]/T_PROD[[#This Row],[EFETIVO]]),""),"")</f>
        <v>14.666666666666666</v>
      </c>
    </row>
    <row r="49" spans="1:11" s="6" customFormat="1" x14ac:dyDescent="0.3">
      <c r="A49" s="11">
        <v>46048</v>
      </c>
      <c r="B49" s="12" t="str">
        <f t="shared" si="1"/>
        <v>JANEIRO</v>
      </c>
      <c r="C49" s="12" t="s">
        <v>14</v>
      </c>
      <c r="D49" s="12" t="s">
        <v>12</v>
      </c>
      <c r="E49" s="13">
        <v>700</v>
      </c>
      <c r="F49" s="8">
        <v>682</v>
      </c>
      <c r="G49" s="6">
        <v>91</v>
      </c>
      <c r="H49" s="9">
        <v>82</v>
      </c>
      <c r="I49" s="12">
        <f>IFERROR(IF(T_PROD[[#This Row],[PREVISTO]]-T_PROD[[#This Row],[EFETIVO]]&lt; 0,0,T_PROD[[#This Row],[PREVISTO]]-T_PROD[[#This Row],[EFETIVO]] ),"")</f>
        <v>9</v>
      </c>
      <c r="J49" s="15">
        <v>8.1</v>
      </c>
      <c r="K49" s="15">
        <f>IFERROR(IF(T_PROD[[#This Row],[PRODUÇÃO]]&gt;0,(T_PROD[[#This Row],[PRODUÇÃO]]/T_PROD[[#This Row],[EFETIVO]]),""),"")</f>
        <v>8.3170731707317067</v>
      </c>
    </row>
    <row r="50" spans="1:11" s="6" customFormat="1" x14ac:dyDescent="0.3">
      <c r="A50" s="11">
        <v>46049</v>
      </c>
      <c r="B50" s="12" t="str">
        <f t="shared" si="1"/>
        <v>JANEIRO</v>
      </c>
      <c r="C50" s="12" t="s">
        <v>11</v>
      </c>
      <c r="D50" s="12" t="s">
        <v>12</v>
      </c>
      <c r="E50" s="13">
        <v>600</v>
      </c>
      <c r="F50" s="8">
        <v>625</v>
      </c>
      <c r="G50" s="6">
        <v>33</v>
      </c>
      <c r="H50" s="9">
        <v>28</v>
      </c>
      <c r="I50" s="12">
        <f>IFERROR(IF(T_PROD[[#This Row],[PREVISTO]]-T_PROD[[#This Row],[EFETIVO]]&lt; 0,0,T_PROD[[#This Row],[PREVISTO]]-T_PROD[[#This Row],[EFETIVO]] ),"")</f>
        <v>5</v>
      </c>
      <c r="J50" s="15">
        <v>18</v>
      </c>
      <c r="K50" s="15">
        <f>IFERROR(IF(T_PROD[[#This Row],[PRODUÇÃO]]&gt;0,(T_PROD[[#This Row],[PRODUÇÃO]]/T_PROD[[#This Row],[EFETIVO]]),""),"")</f>
        <v>22.321428571428573</v>
      </c>
    </row>
    <row r="51" spans="1:11" s="6" customFormat="1" x14ac:dyDescent="0.3">
      <c r="A51" s="11">
        <v>46049</v>
      </c>
      <c r="B51" s="12" t="str">
        <f t="shared" si="1"/>
        <v>JANEIRO</v>
      </c>
      <c r="C51" s="12" t="s">
        <v>13</v>
      </c>
      <c r="D51" s="12" t="s">
        <v>12</v>
      </c>
      <c r="E51" s="13">
        <v>150</v>
      </c>
      <c r="F51" s="8">
        <v>160</v>
      </c>
      <c r="G51" s="6">
        <v>10</v>
      </c>
      <c r="H51" s="9">
        <v>10</v>
      </c>
      <c r="I51" s="12">
        <f>IFERROR(IF(T_PROD[[#This Row],[PREVISTO]]-T_PROD[[#This Row],[EFETIVO]]&lt; 0,0,T_PROD[[#This Row],[PREVISTO]]-T_PROD[[#This Row],[EFETIVO]] ),"")</f>
        <v>0</v>
      </c>
      <c r="J51" s="15">
        <f>IFERROR(IF(T_PROD[[#This Row],[META]]&gt;0,(T_PROD[[#This Row],[META]]/T_PROD[[#This Row],[PREVISTO]]),""),"")</f>
        <v>15</v>
      </c>
      <c r="K51" s="15">
        <f>IFERROR(IF(T_PROD[[#This Row],[PRODUÇÃO]]&gt;0,(T_PROD[[#This Row],[PRODUÇÃO]]/T_PROD[[#This Row],[EFETIVO]]),""),"")</f>
        <v>16</v>
      </c>
    </row>
    <row r="52" spans="1:11" s="6" customFormat="1" x14ac:dyDescent="0.3">
      <c r="A52" s="11">
        <v>46049</v>
      </c>
      <c r="B52" s="12" t="str">
        <f t="shared" si="1"/>
        <v>JANEIRO</v>
      </c>
      <c r="C52" s="12" t="s">
        <v>14</v>
      </c>
      <c r="D52" s="12" t="s">
        <v>12</v>
      </c>
      <c r="E52" s="13">
        <v>750</v>
      </c>
      <c r="F52" s="8">
        <v>785</v>
      </c>
      <c r="G52" s="6">
        <v>91</v>
      </c>
      <c r="H52" s="9">
        <v>84</v>
      </c>
      <c r="I52" s="12">
        <f>IFERROR(IF(T_PROD[[#This Row],[PREVISTO]]-T_PROD[[#This Row],[EFETIVO]]&lt; 0,0,T_PROD[[#This Row],[PREVISTO]]-T_PROD[[#This Row],[EFETIVO]] ),"")</f>
        <v>7</v>
      </c>
      <c r="J52" s="15">
        <v>8.1</v>
      </c>
      <c r="K52" s="15">
        <f>IFERROR(IF(T_PROD[[#This Row],[PRODUÇÃO]]&gt;0,(T_PROD[[#This Row],[PRODUÇÃO]]/T_PROD[[#This Row],[EFETIVO]]),""),"")</f>
        <v>9.3452380952380949</v>
      </c>
    </row>
    <row r="53" spans="1:11" s="6" customFormat="1" x14ac:dyDescent="0.3">
      <c r="A53" s="11">
        <v>46027</v>
      </c>
      <c r="B53" s="12" t="str">
        <f t="shared" ref="B53:B70" si="2">UPPER(TEXT(A53,"MMMM"))</f>
        <v>JANEIRO</v>
      </c>
      <c r="C53" s="6" t="s">
        <v>15</v>
      </c>
      <c r="D53" s="12" t="s">
        <v>12</v>
      </c>
      <c r="E53" s="13">
        <v>60</v>
      </c>
      <c r="F53" s="13">
        <v>104</v>
      </c>
      <c r="G53" s="12">
        <v>4</v>
      </c>
      <c r="H53" s="12">
        <v>4</v>
      </c>
      <c r="I53" s="12">
        <f>IFERROR(IF(T_PROD[[#This Row],[PREVISTO]]-T_PROD[[#This Row],[EFETIVO]]&lt; 0,0,T_PROD[[#This Row],[PREVISTO]]-T_PROD[[#This Row],[EFETIVO]] ),"")</f>
        <v>0</v>
      </c>
      <c r="J53" s="15">
        <f>IFERROR(IF(T_PROD[[#This Row],[META]]&gt;0,(T_PROD[[#This Row],[META]]/T_PROD[[#This Row],[PREVISTO]]),""),"")</f>
        <v>15</v>
      </c>
      <c r="K53" s="15">
        <f>IFERROR(IF(T_PROD[[#This Row],[PRODUÇÃO]]&gt;0,(T_PROD[[#This Row],[PRODUÇÃO]]/T_PROD[[#This Row],[EFETIVO]]),""),"")</f>
        <v>26</v>
      </c>
    </row>
    <row r="54" spans="1:11" s="6" customFormat="1" x14ac:dyDescent="0.3">
      <c r="A54" s="11">
        <v>46027</v>
      </c>
      <c r="B54" s="12" t="str">
        <f t="shared" si="2"/>
        <v>JANEIRO</v>
      </c>
      <c r="C54" s="6" t="s">
        <v>16</v>
      </c>
      <c r="D54" s="12" t="s">
        <v>12</v>
      </c>
      <c r="E54" s="13">
        <v>204</v>
      </c>
      <c r="F54" s="13">
        <v>182</v>
      </c>
      <c r="G54" s="12">
        <v>6</v>
      </c>
      <c r="H54" s="12">
        <v>7</v>
      </c>
      <c r="I54" s="12">
        <f>IFERROR(IF(T_PROD[[#This Row],[PREVISTO]]-T_PROD[[#This Row],[EFETIVO]]&lt; 0,0,T_PROD[[#This Row],[PREVISTO]]-T_PROD[[#This Row],[EFETIVO]] ),"")</f>
        <v>0</v>
      </c>
      <c r="J54" s="15">
        <f>IFERROR(IF(T_PROD[[#This Row],[META]]&gt;0,(T_PROD[[#This Row],[META]]/T_PROD[[#This Row],[PREVISTO]]),""),"")</f>
        <v>34</v>
      </c>
      <c r="K54" s="15">
        <f>IFERROR(IF(T_PROD[[#This Row],[PRODUÇÃO]]&gt;0,(T_PROD[[#This Row],[PRODUÇÃO]]/T_PROD[[#This Row],[EFETIVO]]),""),"")</f>
        <v>26</v>
      </c>
    </row>
    <row r="55" spans="1:11" s="6" customFormat="1" x14ac:dyDescent="0.3">
      <c r="A55" s="11">
        <v>46027</v>
      </c>
      <c r="B55" s="12" t="str">
        <f t="shared" si="2"/>
        <v>JANEIRO</v>
      </c>
      <c r="C55" s="6" t="s">
        <v>17</v>
      </c>
      <c r="D55" s="12" t="s">
        <v>12</v>
      </c>
      <c r="E55" s="13">
        <v>32</v>
      </c>
      <c r="F55" s="13">
        <v>0</v>
      </c>
      <c r="G55" s="12">
        <v>2</v>
      </c>
      <c r="H55" s="12">
        <v>2</v>
      </c>
      <c r="I55" s="12">
        <f>IFERROR(IF(T_PROD[[#This Row],[PREVISTO]]-T_PROD[[#This Row],[EFETIVO]]&lt; 0,0,T_PROD[[#This Row],[PREVISTO]]-T_PROD[[#This Row],[EFETIVO]] ),"")</f>
        <v>0</v>
      </c>
      <c r="J55" s="15">
        <f>IFERROR(IF(T_PROD[[#This Row],[META]]&gt;0,(T_PROD[[#This Row],[META]]/T_PROD[[#This Row],[PREVISTO]]),""),"")</f>
        <v>16</v>
      </c>
      <c r="K55" s="15" t="str">
        <f>IFERROR(IF(T_PROD[[#This Row],[PRODUÇÃO]]&gt;0,(T_PROD[[#This Row],[PRODUÇÃO]]/T_PROD[[#This Row],[EFETIVO]]),""),"")</f>
        <v/>
      </c>
    </row>
    <row r="56" spans="1:11" s="6" customFormat="1" x14ac:dyDescent="0.3">
      <c r="A56" s="11">
        <v>46027</v>
      </c>
      <c r="B56" s="12" t="str">
        <f t="shared" si="2"/>
        <v>JANEIRO</v>
      </c>
      <c r="C56" s="6" t="s">
        <v>18</v>
      </c>
      <c r="D56" s="12" t="s">
        <v>12</v>
      </c>
      <c r="E56" s="13">
        <v>100</v>
      </c>
      <c r="F56" s="13">
        <v>0</v>
      </c>
      <c r="G56" s="12">
        <v>3</v>
      </c>
      <c r="H56" s="12">
        <v>3</v>
      </c>
      <c r="I56" s="12">
        <f>IFERROR(IF(T_PROD[[#This Row],[PREVISTO]]-T_PROD[[#This Row],[EFETIVO]]&lt; 0,0,T_PROD[[#This Row],[PREVISTO]]-T_PROD[[#This Row],[EFETIVO]] ),"")</f>
        <v>0</v>
      </c>
      <c r="J56" s="15">
        <f>IFERROR(IF(T_PROD[[#This Row],[META]]&gt;0,(T_PROD[[#This Row],[META]]/T_PROD[[#This Row],[PREVISTO]]),""),"")</f>
        <v>33.333333333333336</v>
      </c>
      <c r="K56" s="15" t="str">
        <f>IFERROR(IF(T_PROD[[#This Row],[PRODUÇÃO]]&gt;0,(T_PROD[[#This Row],[PRODUÇÃO]]/T_PROD[[#This Row],[EFETIVO]]),""),"")</f>
        <v/>
      </c>
    </row>
    <row r="57" spans="1:11" s="6" customFormat="1" x14ac:dyDescent="0.3">
      <c r="A57" s="11">
        <v>46027</v>
      </c>
      <c r="B57" s="12" t="str">
        <f t="shared" si="2"/>
        <v>JANEIRO</v>
      </c>
      <c r="C57" s="6" t="s">
        <v>19</v>
      </c>
      <c r="D57" s="12" t="s">
        <v>12</v>
      </c>
      <c r="E57" s="13">
        <v>100</v>
      </c>
      <c r="F57" s="13">
        <v>1</v>
      </c>
      <c r="G57" s="12">
        <v>11</v>
      </c>
      <c r="H57" s="12">
        <v>11</v>
      </c>
      <c r="I57" s="12">
        <f>IFERROR(IF(T_PROD[[#This Row],[PREVISTO]]-T_PROD[[#This Row],[EFETIVO]]&lt; 0,0,T_PROD[[#This Row],[PREVISTO]]-T_PROD[[#This Row],[EFETIVO]] ),"")</f>
        <v>0</v>
      </c>
      <c r="J57" s="15">
        <f>IFERROR(IF(T_PROD[[#This Row],[META]]&gt;0,(T_PROD[[#This Row],[META]]/T_PROD[[#This Row],[PREVISTO]]),""),"")</f>
        <v>9.0909090909090917</v>
      </c>
      <c r="K57" s="15">
        <f>IFERROR(IF(T_PROD[[#This Row],[PRODUÇÃO]]&gt;0,(T_PROD[[#This Row],[PRODUÇÃO]]/T_PROD[[#This Row],[EFETIVO]]),""),"")</f>
        <v>9.0909090909090912E-2</v>
      </c>
    </row>
    <row r="58" spans="1:11" s="6" customFormat="1" x14ac:dyDescent="0.3">
      <c r="A58" s="11">
        <v>46027</v>
      </c>
      <c r="B58" s="12" t="str">
        <f t="shared" si="2"/>
        <v>JANEIRO</v>
      </c>
      <c r="C58" s="6" t="s">
        <v>20</v>
      </c>
      <c r="D58" s="12" t="s">
        <v>12</v>
      </c>
      <c r="E58" s="13">
        <v>486</v>
      </c>
      <c r="F58" s="13">
        <v>287</v>
      </c>
      <c r="G58" s="12">
        <v>87</v>
      </c>
      <c r="H58" s="12">
        <v>87</v>
      </c>
      <c r="I58" s="12">
        <f>IFERROR(IF(T_PROD[[#This Row],[PREVISTO]]-T_PROD[[#This Row],[EFETIVO]]&lt; 0,0,T_PROD[[#This Row],[PREVISTO]]-T_PROD[[#This Row],[EFETIVO]] ),"")</f>
        <v>0</v>
      </c>
      <c r="J58" s="15">
        <f>IFERROR(IF(T_PROD[[#This Row],[META]]&gt;0,(T_PROD[[#This Row],[META]]/T_PROD[[#This Row],[PREVISTO]]),""),"")</f>
        <v>5.5862068965517242</v>
      </c>
      <c r="K58" s="15">
        <f>IFERROR(IF(T_PROD[[#This Row],[PRODUÇÃO]]&gt;0,(T_PROD[[#This Row],[PRODUÇÃO]]/T_PROD[[#This Row],[EFETIVO]]),""),"")</f>
        <v>3.2988505747126435</v>
      </c>
    </row>
    <row r="59" spans="1:11" s="6" customFormat="1" x14ac:dyDescent="0.3">
      <c r="A59" s="11">
        <v>46028</v>
      </c>
      <c r="B59" s="12" t="str">
        <f t="shared" si="2"/>
        <v>JANEIRO</v>
      </c>
      <c r="C59" s="6" t="s">
        <v>15</v>
      </c>
      <c r="D59" s="12" t="s">
        <v>12</v>
      </c>
      <c r="E59" s="13">
        <v>60</v>
      </c>
      <c r="F59" s="13">
        <v>30</v>
      </c>
      <c r="G59" s="12">
        <v>4</v>
      </c>
      <c r="H59" s="12">
        <v>4</v>
      </c>
      <c r="I59" s="12">
        <f>IFERROR(IF(T_PROD[[#This Row],[PREVISTO]]-T_PROD[[#This Row],[EFETIVO]]&lt; 0,0,T_PROD[[#This Row],[PREVISTO]]-T_PROD[[#This Row],[EFETIVO]] ),"")</f>
        <v>0</v>
      </c>
      <c r="J59" s="15">
        <f>IFERROR(IF(T_PROD[[#This Row],[META]]&gt;0,(T_PROD[[#This Row],[META]]/T_PROD[[#This Row],[PREVISTO]]),""),"")</f>
        <v>15</v>
      </c>
      <c r="K59" s="15">
        <f>IFERROR(IF(T_PROD[[#This Row],[PRODUÇÃO]]&gt;0,(T_PROD[[#This Row],[PRODUÇÃO]]/T_PROD[[#This Row],[EFETIVO]]),""),"")</f>
        <v>7.5</v>
      </c>
    </row>
    <row r="60" spans="1:11" s="6" customFormat="1" x14ac:dyDescent="0.3">
      <c r="A60" s="11">
        <v>46028</v>
      </c>
      <c r="B60" s="12" t="str">
        <f t="shared" si="2"/>
        <v>JANEIRO</v>
      </c>
      <c r="C60" s="6" t="s">
        <v>16</v>
      </c>
      <c r="D60" s="12" t="s">
        <v>12</v>
      </c>
      <c r="E60" s="13">
        <v>204</v>
      </c>
      <c r="F60" s="13">
        <v>200</v>
      </c>
      <c r="G60" s="12">
        <v>6</v>
      </c>
      <c r="H60" s="12">
        <v>7</v>
      </c>
      <c r="I60" s="12">
        <f>IFERROR(IF(T_PROD[[#This Row],[PREVISTO]]-T_PROD[[#This Row],[EFETIVO]]&lt; 0,0,T_PROD[[#This Row],[PREVISTO]]-T_PROD[[#This Row],[EFETIVO]] ),"")</f>
        <v>0</v>
      </c>
      <c r="J60" s="15">
        <f>IFERROR(IF(T_PROD[[#This Row],[META]]&gt;0,(T_PROD[[#This Row],[META]]/T_PROD[[#This Row],[PREVISTO]]),""),"")</f>
        <v>34</v>
      </c>
      <c r="K60" s="15">
        <f>IFERROR(IF(T_PROD[[#This Row],[PRODUÇÃO]]&gt;0,(T_PROD[[#This Row],[PRODUÇÃO]]/T_PROD[[#This Row],[EFETIVO]]),""),"")</f>
        <v>28.571428571428573</v>
      </c>
    </row>
    <row r="61" spans="1:11" s="6" customFormat="1" x14ac:dyDescent="0.3">
      <c r="A61" s="11">
        <v>46028</v>
      </c>
      <c r="B61" s="12" t="str">
        <f t="shared" si="2"/>
        <v>JANEIRO</v>
      </c>
      <c r="C61" s="6" t="s">
        <v>17</v>
      </c>
      <c r="D61" s="12" t="s">
        <v>12</v>
      </c>
      <c r="E61" s="13">
        <v>32</v>
      </c>
      <c r="F61" s="13">
        <v>62</v>
      </c>
      <c r="G61" s="12">
        <v>2</v>
      </c>
      <c r="H61" s="12">
        <v>2</v>
      </c>
      <c r="I61" s="12">
        <f>IFERROR(IF(T_PROD[[#This Row],[PREVISTO]]-T_PROD[[#This Row],[EFETIVO]]&lt; 0,0,T_PROD[[#This Row],[PREVISTO]]-T_PROD[[#This Row],[EFETIVO]] ),"")</f>
        <v>0</v>
      </c>
      <c r="J61" s="15">
        <f>IFERROR(IF(T_PROD[[#This Row],[META]]&gt;0,(T_PROD[[#This Row],[META]]/T_PROD[[#This Row],[PREVISTO]]),""),"")</f>
        <v>16</v>
      </c>
      <c r="K61" s="15">
        <f>IFERROR(IF(T_PROD[[#This Row],[PRODUÇÃO]]&gt;0,(T_PROD[[#This Row],[PRODUÇÃO]]/T_PROD[[#This Row],[EFETIVO]]),""),"")</f>
        <v>31</v>
      </c>
    </row>
    <row r="62" spans="1:11" s="6" customFormat="1" x14ac:dyDescent="0.3">
      <c r="A62" s="11">
        <v>46028</v>
      </c>
      <c r="B62" s="12" t="str">
        <f t="shared" si="2"/>
        <v>JANEIRO</v>
      </c>
      <c r="C62" s="6" t="s">
        <v>18</v>
      </c>
      <c r="D62" s="12" t="s">
        <v>12</v>
      </c>
      <c r="E62" s="13">
        <v>100</v>
      </c>
      <c r="F62" s="13">
        <v>0</v>
      </c>
      <c r="G62" s="12">
        <v>3</v>
      </c>
      <c r="H62" s="12">
        <v>3</v>
      </c>
      <c r="I62" s="12">
        <f>IFERROR(IF(T_PROD[[#This Row],[PREVISTO]]-T_PROD[[#This Row],[EFETIVO]]&lt; 0,0,T_PROD[[#This Row],[PREVISTO]]-T_PROD[[#This Row],[EFETIVO]] ),"")</f>
        <v>0</v>
      </c>
      <c r="J62" s="15">
        <f>IFERROR(IF(T_PROD[[#This Row],[META]]&gt;0,(T_PROD[[#This Row],[META]]/T_PROD[[#This Row],[PREVISTO]]),""),"")</f>
        <v>33.333333333333336</v>
      </c>
      <c r="K62" s="15" t="str">
        <f>IFERROR(IF(T_PROD[[#This Row],[PRODUÇÃO]]&gt;0,(T_PROD[[#This Row],[PRODUÇÃO]]/T_PROD[[#This Row],[EFETIVO]]),""),"")</f>
        <v/>
      </c>
    </row>
    <row r="63" spans="1:11" s="6" customFormat="1" x14ac:dyDescent="0.3">
      <c r="A63" s="11">
        <v>46028</v>
      </c>
      <c r="B63" s="12" t="str">
        <f t="shared" si="2"/>
        <v>JANEIRO</v>
      </c>
      <c r="C63" s="6" t="s">
        <v>19</v>
      </c>
      <c r="D63" s="12" t="s">
        <v>12</v>
      </c>
      <c r="E63" s="13">
        <v>100</v>
      </c>
      <c r="F63" s="13">
        <v>113</v>
      </c>
      <c r="G63" s="12">
        <v>11</v>
      </c>
      <c r="H63" s="12">
        <v>11</v>
      </c>
      <c r="I63" s="12">
        <f>IFERROR(IF(T_PROD[[#This Row],[PREVISTO]]-T_PROD[[#This Row],[EFETIVO]]&lt; 0,0,T_PROD[[#This Row],[PREVISTO]]-T_PROD[[#This Row],[EFETIVO]] ),"")</f>
        <v>0</v>
      </c>
      <c r="J63" s="15">
        <f>IFERROR(IF(T_PROD[[#This Row],[META]]&gt;0,(T_PROD[[#This Row],[META]]/T_PROD[[#This Row],[PREVISTO]]),""),"")</f>
        <v>9.0909090909090917</v>
      </c>
      <c r="K63" s="15">
        <f>IFERROR(IF(T_PROD[[#This Row],[PRODUÇÃO]]&gt;0,(T_PROD[[#This Row],[PRODUÇÃO]]/T_PROD[[#This Row],[EFETIVO]]),""),"")</f>
        <v>10.272727272727273</v>
      </c>
    </row>
    <row r="64" spans="1:11" s="6" customFormat="1" x14ac:dyDescent="0.3">
      <c r="A64" s="11">
        <v>46028</v>
      </c>
      <c r="B64" s="12" t="str">
        <f t="shared" si="2"/>
        <v>JANEIRO</v>
      </c>
      <c r="C64" s="6" t="s">
        <v>20</v>
      </c>
      <c r="D64" s="12" t="s">
        <v>12</v>
      </c>
      <c r="E64" s="13">
        <v>486</v>
      </c>
      <c r="F64" s="13">
        <v>405</v>
      </c>
      <c r="G64" s="12">
        <v>87</v>
      </c>
      <c r="H64" s="12">
        <v>87</v>
      </c>
      <c r="I64" s="12">
        <f>IFERROR(IF(T_PROD[[#This Row],[PREVISTO]]-T_PROD[[#This Row],[EFETIVO]]&lt; 0,0,T_PROD[[#This Row],[PREVISTO]]-T_PROD[[#This Row],[EFETIVO]] ),"")</f>
        <v>0</v>
      </c>
      <c r="J64" s="15">
        <f>IFERROR(IF(T_PROD[[#This Row],[META]]&gt;0,(T_PROD[[#This Row],[META]]/T_PROD[[#This Row],[PREVISTO]]),""),"")</f>
        <v>5.5862068965517242</v>
      </c>
      <c r="K64" s="15">
        <f>IFERROR(IF(T_PROD[[#This Row],[PRODUÇÃO]]&gt;0,(T_PROD[[#This Row],[PRODUÇÃO]]/T_PROD[[#This Row],[EFETIVO]]),""),"")</f>
        <v>4.6551724137931032</v>
      </c>
    </row>
    <row r="65" spans="1:11" s="6" customFormat="1" x14ac:dyDescent="0.3">
      <c r="A65" s="11">
        <v>46029</v>
      </c>
      <c r="B65" s="12" t="str">
        <f t="shared" si="2"/>
        <v>JANEIRO</v>
      </c>
      <c r="C65" s="6" t="s">
        <v>15</v>
      </c>
      <c r="D65" s="12" t="s">
        <v>12</v>
      </c>
      <c r="E65" s="13">
        <v>60</v>
      </c>
      <c r="F65" s="13">
        <v>40</v>
      </c>
      <c r="G65" s="12">
        <v>4</v>
      </c>
      <c r="H65" s="12">
        <v>4</v>
      </c>
      <c r="I65" s="12">
        <f>IFERROR(IF(T_PROD[[#This Row],[PREVISTO]]-T_PROD[[#This Row],[EFETIVO]]&lt; 0,0,T_PROD[[#This Row],[PREVISTO]]-T_PROD[[#This Row],[EFETIVO]] ),"")</f>
        <v>0</v>
      </c>
      <c r="J65" s="15">
        <f>IFERROR(IF(T_PROD[[#This Row],[META]]&gt;0,(T_PROD[[#This Row],[META]]/T_PROD[[#This Row],[PREVISTO]]),""),"")</f>
        <v>15</v>
      </c>
      <c r="K65" s="15">
        <f>IFERROR(IF(T_PROD[[#This Row],[PRODUÇÃO]]&gt;0,(T_PROD[[#This Row],[PRODUÇÃO]]/T_PROD[[#This Row],[EFETIVO]]),""),"")</f>
        <v>10</v>
      </c>
    </row>
    <row r="66" spans="1:11" s="6" customFormat="1" x14ac:dyDescent="0.3">
      <c r="A66" s="11">
        <v>46029</v>
      </c>
      <c r="B66" s="12" t="str">
        <f t="shared" si="2"/>
        <v>JANEIRO</v>
      </c>
      <c r="C66" s="6" t="s">
        <v>16</v>
      </c>
      <c r="D66" s="12" t="s">
        <v>12</v>
      </c>
      <c r="E66" s="13">
        <v>204</v>
      </c>
      <c r="F66" s="13">
        <v>179</v>
      </c>
      <c r="G66" s="12">
        <v>6</v>
      </c>
      <c r="H66" s="12">
        <v>7</v>
      </c>
      <c r="I66" s="12">
        <f>IFERROR(IF(T_PROD[[#This Row],[PREVISTO]]-T_PROD[[#This Row],[EFETIVO]]&lt; 0,0,T_PROD[[#This Row],[PREVISTO]]-T_PROD[[#This Row],[EFETIVO]] ),"")</f>
        <v>0</v>
      </c>
      <c r="J66" s="15">
        <f>IFERROR(IF(T_PROD[[#This Row],[META]]&gt;0,(T_PROD[[#This Row],[META]]/T_PROD[[#This Row],[PREVISTO]]),""),"")</f>
        <v>34</v>
      </c>
      <c r="K66" s="15">
        <f>IFERROR(IF(T_PROD[[#This Row],[PRODUÇÃO]]&gt;0,(T_PROD[[#This Row],[PRODUÇÃO]]/T_PROD[[#This Row],[EFETIVO]]),""),"")</f>
        <v>25.571428571428573</v>
      </c>
    </row>
    <row r="67" spans="1:11" s="6" customFormat="1" x14ac:dyDescent="0.3">
      <c r="A67" s="11">
        <v>46029</v>
      </c>
      <c r="B67" s="12" t="str">
        <f t="shared" si="2"/>
        <v>JANEIRO</v>
      </c>
      <c r="C67" s="6" t="s">
        <v>17</v>
      </c>
      <c r="D67" s="12" t="s">
        <v>12</v>
      </c>
      <c r="E67" s="13">
        <v>32</v>
      </c>
      <c r="F67" s="13">
        <v>25</v>
      </c>
      <c r="G67" s="12">
        <v>2</v>
      </c>
      <c r="H67" s="12">
        <v>2</v>
      </c>
      <c r="I67" s="12">
        <f>IFERROR(IF(T_PROD[[#This Row],[PREVISTO]]-T_PROD[[#This Row],[EFETIVO]]&lt; 0,0,T_PROD[[#This Row],[PREVISTO]]-T_PROD[[#This Row],[EFETIVO]] ),"")</f>
        <v>0</v>
      </c>
      <c r="J67" s="15">
        <f>IFERROR(IF(T_PROD[[#This Row],[META]]&gt;0,(T_PROD[[#This Row],[META]]/T_PROD[[#This Row],[PREVISTO]]),""),"")</f>
        <v>16</v>
      </c>
      <c r="K67" s="15">
        <f>IFERROR(IF(T_PROD[[#This Row],[PRODUÇÃO]]&gt;0,(T_PROD[[#This Row],[PRODUÇÃO]]/T_PROD[[#This Row],[EFETIVO]]),""),"")</f>
        <v>12.5</v>
      </c>
    </row>
    <row r="68" spans="1:11" s="6" customFormat="1" x14ac:dyDescent="0.3">
      <c r="A68" s="11">
        <v>46029</v>
      </c>
      <c r="B68" s="12" t="str">
        <f t="shared" si="2"/>
        <v>JANEIRO</v>
      </c>
      <c r="C68" s="6" t="s">
        <v>18</v>
      </c>
      <c r="D68" s="12" t="s">
        <v>12</v>
      </c>
      <c r="E68" s="13">
        <v>100</v>
      </c>
      <c r="F68" s="13">
        <v>0</v>
      </c>
      <c r="G68" s="12">
        <v>3</v>
      </c>
      <c r="H68" s="12">
        <v>3</v>
      </c>
      <c r="I68" s="12">
        <f>IFERROR(IF(T_PROD[[#This Row],[PREVISTO]]-T_PROD[[#This Row],[EFETIVO]]&lt; 0,0,T_PROD[[#This Row],[PREVISTO]]-T_PROD[[#This Row],[EFETIVO]] ),"")</f>
        <v>0</v>
      </c>
      <c r="J68" s="15">
        <f>IFERROR(IF(T_PROD[[#This Row],[META]]&gt;0,(T_PROD[[#This Row],[META]]/T_PROD[[#This Row],[PREVISTO]]),""),"")</f>
        <v>33.333333333333336</v>
      </c>
      <c r="K68" s="15" t="str">
        <f>IFERROR(IF(T_PROD[[#This Row],[PRODUÇÃO]]&gt;0,(T_PROD[[#This Row],[PRODUÇÃO]]/T_PROD[[#This Row],[EFETIVO]]),""),"")</f>
        <v/>
      </c>
    </row>
    <row r="69" spans="1:11" s="6" customFormat="1" x14ac:dyDescent="0.3">
      <c r="A69" s="11">
        <v>46029</v>
      </c>
      <c r="B69" s="12" t="str">
        <f t="shared" si="2"/>
        <v>JANEIRO</v>
      </c>
      <c r="C69" s="6" t="s">
        <v>19</v>
      </c>
      <c r="D69" s="12" t="s">
        <v>12</v>
      </c>
      <c r="E69" s="13">
        <v>100</v>
      </c>
      <c r="F69" s="13">
        <v>96</v>
      </c>
      <c r="G69" s="12">
        <v>11</v>
      </c>
      <c r="H69" s="12">
        <v>11</v>
      </c>
      <c r="I69" s="12">
        <f>IFERROR(IF(T_PROD[[#This Row],[PREVISTO]]-T_PROD[[#This Row],[EFETIVO]]&lt; 0,0,T_PROD[[#This Row],[PREVISTO]]-T_PROD[[#This Row],[EFETIVO]] ),"")</f>
        <v>0</v>
      </c>
      <c r="J69" s="15">
        <f>IFERROR(IF(T_PROD[[#This Row],[META]]&gt;0,(T_PROD[[#This Row],[META]]/T_PROD[[#This Row],[PREVISTO]]),""),"")</f>
        <v>9.0909090909090917</v>
      </c>
      <c r="K69" s="15">
        <f>IFERROR(IF(T_PROD[[#This Row],[PRODUÇÃO]]&gt;0,(T_PROD[[#This Row],[PRODUÇÃO]]/T_PROD[[#This Row],[EFETIVO]]),""),"")</f>
        <v>8.7272727272727266</v>
      </c>
    </row>
    <row r="70" spans="1:11" s="6" customFormat="1" x14ac:dyDescent="0.3">
      <c r="A70" s="11">
        <v>46029</v>
      </c>
      <c r="B70" s="12" t="str">
        <f t="shared" si="2"/>
        <v>JANEIRO</v>
      </c>
      <c r="C70" s="6" t="s">
        <v>20</v>
      </c>
      <c r="D70" s="12" t="s">
        <v>12</v>
      </c>
      <c r="E70" s="13">
        <v>486</v>
      </c>
      <c r="F70" s="13">
        <v>340</v>
      </c>
      <c r="G70" s="12">
        <v>87</v>
      </c>
      <c r="H70" s="12">
        <v>87</v>
      </c>
      <c r="I70" s="12">
        <f>IFERROR(IF(T_PROD[[#This Row],[PREVISTO]]-T_PROD[[#This Row],[EFETIVO]]&lt; 0,0,T_PROD[[#This Row],[PREVISTO]]-T_PROD[[#This Row],[EFETIVO]] ),"")</f>
        <v>0</v>
      </c>
      <c r="J70" s="15">
        <f>IFERROR(IF(T_PROD[[#This Row],[META]]&gt;0,(T_PROD[[#This Row],[META]]/T_PROD[[#This Row],[PREVISTO]]),""),"")</f>
        <v>5.5862068965517242</v>
      </c>
      <c r="K70" s="15">
        <f>IFERROR(IF(T_PROD[[#This Row],[PRODUÇÃO]]&gt;0,(T_PROD[[#This Row],[PRODUÇÃO]]/T_PROD[[#This Row],[EFETIVO]]),""),"")</f>
        <v>3.9080459770114944</v>
      </c>
    </row>
    <row r="71" spans="1:11" s="6" customFormat="1" x14ac:dyDescent="0.3">
      <c r="A71" s="11">
        <v>46030</v>
      </c>
      <c r="B71" s="12" t="str">
        <f t="shared" ref="B71:B76" si="3">UPPER(TEXT(A71,"MMMM"))</f>
        <v>JANEIRO</v>
      </c>
      <c r="C71" s="12" t="s">
        <v>15</v>
      </c>
      <c r="D71" s="12" t="s">
        <v>12</v>
      </c>
      <c r="E71" s="13">
        <v>60</v>
      </c>
      <c r="F71" s="13">
        <v>73</v>
      </c>
      <c r="G71" s="12">
        <v>4</v>
      </c>
      <c r="H71" s="12">
        <v>4</v>
      </c>
      <c r="I71" s="12">
        <f>IFERROR(IF(T_PROD[[#This Row],[PREVISTO]]-T_PROD[[#This Row],[EFETIVO]]&lt; 0,0,T_PROD[[#This Row],[PREVISTO]]-T_PROD[[#This Row],[EFETIVO]] ),"")</f>
        <v>0</v>
      </c>
      <c r="J71" s="15">
        <f>IFERROR(IF(T_PROD[[#This Row],[META]]&gt;0,(T_PROD[[#This Row],[META]]/T_PROD[[#This Row],[PREVISTO]]),""),"")</f>
        <v>15</v>
      </c>
      <c r="K71" s="15">
        <f>IFERROR(IF(T_PROD[[#This Row],[PRODUÇÃO]]&gt;0,(T_PROD[[#This Row],[PRODUÇÃO]]/T_PROD[[#This Row],[EFETIVO]]),""),"")</f>
        <v>18.25</v>
      </c>
    </row>
    <row r="72" spans="1:11" s="6" customFormat="1" x14ac:dyDescent="0.3">
      <c r="A72" s="11">
        <v>46030</v>
      </c>
      <c r="B72" s="12" t="str">
        <f t="shared" si="3"/>
        <v>JANEIRO</v>
      </c>
      <c r="C72" s="12" t="s">
        <v>16</v>
      </c>
      <c r="D72" s="12" t="s">
        <v>12</v>
      </c>
      <c r="E72" s="13">
        <v>204</v>
      </c>
      <c r="F72" s="13">
        <v>195</v>
      </c>
      <c r="G72" s="12">
        <v>6</v>
      </c>
      <c r="H72" s="12">
        <v>7</v>
      </c>
      <c r="I72" s="12">
        <f>IFERROR(IF(T_PROD[[#This Row],[PREVISTO]]-T_PROD[[#This Row],[EFETIVO]]&lt; 0,0,T_PROD[[#This Row],[PREVISTO]]-T_PROD[[#This Row],[EFETIVO]] ),"")</f>
        <v>0</v>
      </c>
      <c r="J72" s="15">
        <f>IFERROR(IF(T_PROD[[#This Row],[META]]&gt;0,(T_PROD[[#This Row],[META]]/T_PROD[[#This Row],[PREVISTO]]),""),"")</f>
        <v>34</v>
      </c>
      <c r="K72" s="15">
        <f>IFERROR(IF(T_PROD[[#This Row],[PRODUÇÃO]]&gt;0,(T_PROD[[#This Row],[PRODUÇÃO]]/T_PROD[[#This Row],[EFETIVO]]),""),"")</f>
        <v>27.857142857142858</v>
      </c>
    </row>
    <row r="73" spans="1:11" s="6" customFormat="1" x14ac:dyDescent="0.3">
      <c r="A73" s="11">
        <v>46030</v>
      </c>
      <c r="B73" s="12" t="str">
        <f t="shared" si="3"/>
        <v>JANEIRO</v>
      </c>
      <c r="C73" s="12" t="s">
        <v>17</v>
      </c>
      <c r="D73" s="12" t="s">
        <v>12</v>
      </c>
      <c r="E73" s="13">
        <v>32</v>
      </c>
      <c r="F73" s="13">
        <v>0</v>
      </c>
      <c r="G73" s="12">
        <v>2</v>
      </c>
      <c r="H73" s="12">
        <v>2</v>
      </c>
      <c r="I73" s="12">
        <f>IFERROR(IF(T_PROD[[#This Row],[PREVISTO]]-T_PROD[[#This Row],[EFETIVO]]&lt; 0,0,T_PROD[[#This Row],[PREVISTO]]-T_PROD[[#This Row],[EFETIVO]] ),"")</f>
        <v>0</v>
      </c>
      <c r="J73" s="15">
        <f>IFERROR(IF(T_PROD[[#This Row],[META]]&gt;0,(T_PROD[[#This Row],[META]]/T_PROD[[#This Row],[PREVISTO]]),""),"")</f>
        <v>16</v>
      </c>
      <c r="K73" s="15" t="str">
        <f>IFERROR(IF(T_PROD[[#This Row],[PRODUÇÃO]]&gt;0,(T_PROD[[#This Row],[PRODUÇÃO]]/T_PROD[[#This Row],[EFETIVO]]),""),"")</f>
        <v/>
      </c>
    </row>
    <row r="74" spans="1:11" s="6" customFormat="1" x14ac:dyDescent="0.3">
      <c r="A74" s="11">
        <v>46030</v>
      </c>
      <c r="B74" s="12" t="str">
        <f t="shared" si="3"/>
        <v>JANEIRO</v>
      </c>
      <c r="C74" s="12" t="s">
        <v>18</v>
      </c>
      <c r="D74" s="12" t="s">
        <v>12</v>
      </c>
      <c r="E74" s="13">
        <v>100</v>
      </c>
      <c r="F74" s="13">
        <v>0</v>
      </c>
      <c r="G74" s="12">
        <v>3</v>
      </c>
      <c r="H74" s="12">
        <v>3</v>
      </c>
      <c r="I74" s="12">
        <f>IFERROR(IF(T_PROD[[#This Row],[PREVISTO]]-T_PROD[[#This Row],[EFETIVO]]&lt; 0,0,T_PROD[[#This Row],[PREVISTO]]-T_PROD[[#This Row],[EFETIVO]] ),"")</f>
        <v>0</v>
      </c>
      <c r="J74" s="15">
        <f>IFERROR(IF(T_PROD[[#This Row],[META]]&gt;0,(T_PROD[[#This Row],[META]]/T_PROD[[#This Row],[PREVISTO]]),""),"")</f>
        <v>33.333333333333336</v>
      </c>
      <c r="K74" s="15" t="str">
        <f>IFERROR(IF(T_PROD[[#This Row],[PRODUÇÃO]]&gt;0,(T_PROD[[#This Row],[PRODUÇÃO]]/T_PROD[[#This Row],[EFETIVO]]),""),"")</f>
        <v/>
      </c>
    </row>
    <row r="75" spans="1:11" s="6" customFormat="1" x14ac:dyDescent="0.3">
      <c r="A75" s="11">
        <v>46030</v>
      </c>
      <c r="B75" s="12" t="str">
        <f t="shared" si="3"/>
        <v>JANEIRO</v>
      </c>
      <c r="C75" s="12" t="s">
        <v>19</v>
      </c>
      <c r="D75" s="12" t="s">
        <v>12</v>
      </c>
      <c r="E75" s="13">
        <v>100</v>
      </c>
      <c r="F75" s="13">
        <v>76</v>
      </c>
      <c r="G75" s="12">
        <v>11</v>
      </c>
      <c r="H75" s="12">
        <v>11</v>
      </c>
      <c r="I75" s="12">
        <f>IFERROR(IF(T_PROD[[#This Row],[PREVISTO]]-T_PROD[[#This Row],[EFETIVO]]&lt; 0,0,T_PROD[[#This Row],[PREVISTO]]-T_PROD[[#This Row],[EFETIVO]] ),"")</f>
        <v>0</v>
      </c>
      <c r="J75" s="15">
        <f>IFERROR(IF(T_PROD[[#This Row],[META]]&gt;0,(T_PROD[[#This Row],[META]]/T_PROD[[#This Row],[PREVISTO]]),""),"")</f>
        <v>9.0909090909090917</v>
      </c>
      <c r="K75" s="15">
        <f>IFERROR(IF(T_PROD[[#This Row],[PRODUÇÃO]]&gt;0,(T_PROD[[#This Row],[PRODUÇÃO]]/T_PROD[[#This Row],[EFETIVO]]),""),"")</f>
        <v>6.9090909090909092</v>
      </c>
    </row>
    <row r="76" spans="1:11" s="6" customFormat="1" x14ac:dyDescent="0.3">
      <c r="A76" s="11">
        <v>46030</v>
      </c>
      <c r="B76" s="12" t="str">
        <f t="shared" si="3"/>
        <v>JANEIRO</v>
      </c>
      <c r="C76" s="12" t="s">
        <v>20</v>
      </c>
      <c r="D76" s="12" t="s">
        <v>12</v>
      </c>
      <c r="E76" s="13">
        <v>486</v>
      </c>
      <c r="F76" s="13">
        <v>344</v>
      </c>
      <c r="G76" s="12">
        <v>87</v>
      </c>
      <c r="H76" s="12">
        <v>87</v>
      </c>
      <c r="I76" s="12">
        <f>IFERROR(IF(T_PROD[[#This Row],[PREVISTO]]-T_PROD[[#This Row],[EFETIVO]]&lt; 0,0,T_PROD[[#This Row],[PREVISTO]]-T_PROD[[#This Row],[EFETIVO]] ),"")</f>
        <v>0</v>
      </c>
      <c r="J76" s="15">
        <f>IFERROR(IF(T_PROD[[#This Row],[META]]&gt;0,(T_PROD[[#This Row],[META]]/T_PROD[[#This Row],[PREVISTO]]),""),"")</f>
        <v>5.5862068965517242</v>
      </c>
      <c r="K76" s="15">
        <f>IFERROR(IF(T_PROD[[#This Row],[PRODUÇÃO]]&gt;0,(T_PROD[[#This Row],[PRODUÇÃO]]/T_PROD[[#This Row],[EFETIVO]]),""),"")</f>
        <v>3.9540229885057472</v>
      </c>
    </row>
    <row r="77" spans="1:11" s="6" customFormat="1" x14ac:dyDescent="0.3">
      <c r="A77" s="11">
        <v>46031</v>
      </c>
      <c r="B77" s="12" t="str">
        <f t="shared" ref="B77:B82" si="4">UPPER(TEXT(A77,"MMMM"))</f>
        <v>JANEIRO</v>
      </c>
      <c r="C77" s="12" t="s">
        <v>15</v>
      </c>
      <c r="D77" s="12" t="s">
        <v>12</v>
      </c>
      <c r="E77" s="13">
        <v>60</v>
      </c>
      <c r="F77" s="13">
        <v>40</v>
      </c>
      <c r="G77" s="12">
        <v>4</v>
      </c>
      <c r="H77" s="12">
        <v>4</v>
      </c>
      <c r="I77" s="12">
        <f>IFERROR(IF(T_PROD[[#This Row],[PREVISTO]]-T_PROD[[#This Row],[EFETIVO]]&lt; 0,0,T_PROD[[#This Row],[PREVISTO]]-T_PROD[[#This Row],[EFETIVO]] ),"")</f>
        <v>0</v>
      </c>
      <c r="J77" s="15">
        <f>IFERROR(IF(T_PROD[[#This Row],[META]]&gt;0,(T_PROD[[#This Row],[META]]/T_PROD[[#This Row],[PREVISTO]]),""),"")</f>
        <v>15</v>
      </c>
      <c r="K77" s="15">
        <f>IFERROR(IF(T_PROD[[#This Row],[PRODUÇÃO]]&gt;0,(T_PROD[[#This Row],[PRODUÇÃO]]/T_PROD[[#This Row],[EFETIVO]]),""),"")</f>
        <v>10</v>
      </c>
    </row>
    <row r="78" spans="1:11" s="6" customFormat="1" x14ac:dyDescent="0.3">
      <c r="A78" s="11">
        <v>46031</v>
      </c>
      <c r="B78" s="12" t="str">
        <f t="shared" si="4"/>
        <v>JANEIRO</v>
      </c>
      <c r="C78" s="12" t="s">
        <v>16</v>
      </c>
      <c r="D78" s="12" t="s">
        <v>12</v>
      </c>
      <c r="E78" s="13">
        <v>204</v>
      </c>
      <c r="F78" s="13">
        <v>146</v>
      </c>
      <c r="G78" s="12">
        <v>6</v>
      </c>
      <c r="H78" s="12">
        <v>7</v>
      </c>
      <c r="I78" s="12">
        <f>IFERROR(IF(T_PROD[[#This Row],[PREVISTO]]-T_PROD[[#This Row],[EFETIVO]]&lt; 0,0,T_PROD[[#This Row],[PREVISTO]]-T_PROD[[#This Row],[EFETIVO]] ),"")</f>
        <v>0</v>
      </c>
      <c r="J78" s="15">
        <f>IFERROR(IF(T_PROD[[#This Row],[META]]&gt;0,(T_PROD[[#This Row],[META]]/T_PROD[[#This Row],[PREVISTO]]),""),"")</f>
        <v>34</v>
      </c>
      <c r="K78" s="15">
        <f>IFERROR(IF(T_PROD[[#This Row],[PRODUÇÃO]]&gt;0,(T_PROD[[#This Row],[PRODUÇÃO]]/T_PROD[[#This Row],[EFETIVO]]),""),"")</f>
        <v>20.857142857142858</v>
      </c>
    </row>
    <row r="79" spans="1:11" s="6" customFormat="1" x14ac:dyDescent="0.3">
      <c r="A79" s="11">
        <v>46031</v>
      </c>
      <c r="B79" s="12" t="str">
        <f t="shared" si="4"/>
        <v>JANEIRO</v>
      </c>
      <c r="C79" s="12" t="s">
        <v>17</v>
      </c>
      <c r="D79" s="12" t="s">
        <v>12</v>
      </c>
      <c r="E79" s="13">
        <v>32</v>
      </c>
      <c r="F79" s="13">
        <v>0</v>
      </c>
      <c r="G79" s="12">
        <v>2</v>
      </c>
      <c r="H79" s="12">
        <v>2</v>
      </c>
      <c r="I79" s="12">
        <f>IFERROR(IF(T_PROD[[#This Row],[PREVISTO]]-T_PROD[[#This Row],[EFETIVO]]&lt; 0,0,T_PROD[[#This Row],[PREVISTO]]-T_PROD[[#This Row],[EFETIVO]] ),"")</f>
        <v>0</v>
      </c>
      <c r="J79" s="15">
        <f>IFERROR(IF(T_PROD[[#This Row],[META]]&gt;0,(T_PROD[[#This Row],[META]]/T_PROD[[#This Row],[PREVISTO]]),""),"")</f>
        <v>16</v>
      </c>
      <c r="K79" s="15" t="str">
        <f>IFERROR(IF(T_PROD[[#This Row],[PRODUÇÃO]]&gt;0,(T_PROD[[#This Row],[PRODUÇÃO]]/T_PROD[[#This Row],[EFETIVO]]),""),"")</f>
        <v/>
      </c>
    </row>
    <row r="80" spans="1:11" s="6" customFormat="1" x14ac:dyDescent="0.3">
      <c r="A80" s="11">
        <v>46031</v>
      </c>
      <c r="B80" s="12" t="str">
        <f t="shared" si="4"/>
        <v>JANEIRO</v>
      </c>
      <c r="C80" s="12" t="s">
        <v>18</v>
      </c>
      <c r="D80" s="12" t="s">
        <v>12</v>
      </c>
      <c r="E80" s="13">
        <v>100</v>
      </c>
      <c r="F80" s="13">
        <v>0</v>
      </c>
      <c r="G80" s="12">
        <v>3</v>
      </c>
      <c r="H80" s="12">
        <v>3</v>
      </c>
      <c r="I80" s="12">
        <f>IFERROR(IF(T_PROD[[#This Row],[PREVISTO]]-T_PROD[[#This Row],[EFETIVO]]&lt; 0,0,T_PROD[[#This Row],[PREVISTO]]-T_PROD[[#This Row],[EFETIVO]] ),"")</f>
        <v>0</v>
      </c>
      <c r="J80" s="15">
        <f>IFERROR(IF(T_PROD[[#This Row],[META]]&gt;0,(T_PROD[[#This Row],[META]]/T_PROD[[#This Row],[PREVISTO]]),""),"")</f>
        <v>33.333333333333336</v>
      </c>
      <c r="K80" s="15" t="str">
        <f>IFERROR(IF(T_PROD[[#This Row],[PRODUÇÃO]]&gt;0,(T_PROD[[#This Row],[PRODUÇÃO]]/T_PROD[[#This Row],[EFETIVO]]),""),"")</f>
        <v/>
      </c>
    </row>
    <row r="81" spans="1:11" s="6" customFormat="1" x14ac:dyDescent="0.3">
      <c r="A81" s="11">
        <v>46031</v>
      </c>
      <c r="B81" s="12" t="str">
        <f t="shared" si="4"/>
        <v>JANEIRO</v>
      </c>
      <c r="C81" s="12" t="s">
        <v>19</v>
      </c>
      <c r="D81" s="12" t="s">
        <v>12</v>
      </c>
      <c r="E81" s="13">
        <v>100</v>
      </c>
      <c r="F81" s="13">
        <v>42</v>
      </c>
      <c r="G81" s="12">
        <v>11</v>
      </c>
      <c r="H81" s="12">
        <v>11</v>
      </c>
      <c r="I81" s="12">
        <f>IFERROR(IF(T_PROD[[#This Row],[PREVISTO]]-T_PROD[[#This Row],[EFETIVO]]&lt; 0,0,T_PROD[[#This Row],[PREVISTO]]-T_PROD[[#This Row],[EFETIVO]] ),"")</f>
        <v>0</v>
      </c>
      <c r="J81" s="15">
        <f>IFERROR(IF(T_PROD[[#This Row],[META]]&gt;0,(T_PROD[[#This Row],[META]]/T_PROD[[#This Row],[PREVISTO]]),""),"")</f>
        <v>9.0909090909090917</v>
      </c>
      <c r="K81" s="15">
        <f>IFERROR(IF(T_PROD[[#This Row],[PRODUÇÃO]]&gt;0,(T_PROD[[#This Row],[PRODUÇÃO]]/T_PROD[[#This Row],[EFETIVO]]),""),"")</f>
        <v>3.8181818181818183</v>
      </c>
    </row>
    <row r="82" spans="1:11" s="6" customFormat="1" x14ac:dyDescent="0.3">
      <c r="A82" s="11">
        <v>46031</v>
      </c>
      <c r="B82" s="12" t="str">
        <f t="shared" si="4"/>
        <v>JANEIRO</v>
      </c>
      <c r="C82" s="12" t="s">
        <v>20</v>
      </c>
      <c r="D82" s="12" t="s">
        <v>12</v>
      </c>
      <c r="E82" s="13">
        <v>486</v>
      </c>
      <c r="F82" s="13">
        <v>228</v>
      </c>
      <c r="G82" s="12">
        <v>87</v>
      </c>
      <c r="H82" s="12">
        <v>87</v>
      </c>
      <c r="I82" s="12">
        <f>IFERROR(IF(T_PROD[[#This Row],[PREVISTO]]-T_PROD[[#This Row],[EFETIVO]]&lt; 0,0,T_PROD[[#This Row],[PREVISTO]]-T_PROD[[#This Row],[EFETIVO]] ),"")</f>
        <v>0</v>
      </c>
      <c r="J82" s="15">
        <f>IFERROR(IF(T_PROD[[#This Row],[META]]&gt;0,(T_PROD[[#This Row],[META]]/T_PROD[[#This Row],[PREVISTO]]),""),"")</f>
        <v>5.5862068965517242</v>
      </c>
      <c r="K82" s="15">
        <f>IFERROR(IF(T_PROD[[#This Row],[PRODUÇÃO]]&gt;0,(T_PROD[[#This Row],[PRODUÇÃO]]/T_PROD[[#This Row],[EFETIVO]]),""),"")</f>
        <v>2.6206896551724137</v>
      </c>
    </row>
    <row r="83" spans="1:11" s="6" customFormat="1" x14ac:dyDescent="0.3">
      <c r="A83" s="11">
        <v>46034</v>
      </c>
      <c r="B83" s="12" t="str">
        <f t="shared" ref="B83:B88" si="5">UPPER(TEXT(A83,"MMMM"))</f>
        <v>JANEIRO</v>
      </c>
      <c r="C83" s="12" t="s">
        <v>15</v>
      </c>
      <c r="D83" s="12" t="s">
        <v>12</v>
      </c>
      <c r="E83" s="13">
        <v>60</v>
      </c>
      <c r="F83" s="13">
        <v>28</v>
      </c>
      <c r="G83" s="12">
        <v>4</v>
      </c>
      <c r="H83" s="12">
        <v>4</v>
      </c>
      <c r="I83" s="12">
        <f>IFERROR(IF(T_PROD[[#This Row],[PREVISTO]]-T_PROD[[#This Row],[EFETIVO]]&lt; 0,0,T_PROD[[#This Row],[PREVISTO]]-T_PROD[[#This Row],[EFETIVO]] ),"")</f>
        <v>0</v>
      </c>
      <c r="J83" s="15">
        <f>IFERROR(IF(T_PROD[[#This Row],[META]]&gt;0,(T_PROD[[#This Row],[META]]/T_PROD[[#This Row],[PREVISTO]]),""),"")</f>
        <v>15</v>
      </c>
      <c r="K83" s="15">
        <f>IFERROR(IF(T_PROD[[#This Row],[PRODUÇÃO]]&gt;0,(T_PROD[[#This Row],[PRODUÇÃO]]/T_PROD[[#This Row],[EFETIVO]]),""),"")</f>
        <v>7</v>
      </c>
    </row>
    <row r="84" spans="1:11" s="6" customFormat="1" x14ac:dyDescent="0.3">
      <c r="A84" s="11">
        <v>46034</v>
      </c>
      <c r="B84" s="12" t="str">
        <f t="shared" si="5"/>
        <v>JANEIRO</v>
      </c>
      <c r="C84" s="12" t="s">
        <v>16</v>
      </c>
      <c r="D84" s="12" t="s">
        <v>12</v>
      </c>
      <c r="E84" s="13">
        <v>204</v>
      </c>
      <c r="F84" s="13">
        <v>216</v>
      </c>
      <c r="G84" s="12">
        <v>6</v>
      </c>
      <c r="H84" s="12">
        <v>7</v>
      </c>
      <c r="I84" s="12">
        <f>IFERROR(IF(T_PROD[[#This Row],[PREVISTO]]-T_PROD[[#This Row],[EFETIVO]]&lt; 0,0,T_PROD[[#This Row],[PREVISTO]]-T_PROD[[#This Row],[EFETIVO]] ),"")</f>
        <v>0</v>
      </c>
      <c r="J84" s="15">
        <f>IFERROR(IF(T_PROD[[#This Row],[META]]&gt;0,(T_PROD[[#This Row],[META]]/T_PROD[[#This Row],[PREVISTO]]),""),"")</f>
        <v>34</v>
      </c>
      <c r="K84" s="15">
        <f>IFERROR(IF(T_PROD[[#This Row],[PRODUÇÃO]]&gt;0,(T_PROD[[#This Row],[PRODUÇÃO]]/T_PROD[[#This Row],[EFETIVO]]),""),"")</f>
        <v>30.857142857142858</v>
      </c>
    </row>
    <row r="85" spans="1:11" s="6" customFormat="1" x14ac:dyDescent="0.3">
      <c r="A85" s="11">
        <v>46034</v>
      </c>
      <c r="B85" s="12" t="str">
        <f t="shared" si="5"/>
        <v>JANEIRO</v>
      </c>
      <c r="C85" s="12" t="s">
        <v>17</v>
      </c>
      <c r="D85" s="12" t="s">
        <v>12</v>
      </c>
      <c r="E85" s="13">
        <v>32</v>
      </c>
      <c r="F85" s="13">
        <v>0</v>
      </c>
      <c r="G85" s="12">
        <v>2</v>
      </c>
      <c r="H85" s="12">
        <v>2</v>
      </c>
      <c r="I85" s="12">
        <f>IFERROR(IF(T_PROD[[#This Row],[PREVISTO]]-T_PROD[[#This Row],[EFETIVO]]&lt; 0,0,T_PROD[[#This Row],[PREVISTO]]-T_PROD[[#This Row],[EFETIVO]] ),"")</f>
        <v>0</v>
      </c>
      <c r="J85" s="15">
        <f>IFERROR(IF(T_PROD[[#This Row],[META]]&gt;0,(T_PROD[[#This Row],[META]]/T_PROD[[#This Row],[PREVISTO]]),""),"")</f>
        <v>16</v>
      </c>
      <c r="K85" s="15" t="str">
        <f>IFERROR(IF(T_PROD[[#This Row],[PRODUÇÃO]]&gt;0,(T_PROD[[#This Row],[PRODUÇÃO]]/T_PROD[[#This Row],[EFETIVO]]),""),"")</f>
        <v/>
      </c>
    </row>
    <row r="86" spans="1:11" s="6" customFormat="1" x14ac:dyDescent="0.3">
      <c r="A86" s="11">
        <v>46034</v>
      </c>
      <c r="B86" s="12" t="str">
        <f t="shared" si="5"/>
        <v>JANEIRO</v>
      </c>
      <c r="C86" s="12" t="s">
        <v>18</v>
      </c>
      <c r="D86" s="12" t="s">
        <v>12</v>
      </c>
      <c r="E86" s="13">
        <v>100</v>
      </c>
      <c r="F86" s="13">
        <v>0</v>
      </c>
      <c r="G86" s="12">
        <v>3</v>
      </c>
      <c r="H86" s="12">
        <v>3</v>
      </c>
      <c r="I86" s="12">
        <f>IFERROR(IF(T_PROD[[#This Row],[PREVISTO]]-T_PROD[[#This Row],[EFETIVO]]&lt; 0,0,T_PROD[[#This Row],[PREVISTO]]-T_PROD[[#This Row],[EFETIVO]] ),"")</f>
        <v>0</v>
      </c>
      <c r="J86" s="15">
        <f>IFERROR(IF(T_PROD[[#This Row],[META]]&gt;0,(T_PROD[[#This Row],[META]]/T_PROD[[#This Row],[PREVISTO]]),""),"")</f>
        <v>33.333333333333336</v>
      </c>
      <c r="K86" s="15" t="str">
        <f>IFERROR(IF(T_PROD[[#This Row],[PRODUÇÃO]]&gt;0,(T_PROD[[#This Row],[PRODUÇÃO]]/T_PROD[[#This Row],[EFETIVO]]),""),"")</f>
        <v/>
      </c>
    </row>
    <row r="87" spans="1:11" s="6" customFormat="1" x14ac:dyDescent="0.3">
      <c r="A87" s="11">
        <v>46034</v>
      </c>
      <c r="B87" s="12" t="str">
        <f t="shared" si="5"/>
        <v>JANEIRO</v>
      </c>
      <c r="C87" s="12" t="s">
        <v>19</v>
      </c>
      <c r="D87" s="12" t="s">
        <v>12</v>
      </c>
      <c r="E87" s="13">
        <v>100</v>
      </c>
      <c r="F87" s="13">
        <v>71</v>
      </c>
      <c r="G87" s="12">
        <v>11</v>
      </c>
      <c r="H87" s="12">
        <v>11</v>
      </c>
      <c r="I87" s="12">
        <f>IFERROR(IF(T_PROD[[#This Row],[PREVISTO]]-T_PROD[[#This Row],[EFETIVO]]&lt; 0,0,T_PROD[[#This Row],[PREVISTO]]-T_PROD[[#This Row],[EFETIVO]] ),"")</f>
        <v>0</v>
      </c>
      <c r="J87" s="15">
        <f>IFERROR(IF(T_PROD[[#This Row],[META]]&gt;0,(T_PROD[[#This Row],[META]]/T_PROD[[#This Row],[PREVISTO]]),""),"")</f>
        <v>9.0909090909090917</v>
      </c>
      <c r="K87" s="15">
        <f>IFERROR(IF(T_PROD[[#This Row],[PRODUÇÃO]]&gt;0,(T_PROD[[#This Row],[PRODUÇÃO]]/T_PROD[[#This Row],[EFETIVO]]),""),"")</f>
        <v>6.4545454545454541</v>
      </c>
    </row>
    <row r="88" spans="1:11" s="6" customFormat="1" x14ac:dyDescent="0.3">
      <c r="A88" s="11">
        <v>46034</v>
      </c>
      <c r="B88" s="12" t="str">
        <f t="shared" si="5"/>
        <v>JANEIRO</v>
      </c>
      <c r="C88" s="12" t="s">
        <v>20</v>
      </c>
      <c r="D88" s="12" t="s">
        <v>12</v>
      </c>
      <c r="E88" s="13">
        <v>486</v>
      </c>
      <c r="F88" s="13">
        <v>315</v>
      </c>
      <c r="G88" s="12">
        <v>87</v>
      </c>
      <c r="H88" s="12">
        <v>87</v>
      </c>
      <c r="I88" s="12">
        <f>IFERROR(IF(T_PROD[[#This Row],[PREVISTO]]-T_PROD[[#This Row],[EFETIVO]]&lt; 0,0,T_PROD[[#This Row],[PREVISTO]]-T_PROD[[#This Row],[EFETIVO]] ),"")</f>
        <v>0</v>
      </c>
      <c r="J88" s="15">
        <f>IFERROR(IF(T_PROD[[#This Row],[META]]&gt;0,(T_PROD[[#This Row],[META]]/T_PROD[[#This Row],[PREVISTO]]),""),"")</f>
        <v>5.5862068965517242</v>
      </c>
      <c r="K88" s="15">
        <f>IFERROR(IF(T_PROD[[#This Row],[PRODUÇÃO]]&gt;0,(T_PROD[[#This Row],[PRODUÇÃO]]/T_PROD[[#This Row],[EFETIVO]]),""),"")</f>
        <v>3.6206896551724137</v>
      </c>
    </row>
    <row r="89" spans="1:11" s="6" customFormat="1" x14ac:dyDescent="0.3">
      <c r="A89" s="11">
        <v>46035</v>
      </c>
      <c r="B89" s="12" t="str">
        <f t="shared" ref="B89:B94" si="6">UPPER(TEXT(A89,"MMMM"))</f>
        <v>JANEIRO</v>
      </c>
      <c r="C89" s="12" t="s">
        <v>15</v>
      </c>
      <c r="D89" s="12" t="s">
        <v>12</v>
      </c>
      <c r="E89" s="13">
        <v>60</v>
      </c>
      <c r="F89" s="13">
        <v>60</v>
      </c>
      <c r="G89" s="12">
        <v>4</v>
      </c>
      <c r="H89" s="12">
        <v>4</v>
      </c>
      <c r="I89" s="12">
        <f>IFERROR(IF(T_PROD[[#This Row],[PREVISTO]]-T_PROD[[#This Row],[EFETIVO]]&lt; 0,0,T_PROD[[#This Row],[PREVISTO]]-T_PROD[[#This Row],[EFETIVO]] ),"")</f>
        <v>0</v>
      </c>
      <c r="J89" s="15">
        <f>IFERROR(IF(T_PROD[[#This Row],[META]]&gt;0,(T_PROD[[#This Row],[META]]/T_PROD[[#This Row],[PREVISTO]]),""),"")</f>
        <v>15</v>
      </c>
      <c r="K89" s="15">
        <f>IFERROR(IF(T_PROD[[#This Row],[PRODUÇÃO]]&gt;0,(T_PROD[[#This Row],[PRODUÇÃO]]/T_PROD[[#This Row],[EFETIVO]]),""),"")</f>
        <v>15</v>
      </c>
    </row>
    <row r="90" spans="1:11" s="6" customFormat="1" x14ac:dyDescent="0.3">
      <c r="A90" s="11">
        <v>46035</v>
      </c>
      <c r="B90" s="12" t="str">
        <f t="shared" si="6"/>
        <v>JANEIRO</v>
      </c>
      <c r="C90" s="12" t="s">
        <v>16</v>
      </c>
      <c r="D90" s="12" t="s">
        <v>12</v>
      </c>
      <c r="E90" s="13">
        <v>204</v>
      </c>
      <c r="F90" s="13">
        <v>155</v>
      </c>
      <c r="G90" s="12">
        <v>6</v>
      </c>
      <c r="H90" s="12">
        <v>7</v>
      </c>
      <c r="I90" s="12">
        <f>IFERROR(IF(T_PROD[[#This Row],[PREVISTO]]-T_PROD[[#This Row],[EFETIVO]]&lt; 0,0,T_PROD[[#This Row],[PREVISTO]]-T_PROD[[#This Row],[EFETIVO]] ),"")</f>
        <v>0</v>
      </c>
      <c r="J90" s="15">
        <f>IFERROR(IF(T_PROD[[#This Row],[META]]&gt;0,(T_PROD[[#This Row],[META]]/T_PROD[[#This Row],[PREVISTO]]),""),"")</f>
        <v>34</v>
      </c>
      <c r="K90" s="15">
        <f>IFERROR(IF(T_PROD[[#This Row],[PRODUÇÃO]]&gt;0,(T_PROD[[#This Row],[PRODUÇÃO]]/T_PROD[[#This Row],[EFETIVO]]),""),"")</f>
        <v>22.142857142857142</v>
      </c>
    </row>
    <row r="91" spans="1:11" s="6" customFormat="1" x14ac:dyDescent="0.3">
      <c r="A91" s="11">
        <v>46035</v>
      </c>
      <c r="B91" s="12" t="str">
        <f t="shared" si="6"/>
        <v>JANEIRO</v>
      </c>
      <c r="C91" s="12" t="s">
        <v>17</v>
      </c>
      <c r="D91" s="12" t="s">
        <v>12</v>
      </c>
      <c r="E91" s="13">
        <v>32</v>
      </c>
      <c r="F91" s="13">
        <v>200</v>
      </c>
      <c r="G91" s="12">
        <v>2</v>
      </c>
      <c r="H91" s="12">
        <v>2</v>
      </c>
      <c r="I91" s="12">
        <f>IFERROR(IF(T_PROD[[#This Row],[PREVISTO]]-T_PROD[[#This Row],[EFETIVO]]&lt; 0,0,T_PROD[[#This Row],[PREVISTO]]-T_PROD[[#This Row],[EFETIVO]] ),"")</f>
        <v>0</v>
      </c>
      <c r="J91" s="15">
        <f>IFERROR(IF(T_PROD[[#This Row],[META]]&gt;0,(T_PROD[[#This Row],[META]]/T_PROD[[#This Row],[PREVISTO]]),""),"")</f>
        <v>16</v>
      </c>
      <c r="K91" s="15">
        <f>IFERROR(IF(T_PROD[[#This Row],[PRODUÇÃO]]&gt;0,(T_PROD[[#This Row],[PRODUÇÃO]]/T_PROD[[#This Row],[EFETIVO]]),""),"")</f>
        <v>100</v>
      </c>
    </row>
    <row r="92" spans="1:11" s="6" customFormat="1" x14ac:dyDescent="0.3">
      <c r="A92" s="11">
        <v>46035</v>
      </c>
      <c r="B92" s="12" t="str">
        <f t="shared" si="6"/>
        <v>JANEIRO</v>
      </c>
      <c r="C92" s="12" t="s">
        <v>18</v>
      </c>
      <c r="D92" s="12" t="s">
        <v>12</v>
      </c>
      <c r="E92" s="13">
        <v>100</v>
      </c>
      <c r="F92" s="13">
        <v>0</v>
      </c>
      <c r="G92" s="12">
        <v>3</v>
      </c>
      <c r="H92" s="12">
        <v>3</v>
      </c>
      <c r="I92" s="12">
        <f>IFERROR(IF(T_PROD[[#This Row],[PREVISTO]]-T_PROD[[#This Row],[EFETIVO]]&lt; 0,0,T_PROD[[#This Row],[PREVISTO]]-T_PROD[[#This Row],[EFETIVO]] ),"")</f>
        <v>0</v>
      </c>
      <c r="J92" s="15">
        <f>IFERROR(IF(T_PROD[[#This Row],[META]]&gt;0,(T_PROD[[#This Row],[META]]/T_PROD[[#This Row],[PREVISTO]]),""),"")</f>
        <v>33.333333333333336</v>
      </c>
      <c r="K92" s="15" t="str">
        <f>IFERROR(IF(T_PROD[[#This Row],[PRODUÇÃO]]&gt;0,(T_PROD[[#This Row],[PRODUÇÃO]]/T_PROD[[#This Row],[EFETIVO]]),""),"")</f>
        <v/>
      </c>
    </row>
    <row r="93" spans="1:11" s="6" customFormat="1" x14ac:dyDescent="0.3">
      <c r="A93" s="11">
        <v>46035</v>
      </c>
      <c r="B93" s="12" t="str">
        <f t="shared" si="6"/>
        <v>JANEIRO</v>
      </c>
      <c r="C93" s="12" t="s">
        <v>19</v>
      </c>
      <c r="D93" s="12" t="s">
        <v>12</v>
      </c>
      <c r="E93" s="13">
        <v>100</v>
      </c>
      <c r="F93" s="13">
        <v>18</v>
      </c>
      <c r="G93" s="12">
        <v>11</v>
      </c>
      <c r="H93" s="12">
        <v>11</v>
      </c>
      <c r="I93" s="12">
        <f>IFERROR(IF(T_PROD[[#This Row],[PREVISTO]]-T_PROD[[#This Row],[EFETIVO]]&lt; 0,0,T_PROD[[#This Row],[PREVISTO]]-T_PROD[[#This Row],[EFETIVO]] ),"")</f>
        <v>0</v>
      </c>
      <c r="J93" s="15">
        <f>IFERROR(IF(T_PROD[[#This Row],[META]]&gt;0,(T_PROD[[#This Row],[META]]/T_PROD[[#This Row],[PREVISTO]]),""),"")</f>
        <v>9.0909090909090917</v>
      </c>
      <c r="K93" s="15">
        <f>IFERROR(IF(T_PROD[[#This Row],[PRODUÇÃO]]&gt;0,(T_PROD[[#This Row],[PRODUÇÃO]]/T_PROD[[#This Row],[EFETIVO]]),""),"")</f>
        <v>1.6363636363636365</v>
      </c>
    </row>
    <row r="94" spans="1:11" s="6" customFormat="1" x14ac:dyDescent="0.3">
      <c r="A94" s="11">
        <v>46035</v>
      </c>
      <c r="B94" s="12" t="str">
        <f t="shared" si="6"/>
        <v>JANEIRO</v>
      </c>
      <c r="C94" s="12" t="s">
        <v>20</v>
      </c>
      <c r="D94" s="12" t="s">
        <v>12</v>
      </c>
      <c r="E94" s="13">
        <v>486</v>
      </c>
      <c r="F94" s="13">
        <v>433</v>
      </c>
      <c r="G94" s="12">
        <v>87</v>
      </c>
      <c r="H94" s="12">
        <v>87</v>
      </c>
      <c r="I94" s="12">
        <f>IFERROR(IF(T_PROD[[#This Row],[PREVISTO]]-T_PROD[[#This Row],[EFETIVO]]&lt; 0,0,T_PROD[[#This Row],[PREVISTO]]-T_PROD[[#This Row],[EFETIVO]] ),"")</f>
        <v>0</v>
      </c>
      <c r="J94" s="15">
        <f>IFERROR(IF(T_PROD[[#This Row],[META]]&gt;0,(T_PROD[[#This Row],[META]]/T_PROD[[#This Row],[PREVISTO]]),""),"")</f>
        <v>5.5862068965517242</v>
      </c>
      <c r="K94" s="15">
        <f>IFERROR(IF(T_PROD[[#This Row],[PRODUÇÃO]]&gt;0,(T_PROD[[#This Row],[PRODUÇÃO]]/T_PROD[[#This Row],[EFETIVO]]),""),"")</f>
        <v>4.9770114942528734</v>
      </c>
    </row>
    <row r="95" spans="1:11" s="6" customFormat="1" x14ac:dyDescent="0.3">
      <c r="A95" s="11">
        <v>46036</v>
      </c>
      <c r="B95" s="12" t="str">
        <f t="shared" ref="B95:B100" si="7">UPPER(TEXT(A95,"MMMM"))</f>
        <v>JANEIRO</v>
      </c>
      <c r="C95" s="12" t="s">
        <v>15</v>
      </c>
      <c r="D95" s="12" t="s">
        <v>12</v>
      </c>
      <c r="E95" s="13">
        <v>60</v>
      </c>
      <c r="F95" s="13">
        <v>30</v>
      </c>
      <c r="G95" s="12">
        <v>4</v>
      </c>
      <c r="H95" s="12">
        <v>4</v>
      </c>
      <c r="I95" s="12">
        <f>IFERROR(IF(T_PROD[[#This Row],[PREVISTO]]-T_PROD[[#This Row],[EFETIVO]]&lt; 0,0,T_PROD[[#This Row],[PREVISTO]]-T_PROD[[#This Row],[EFETIVO]] ),"")</f>
        <v>0</v>
      </c>
      <c r="J95" s="15">
        <f>IFERROR(IF(T_PROD[[#This Row],[META]]&gt;0,(T_PROD[[#This Row],[META]]/T_PROD[[#This Row],[PREVISTO]]),""),"")</f>
        <v>15</v>
      </c>
      <c r="K95" s="15">
        <f>IFERROR(IF(T_PROD[[#This Row],[PRODUÇÃO]]&gt;0,(T_PROD[[#This Row],[PRODUÇÃO]]/T_PROD[[#This Row],[EFETIVO]]),""),"")</f>
        <v>7.5</v>
      </c>
    </row>
    <row r="96" spans="1:11" s="6" customFormat="1" x14ac:dyDescent="0.3">
      <c r="A96" s="11">
        <v>46036</v>
      </c>
      <c r="B96" s="12" t="str">
        <f t="shared" si="7"/>
        <v>JANEIRO</v>
      </c>
      <c r="C96" s="12" t="s">
        <v>16</v>
      </c>
      <c r="D96" s="12" t="s">
        <v>12</v>
      </c>
      <c r="E96" s="13">
        <v>204</v>
      </c>
      <c r="F96" s="13">
        <v>0</v>
      </c>
      <c r="G96" s="12">
        <v>6</v>
      </c>
      <c r="H96" s="12">
        <v>7</v>
      </c>
      <c r="I96" s="12">
        <f>IFERROR(IF(T_PROD[[#This Row],[PREVISTO]]-T_PROD[[#This Row],[EFETIVO]]&lt; 0,0,T_PROD[[#This Row],[PREVISTO]]-T_PROD[[#This Row],[EFETIVO]] ),"")</f>
        <v>0</v>
      </c>
      <c r="J96" s="15">
        <f>IFERROR(IF(T_PROD[[#This Row],[META]]&gt;0,(T_PROD[[#This Row],[META]]/T_PROD[[#This Row],[PREVISTO]]),""),"")</f>
        <v>34</v>
      </c>
      <c r="K96" s="15" t="str">
        <f>IFERROR(IF(T_PROD[[#This Row],[PRODUÇÃO]]&gt;0,(T_PROD[[#This Row],[PRODUÇÃO]]/T_PROD[[#This Row],[EFETIVO]]),""),"")</f>
        <v/>
      </c>
    </row>
    <row r="97" spans="1:11" s="6" customFormat="1" x14ac:dyDescent="0.3">
      <c r="A97" s="11">
        <v>46036</v>
      </c>
      <c r="B97" s="12" t="str">
        <f t="shared" si="7"/>
        <v>JANEIRO</v>
      </c>
      <c r="C97" s="12" t="s">
        <v>17</v>
      </c>
      <c r="D97" s="12" t="s">
        <v>12</v>
      </c>
      <c r="E97" s="13">
        <v>32</v>
      </c>
      <c r="F97" s="13">
        <v>0</v>
      </c>
      <c r="G97" s="12">
        <v>2</v>
      </c>
      <c r="H97" s="12">
        <v>2</v>
      </c>
      <c r="I97" s="12">
        <f>IFERROR(IF(T_PROD[[#This Row],[PREVISTO]]-T_PROD[[#This Row],[EFETIVO]]&lt; 0,0,T_PROD[[#This Row],[PREVISTO]]-T_PROD[[#This Row],[EFETIVO]] ),"")</f>
        <v>0</v>
      </c>
      <c r="J97" s="15">
        <f>IFERROR(IF(T_PROD[[#This Row],[META]]&gt;0,(T_PROD[[#This Row],[META]]/T_PROD[[#This Row],[PREVISTO]]),""),"")</f>
        <v>16</v>
      </c>
      <c r="K97" s="15" t="str">
        <f>IFERROR(IF(T_PROD[[#This Row],[PRODUÇÃO]]&gt;0,(T_PROD[[#This Row],[PRODUÇÃO]]/T_PROD[[#This Row],[EFETIVO]]),""),"")</f>
        <v/>
      </c>
    </row>
    <row r="98" spans="1:11" s="6" customFormat="1" x14ac:dyDescent="0.3">
      <c r="A98" s="11">
        <v>46036</v>
      </c>
      <c r="B98" s="12" t="str">
        <f t="shared" si="7"/>
        <v>JANEIRO</v>
      </c>
      <c r="C98" s="12" t="s">
        <v>18</v>
      </c>
      <c r="D98" s="12" t="s">
        <v>12</v>
      </c>
      <c r="E98" s="13">
        <v>100</v>
      </c>
      <c r="F98" s="13">
        <v>0</v>
      </c>
      <c r="G98" s="12">
        <v>3</v>
      </c>
      <c r="H98" s="12">
        <v>3</v>
      </c>
      <c r="I98" s="12">
        <f>IFERROR(IF(T_PROD[[#This Row],[PREVISTO]]-T_PROD[[#This Row],[EFETIVO]]&lt; 0,0,T_PROD[[#This Row],[PREVISTO]]-T_PROD[[#This Row],[EFETIVO]] ),"")</f>
        <v>0</v>
      </c>
      <c r="J98" s="15">
        <f>IFERROR(IF(T_PROD[[#This Row],[META]]&gt;0,(T_PROD[[#This Row],[META]]/T_PROD[[#This Row],[PREVISTO]]),""),"")</f>
        <v>33.333333333333336</v>
      </c>
      <c r="K98" s="15" t="str">
        <f>IFERROR(IF(T_PROD[[#This Row],[PRODUÇÃO]]&gt;0,(T_PROD[[#This Row],[PRODUÇÃO]]/T_PROD[[#This Row],[EFETIVO]]),""),"")</f>
        <v/>
      </c>
    </row>
    <row r="99" spans="1:11" s="6" customFormat="1" x14ac:dyDescent="0.3">
      <c r="A99" s="11">
        <v>46036</v>
      </c>
      <c r="B99" s="12" t="str">
        <f t="shared" si="7"/>
        <v>JANEIRO</v>
      </c>
      <c r="C99" s="12" t="s">
        <v>19</v>
      </c>
      <c r="D99" s="12" t="s">
        <v>12</v>
      </c>
      <c r="E99" s="13">
        <v>100</v>
      </c>
      <c r="F99" s="13">
        <v>108</v>
      </c>
      <c r="G99" s="12">
        <v>11</v>
      </c>
      <c r="H99" s="12">
        <v>11</v>
      </c>
      <c r="I99" s="12">
        <f>IFERROR(IF(T_PROD[[#This Row],[PREVISTO]]-T_PROD[[#This Row],[EFETIVO]]&lt; 0,0,T_PROD[[#This Row],[PREVISTO]]-T_PROD[[#This Row],[EFETIVO]] ),"")</f>
        <v>0</v>
      </c>
      <c r="J99" s="15">
        <f>IFERROR(IF(T_PROD[[#This Row],[META]]&gt;0,(T_PROD[[#This Row],[META]]/T_PROD[[#This Row],[PREVISTO]]),""),"")</f>
        <v>9.0909090909090917</v>
      </c>
      <c r="K99" s="15">
        <f>IFERROR(IF(T_PROD[[#This Row],[PRODUÇÃO]]&gt;0,(T_PROD[[#This Row],[PRODUÇÃO]]/T_PROD[[#This Row],[EFETIVO]]),""),"")</f>
        <v>9.8181818181818183</v>
      </c>
    </row>
    <row r="100" spans="1:11" s="6" customFormat="1" x14ac:dyDescent="0.3">
      <c r="A100" s="11">
        <v>46036</v>
      </c>
      <c r="B100" s="12" t="str">
        <f t="shared" si="7"/>
        <v>JANEIRO</v>
      </c>
      <c r="C100" s="12" t="s">
        <v>20</v>
      </c>
      <c r="D100" s="12" t="s">
        <v>12</v>
      </c>
      <c r="E100" s="13">
        <v>486</v>
      </c>
      <c r="F100" s="13">
        <v>138</v>
      </c>
      <c r="G100" s="12">
        <v>87</v>
      </c>
      <c r="H100" s="12">
        <v>87</v>
      </c>
      <c r="I100" s="12">
        <f>IFERROR(IF(T_PROD[[#This Row],[PREVISTO]]-T_PROD[[#This Row],[EFETIVO]]&lt; 0,0,T_PROD[[#This Row],[PREVISTO]]-T_PROD[[#This Row],[EFETIVO]] ),"")</f>
        <v>0</v>
      </c>
      <c r="J100" s="15">
        <f>IFERROR(IF(T_PROD[[#This Row],[META]]&gt;0,(T_PROD[[#This Row],[META]]/T_PROD[[#This Row],[PREVISTO]]),""),"")</f>
        <v>5.5862068965517242</v>
      </c>
      <c r="K100" s="15">
        <f>IFERROR(IF(T_PROD[[#This Row],[PRODUÇÃO]]&gt;0,(T_PROD[[#This Row],[PRODUÇÃO]]/T_PROD[[#This Row],[EFETIVO]]),""),"")</f>
        <v>1.5862068965517242</v>
      </c>
    </row>
    <row r="101" spans="1:11" s="6" customFormat="1" x14ac:dyDescent="0.3">
      <c r="A101" s="11">
        <v>46037</v>
      </c>
      <c r="B101" s="12" t="str">
        <f t="shared" ref="B101:B106" si="8">UPPER(TEXT(A101,"MMMM"))</f>
        <v>JANEIRO</v>
      </c>
      <c r="C101" s="12" t="s">
        <v>15</v>
      </c>
      <c r="D101" s="12" t="s">
        <v>12</v>
      </c>
      <c r="E101" s="13">
        <v>60</v>
      </c>
      <c r="F101" s="13">
        <v>41</v>
      </c>
      <c r="G101" s="12">
        <v>4</v>
      </c>
      <c r="H101" s="12">
        <v>4</v>
      </c>
      <c r="I101" s="12">
        <f>IFERROR(IF(T_PROD[[#This Row],[PREVISTO]]-T_PROD[[#This Row],[EFETIVO]]&lt; 0,0,T_PROD[[#This Row],[PREVISTO]]-T_PROD[[#This Row],[EFETIVO]] ),"")</f>
        <v>0</v>
      </c>
      <c r="J101" s="15">
        <f>IFERROR(IF(T_PROD[[#This Row],[META]]&gt;0,(T_PROD[[#This Row],[META]]/T_PROD[[#This Row],[PREVISTO]]),""),"")</f>
        <v>15</v>
      </c>
      <c r="K101" s="15">
        <f>IFERROR(IF(T_PROD[[#This Row],[PRODUÇÃO]]&gt;0,(T_PROD[[#This Row],[PRODUÇÃO]]/T_PROD[[#This Row],[EFETIVO]]),""),"")</f>
        <v>10.25</v>
      </c>
    </row>
    <row r="102" spans="1:11" s="6" customFormat="1" x14ac:dyDescent="0.3">
      <c r="A102" s="11">
        <v>46037</v>
      </c>
      <c r="B102" s="12" t="str">
        <f t="shared" si="8"/>
        <v>JANEIRO</v>
      </c>
      <c r="C102" s="12" t="s">
        <v>16</v>
      </c>
      <c r="D102" s="12" t="s">
        <v>12</v>
      </c>
      <c r="E102" s="13">
        <v>204</v>
      </c>
      <c r="F102" s="13">
        <v>111</v>
      </c>
      <c r="G102" s="12">
        <v>6</v>
      </c>
      <c r="H102" s="12">
        <v>7</v>
      </c>
      <c r="I102" s="12">
        <f>IFERROR(IF(T_PROD[[#This Row],[PREVISTO]]-T_PROD[[#This Row],[EFETIVO]]&lt; 0,0,T_PROD[[#This Row],[PREVISTO]]-T_PROD[[#This Row],[EFETIVO]] ),"")</f>
        <v>0</v>
      </c>
      <c r="J102" s="15">
        <f>IFERROR(IF(T_PROD[[#This Row],[META]]&gt;0,(T_PROD[[#This Row],[META]]/T_PROD[[#This Row],[PREVISTO]]),""),"")</f>
        <v>34</v>
      </c>
      <c r="K102" s="15">
        <f>IFERROR(IF(T_PROD[[#This Row],[PRODUÇÃO]]&gt;0,(T_PROD[[#This Row],[PRODUÇÃO]]/T_PROD[[#This Row],[EFETIVO]]),""),"")</f>
        <v>15.857142857142858</v>
      </c>
    </row>
    <row r="103" spans="1:11" s="6" customFormat="1" x14ac:dyDescent="0.3">
      <c r="A103" s="11">
        <v>46037</v>
      </c>
      <c r="B103" s="12" t="str">
        <f t="shared" si="8"/>
        <v>JANEIRO</v>
      </c>
      <c r="C103" s="12" t="s">
        <v>17</v>
      </c>
      <c r="D103" s="12" t="s">
        <v>12</v>
      </c>
      <c r="E103" s="13">
        <v>32</v>
      </c>
      <c r="F103" s="13">
        <v>0</v>
      </c>
      <c r="G103" s="12">
        <v>2</v>
      </c>
      <c r="H103" s="12">
        <v>2</v>
      </c>
      <c r="I103" s="12">
        <f>IFERROR(IF(T_PROD[[#This Row],[PREVISTO]]-T_PROD[[#This Row],[EFETIVO]]&lt; 0,0,T_PROD[[#This Row],[PREVISTO]]-T_PROD[[#This Row],[EFETIVO]] ),"")</f>
        <v>0</v>
      </c>
      <c r="J103" s="15">
        <f>IFERROR(IF(T_PROD[[#This Row],[META]]&gt;0,(T_PROD[[#This Row],[META]]/T_PROD[[#This Row],[PREVISTO]]),""),"")</f>
        <v>16</v>
      </c>
      <c r="K103" s="15" t="str">
        <f>IFERROR(IF(T_PROD[[#This Row],[PRODUÇÃO]]&gt;0,(T_PROD[[#This Row],[PRODUÇÃO]]/T_PROD[[#This Row],[EFETIVO]]),""),"")</f>
        <v/>
      </c>
    </row>
    <row r="104" spans="1:11" s="6" customFormat="1" x14ac:dyDescent="0.3">
      <c r="A104" s="11">
        <v>46037</v>
      </c>
      <c r="B104" s="12" t="str">
        <f t="shared" si="8"/>
        <v>JANEIRO</v>
      </c>
      <c r="C104" s="12" t="s">
        <v>18</v>
      </c>
      <c r="D104" s="12" t="s">
        <v>12</v>
      </c>
      <c r="E104" s="13">
        <v>100</v>
      </c>
      <c r="F104" s="13">
        <v>0</v>
      </c>
      <c r="G104" s="12">
        <v>3</v>
      </c>
      <c r="H104" s="12">
        <v>3</v>
      </c>
      <c r="I104" s="12">
        <f>IFERROR(IF(T_PROD[[#This Row],[PREVISTO]]-T_PROD[[#This Row],[EFETIVO]]&lt; 0,0,T_PROD[[#This Row],[PREVISTO]]-T_PROD[[#This Row],[EFETIVO]] ),"")</f>
        <v>0</v>
      </c>
      <c r="J104" s="15">
        <f>IFERROR(IF(T_PROD[[#This Row],[META]]&gt;0,(T_PROD[[#This Row],[META]]/T_PROD[[#This Row],[PREVISTO]]),""),"")</f>
        <v>33.333333333333336</v>
      </c>
      <c r="K104" s="15" t="str">
        <f>IFERROR(IF(T_PROD[[#This Row],[PRODUÇÃO]]&gt;0,(T_PROD[[#This Row],[PRODUÇÃO]]/T_PROD[[#This Row],[EFETIVO]]),""),"")</f>
        <v/>
      </c>
    </row>
    <row r="105" spans="1:11" s="6" customFormat="1" x14ac:dyDescent="0.3">
      <c r="A105" s="11">
        <v>46037</v>
      </c>
      <c r="B105" s="12" t="str">
        <f t="shared" si="8"/>
        <v>JANEIRO</v>
      </c>
      <c r="C105" s="12" t="s">
        <v>19</v>
      </c>
      <c r="D105" s="12" t="s">
        <v>12</v>
      </c>
      <c r="E105" s="13">
        <v>100</v>
      </c>
      <c r="F105" s="13">
        <v>21</v>
      </c>
      <c r="G105" s="12">
        <v>11</v>
      </c>
      <c r="H105" s="12">
        <v>11</v>
      </c>
      <c r="I105" s="12">
        <f>IFERROR(IF(T_PROD[[#This Row],[PREVISTO]]-T_PROD[[#This Row],[EFETIVO]]&lt; 0,0,T_PROD[[#This Row],[PREVISTO]]-T_PROD[[#This Row],[EFETIVO]] ),"")</f>
        <v>0</v>
      </c>
      <c r="J105" s="15">
        <f>IFERROR(IF(T_PROD[[#This Row],[META]]&gt;0,(T_PROD[[#This Row],[META]]/T_PROD[[#This Row],[PREVISTO]]),""),"")</f>
        <v>9.0909090909090917</v>
      </c>
      <c r="K105" s="15">
        <f>IFERROR(IF(T_PROD[[#This Row],[PRODUÇÃO]]&gt;0,(T_PROD[[#This Row],[PRODUÇÃO]]/T_PROD[[#This Row],[EFETIVO]]),""),"")</f>
        <v>1.9090909090909092</v>
      </c>
    </row>
    <row r="106" spans="1:11" s="6" customFormat="1" x14ac:dyDescent="0.3">
      <c r="A106" s="11">
        <v>46037</v>
      </c>
      <c r="B106" s="12" t="str">
        <f t="shared" si="8"/>
        <v>JANEIRO</v>
      </c>
      <c r="C106" s="12" t="s">
        <v>20</v>
      </c>
      <c r="D106" s="12" t="s">
        <v>12</v>
      </c>
      <c r="E106" s="13">
        <v>486</v>
      </c>
      <c r="F106" s="13">
        <v>173</v>
      </c>
      <c r="G106" s="12">
        <v>87</v>
      </c>
      <c r="H106" s="12">
        <v>87</v>
      </c>
      <c r="I106" s="12">
        <f>IFERROR(IF(T_PROD[[#This Row],[PREVISTO]]-T_PROD[[#This Row],[EFETIVO]]&lt; 0,0,T_PROD[[#This Row],[PREVISTO]]-T_PROD[[#This Row],[EFETIVO]] ),"")</f>
        <v>0</v>
      </c>
      <c r="J106" s="15">
        <f>IFERROR(IF(T_PROD[[#This Row],[META]]&gt;0,(T_PROD[[#This Row],[META]]/T_PROD[[#This Row],[PREVISTO]]),""),"")</f>
        <v>5.5862068965517242</v>
      </c>
      <c r="K106" s="15">
        <f>IFERROR(IF(T_PROD[[#This Row],[PRODUÇÃO]]&gt;0,(T_PROD[[#This Row],[PRODUÇÃO]]/T_PROD[[#This Row],[EFETIVO]]),""),"")</f>
        <v>1.9885057471264367</v>
      </c>
    </row>
    <row r="107" spans="1:11" s="6" customFormat="1" x14ac:dyDescent="0.3">
      <c r="A107" s="11">
        <v>46038</v>
      </c>
      <c r="B107" s="12" t="str">
        <f t="shared" ref="B107:B112" si="9">UPPER(TEXT(A107,"MMMM"))</f>
        <v>JANEIRO</v>
      </c>
      <c r="C107" s="12" t="s">
        <v>15</v>
      </c>
      <c r="D107" s="12" t="s">
        <v>12</v>
      </c>
      <c r="E107" s="13">
        <v>60</v>
      </c>
      <c r="F107" s="13">
        <v>25</v>
      </c>
      <c r="G107" s="12">
        <v>4</v>
      </c>
      <c r="H107" s="12">
        <v>4</v>
      </c>
      <c r="I107" s="12">
        <f>IFERROR(IF(T_PROD[[#This Row],[PREVISTO]]-T_PROD[[#This Row],[EFETIVO]]&lt; 0,0,T_PROD[[#This Row],[PREVISTO]]-T_PROD[[#This Row],[EFETIVO]] ),"")</f>
        <v>0</v>
      </c>
      <c r="J107" s="15">
        <f>IFERROR(IF(T_PROD[[#This Row],[META]]&gt;0,(T_PROD[[#This Row],[META]]/T_PROD[[#This Row],[PREVISTO]]),""),"")</f>
        <v>15</v>
      </c>
      <c r="K107" s="15">
        <f>IFERROR(IF(T_PROD[[#This Row],[PRODUÇÃO]]&gt;0,(T_PROD[[#This Row],[PRODUÇÃO]]/T_PROD[[#This Row],[EFETIVO]]),""),"")</f>
        <v>6.25</v>
      </c>
    </row>
    <row r="108" spans="1:11" s="6" customFormat="1" x14ac:dyDescent="0.3">
      <c r="A108" s="11">
        <v>46038</v>
      </c>
      <c r="B108" s="12" t="str">
        <f t="shared" si="9"/>
        <v>JANEIRO</v>
      </c>
      <c r="C108" s="12" t="s">
        <v>16</v>
      </c>
      <c r="D108" s="12" t="s">
        <v>12</v>
      </c>
      <c r="E108" s="13">
        <v>204</v>
      </c>
      <c r="F108" s="13">
        <v>68</v>
      </c>
      <c r="G108" s="12">
        <v>6</v>
      </c>
      <c r="H108" s="12">
        <v>7</v>
      </c>
      <c r="I108" s="12">
        <f>IFERROR(IF(T_PROD[[#This Row],[PREVISTO]]-T_PROD[[#This Row],[EFETIVO]]&lt; 0,0,T_PROD[[#This Row],[PREVISTO]]-T_PROD[[#This Row],[EFETIVO]] ),"")</f>
        <v>0</v>
      </c>
      <c r="J108" s="15">
        <f>IFERROR(IF(T_PROD[[#This Row],[META]]&gt;0,(T_PROD[[#This Row],[META]]/T_PROD[[#This Row],[PREVISTO]]),""),"")</f>
        <v>34</v>
      </c>
      <c r="K108" s="15">
        <f>IFERROR(IF(T_PROD[[#This Row],[PRODUÇÃO]]&gt;0,(T_PROD[[#This Row],[PRODUÇÃO]]/T_PROD[[#This Row],[EFETIVO]]),""),"")</f>
        <v>9.7142857142857135</v>
      </c>
    </row>
    <row r="109" spans="1:11" s="6" customFormat="1" x14ac:dyDescent="0.3">
      <c r="A109" s="11">
        <v>46038</v>
      </c>
      <c r="B109" s="12" t="str">
        <f t="shared" si="9"/>
        <v>JANEIRO</v>
      </c>
      <c r="C109" s="12" t="s">
        <v>17</v>
      </c>
      <c r="D109" s="12" t="s">
        <v>12</v>
      </c>
      <c r="E109" s="13">
        <v>32</v>
      </c>
      <c r="F109" s="13">
        <v>0</v>
      </c>
      <c r="G109" s="12">
        <v>2</v>
      </c>
      <c r="H109" s="12">
        <v>2</v>
      </c>
      <c r="I109" s="12">
        <f>IFERROR(IF(T_PROD[[#This Row],[PREVISTO]]-T_PROD[[#This Row],[EFETIVO]]&lt; 0,0,T_PROD[[#This Row],[PREVISTO]]-T_PROD[[#This Row],[EFETIVO]] ),"")</f>
        <v>0</v>
      </c>
      <c r="J109" s="15">
        <f>IFERROR(IF(T_PROD[[#This Row],[META]]&gt;0,(T_PROD[[#This Row],[META]]/T_PROD[[#This Row],[PREVISTO]]),""),"")</f>
        <v>16</v>
      </c>
      <c r="K109" s="15" t="str">
        <f>IFERROR(IF(T_PROD[[#This Row],[PRODUÇÃO]]&gt;0,(T_PROD[[#This Row],[PRODUÇÃO]]/T_PROD[[#This Row],[EFETIVO]]),""),"")</f>
        <v/>
      </c>
    </row>
    <row r="110" spans="1:11" s="6" customFormat="1" x14ac:dyDescent="0.3">
      <c r="A110" s="11">
        <v>46038</v>
      </c>
      <c r="B110" s="12" t="str">
        <f t="shared" si="9"/>
        <v>JANEIRO</v>
      </c>
      <c r="C110" s="12" t="s">
        <v>18</v>
      </c>
      <c r="D110" s="12" t="s">
        <v>12</v>
      </c>
      <c r="E110" s="13">
        <v>100</v>
      </c>
      <c r="F110" s="13">
        <v>11</v>
      </c>
      <c r="G110" s="12">
        <v>3</v>
      </c>
      <c r="H110" s="12">
        <v>3</v>
      </c>
      <c r="I110" s="12">
        <f>IFERROR(IF(T_PROD[[#This Row],[PREVISTO]]-T_PROD[[#This Row],[EFETIVO]]&lt; 0,0,T_PROD[[#This Row],[PREVISTO]]-T_PROD[[#This Row],[EFETIVO]] ),"")</f>
        <v>0</v>
      </c>
      <c r="J110" s="15">
        <f>IFERROR(IF(T_PROD[[#This Row],[META]]&gt;0,(T_PROD[[#This Row],[META]]/T_PROD[[#This Row],[PREVISTO]]),""),"")</f>
        <v>33.333333333333336</v>
      </c>
      <c r="K110" s="15">
        <f>IFERROR(IF(T_PROD[[#This Row],[PRODUÇÃO]]&gt;0,(T_PROD[[#This Row],[PRODUÇÃO]]/T_PROD[[#This Row],[EFETIVO]]),""),"")</f>
        <v>3.6666666666666665</v>
      </c>
    </row>
    <row r="111" spans="1:11" s="6" customFormat="1" x14ac:dyDescent="0.3">
      <c r="A111" s="11">
        <v>46038</v>
      </c>
      <c r="B111" s="12" t="str">
        <f t="shared" si="9"/>
        <v>JANEIRO</v>
      </c>
      <c r="C111" s="12" t="s">
        <v>19</v>
      </c>
      <c r="D111" s="12" t="s">
        <v>12</v>
      </c>
      <c r="E111" s="13">
        <v>100</v>
      </c>
      <c r="F111" s="13">
        <v>32</v>
      </c>
      <c r="G111" s="12">
        <v>11</v>
      </c>
      <c r="H111" s="12">
        <v>11</v>
      </c>
      <c r="I111" s="12">
        <f>IFERROR(IF(T_PROD[[#This Row],[PREVISTO]]-T_PROD[[#This Row],[EFETIVO]]&lt; 0,0,T_PROD[[#This Row],[PREVISTO]]-T_PROD[[#This Row],[EFETIVO]] ),"")</f>
        <v>0</v>
      </c>
      <c r="J111" s="15">
        <f>IFERROR(IF(T_PROD[[#This Row],[META]]&gt;0,(T_PROD[[#This Row],[META]]/T_PROD[[#This Row],[PREVISTO]]),""),"")</f>
        <v>9.0909090909090917</v>
      </c>
      <c r="K111" s="15">
        <f>IFERROR(IF(T_PROD[[#This Row],[PRODUÇÃO]]&gt;0,(T_PROD[[#This Row],[PRODUÇÃO]]/T_PROD[[#This Row],[EFETIVO]]),""),"")</f>
        <v>2.9090909090909092</v>
      </c>
    </row>
    <row r="112" spans="1:11" s="6" customFormat="1" x14ac:dyDescent="0.3">
      <c r="A112" s="11">
        <v>46038</v>
      </c>
      <c r="B112" s="12" t="str">
        <f t="shared" si="9"/>
        <v>JANEIRO</v>
      </c>
      <c r="C112" s="12" t="s">
        <v>20</v>
      </c>
      <c r="D112" s="12" t="s">
        <v>12</v>
      </c>
      <c r="E112" s="13">
        <v>486</v>
      </c>
      <c r="F112" s="13">
        <v>136</v>
      </c>
      <c r="G112" s="12">
        <v>87</v>
      </c>
      <c r="H112" s="12">
        <v>87</v>
      </c>
      <c r="I112" s="12">
        <f>IFERROR(IF(T_PROD[[#This Row],[PREVISTO]]-T_PROD[[#This Row],[EFETIVO]]&lt; 0,0,T_PROD[[#This Row],[PREVISTO]]-T_PROD[[#This Row],[EFETIVO]] ),"")</f>
        <v>0</v>
      </c>
      <c r="J112" s="15">
        <f>IFERROR(IF(T_PROD[[#This Row],[META]]&gt;0,(T_PROD[[#This Row],[META]]/T_PROD[[#This Row],[PREVISTO]]),""),"")</f>
        <v>5.5862068965517242</v>
      </c>
      <c r="K112" s="15">
        <f>IFERROR(IF(T_PROD[[#This Row],[PRODUÇÃO]]&gt;0,(T_PROD[[#This Row],[PRODUÇÃO]]/T_PROD[[#This Row],[EFETIVO]]),""),"")</f>
        <v>1.5632183908045978</v>
      </c>
    </row>
    <row r="113" spans="1:11" s="6" customFormat="1" x14ac:dyDescent="0.3">
      <c r="A113" s="11">
        <v>46041</v>
      </c>
      <c r="B113" s="12" t="str">
        <f t="shared" ref="B113:B118" si="10">UPPER(TEXT(A113,"MMMM"))</f>
        <v>JANEIRO</v>
      </c>
      <c r="C113" s="12" t="s">
        <v>15</v>
      </c>
      <c r="D113" s="12" t="s">
        <v>12</v>
      </c>
      <c r="E113" s="13">
        <v>60</v>
      </c>
      <c r="F113" s="13">
        <v>28</v>
      </c>
      <c r="G113" s="12">
        <v>4</v>
      </c>
      <c r="H113" s="12">
        <v>4</v>
      </c>
      <c r="I113" s="12">
        <f>IFERROR(IF(T_PROD[[#This Row],[PREVISTO]]-T_PROD[[#This Row],[EFETIVO]]&lt; 0,0,T_PROD[[#This Row],[PREVISTO]]-T_PROD[[#This Row],[EFETIVO]] ),"")</f>
        <v>0</v>
      </c>
      <c r="J113" s="15">
        <f>IFERROR(IF(T_PROD[[#This Row],[META]]&gt;0,(T_PROD[[#This Row],[META]]/T_PROD[[#This Row],[PREVISTO]]),""),"")</f>
        <v>15</v>
      </c>
      <c r="K113" s="15">
        <f>IFERROR(IF(T_PROD[[#This Row],[PRODUÇÃO]]&gt;0,(T_PROD[[#This Row],[PRODUÇÃO]]/T_PROD[[#This Row],[EFETIVO]]),""),"")</f>
        <v>7</v>
      </c>
    </row>
    <row r="114" spans="1:11" s="6" customFormat="1" x14ac:dyDescent="0.3">
      <c r="A114" s="11">
        <v>46041</v>
      </c>
      <c r="B114" s="12" t="str">
        <f t="shared" si="10"/>
        <v>JANEIRO</v>
      </c>
      <c r="C114" s="12" t="s">
        <v>16</v>
      </c>
      <c r="D114" s="12" t="s">
        <v>12</v>
      </c>
      <c r="E114" s="13">
        <v>204</v>
      </c>
      <c r="F114" s="13">
        <v>115</v>
      </c>
      <c r="G114" s="12">
        <v>6</v>
      </c>
      <c r="H114" s="12">
        <v>7</v>
      </c>
      <c r="I114" s="12">
        <f>IFERROR(IF(T_PROD[[#This Row],[PREVISTO]]-T_PROD[[#This Row],[EFETIVO]]&lt; 0,0,T_PROD[[#This Row],[PREVISTO]]-T_PROD[[#This Row],[EFETIVO]] ),"")</f>
        <v>0</v>
      </c>
      <c r="J114" s="15">
        <f>IFERROR(IF(T_PROD[[#This Row],[META]]&gt;0,(T_PROD[[#This Row],[META]]/T_PROD[[#This Row],[PREVISTO]]),""),"")</f>
        <v>34</v>
      </c>
      <c r="K114" s="15">
        <f>IFERROR(IF(T_PROD[[#This Row],[PRODUÇÃO]]&gt;0,(T_PROD[[#This Row],[PRODUÇÃO]]/T_PROD[[#This Row],[EFETIVO]]),""),"")</f>
        <v>16.428571428571427</v>
      </c>
    </row>
    <row r="115" spans="1:11" s="6" customFormat="1" x14ac:dyDescent="0.3">
      <c r="A115" s="11">
        <v>46041</v>
      </c>
      <c r="B115" s="12" t="str">
        <f t="shared" si="10"/>
        <v>JANEIRO</v>
      </c>
      <c r="C115" s="12" t="s">
        <v>17</v>
      </c>
      <c r="D115" s="12" t="s">
        <v>12</v>
      </c>
      <c r="E115" s="13">
        <v>32</v>
      </c>
      <c r="F115" s="13">
        <v>0</v>
      </c>
      <c r="G115" s="12">
        <v>2</v>
      </c>
      <c r="H115" s="12">
        <v>2</v>
      </c>
      <c r="I115" s="12">
        <f>IFERROR(IF(T_PROD[[#This Row],[PREVISTO]]-T_PROD[[#This Row],[EFETIVO]]&lt; 0,0,T_PROD[[#This Row],[PREVISTO]]-T_PROD[[#This Row],[EFETIVO]] ),"")</f>
        <v>0</v>
      </c>
      <c r="J115" s="15">
        <f>IFERROR(IF(T_PROD[[#This Row],[META]]&gt;0,(T_PROD[[#This Row],[META]]/T_PROD[[#This Row],[PREVISTO]]),""),"")</f>
        <v>16</v>
      </c>
      <c r="K115" s="15" t="str">
        <f>IFERROR(IF(T_PROD[[#This Row],[PRODUÇÃO]]&gt;0,(T_PROD[[#This Row],[PRODUÇÃO]]/T_PROD[[#This Row],[EFETIVO]]),""),"")</f>
        <v/>
      </c>
    </row>
    <row r="116" spans="1:11" s="6" customFormat="1" x14ac:dyDescent="0.3">
      <c r="A116" s="11">
        <v>46041</v>
      </c>
      <c r="B116" s="12" t="str">
        <f t="shared" si="10"/>
        <v>JANEIRO</v>
      </c>
      <c r="C116" s="12" t="s">
        <v>18</v>
      </c>
      <c r="D116" s="12" t="s">
        <v>12</v>
      </c>
      <c r="E116" s="13">
        <v>100</v>
      </c>
      <c r="F116" s="13">
        <v>141</v>
      </c>
      <c r="G116" s="12">
        <v>3</v>
      </c>
      <c r="H116" s="12">
        <v>3</v>
      </c>
      <c r="I116" s="12">
        <f>IFERROR(IF(T_PROD[[#This Row],[PREVISTO]]-T_PROD[[#This Row],[EFETIVO]]&lt; 0,0,T_PROD[[#This Row],[PREVISTO]]-T_PROD[[#This Row],[EFETIVO]] ),"")</f>
        <v>0</v>
      </c>
      <c r="J116" s="15">
        <f>IFERROR(IF(T_PROD[[#This Row],[META]]&gt;0,(T_PROD[[#This Row],[META]]/T_PROD[[#This Row],[PREVISTO]]),""),"")</f>
        <v>33.333333333333336</v>
      </c>
      <c r="K116" s="15">
        <f>IFERROR(IF(T_PROD[[#This Row],[PRODUÇÃO]]&gt;0,(T_PROD[[#This Row],[PRODUÇÃO]]/T_PROD[[#This Row],[EFETIVO]]),""),"")</f>
        <v>47</v>
      </c>
    </row>
    <row r="117" spans="1:11" s="6" customFormat="1" x14ac:dyDescent="0.3">
      <c r="A117" s="11">
        <v>46041</v>
      </c>
      <c r="B117" s="12" t="str">
        <f t="shared" si="10"/>
        <v>JANEIRO</v>
      </c>
      <c r="C117" s="12" t="s">
        <v>19</v>
      </c>
      <c r="D117" s="12" t="s">
        <v>12</v>
      </c>
      <c r="E117" s="13">
        <v>100</v>
      </c>
      <c r="F117" s="13">
        <v>0</v>
      </c>
      <c r="G117" s="12">
        <v>11</v>
      </c>
      <c r="H117" s="12">
        <v>11</v>
      </c>
      <c r="I117" s="12">
        <f>IFERROR(IF(T_PROD[[#This Row],[PREVISTO]]-T_PROD[[#This Row],[EFETIVO]]&lt; 0,0,T_PROD[[#This Row],[PREVISTO]]-T_PROD[[#This Row],[EFETIVO]] ),"")</f>
        <v>0</v>
      </c>
      <c r="J117" s="15">
        <f>IFERROR(IF(T_PROD[[#This Row],[META]]&gt;0,(T_PROD[[#This Row],[META]]/T_PROD[[#This Row],[PREVISTO]]),""),"")</f>
        <v>9.0909090909090917</v>
      </c>
      <c r="K117" s="15" t="str">
        <f>IFERROR(IF(T_PROD[[#This Row],[PRODUÇÃO]]&gt;0,(T_PROD[[#This Row],[PRODUÇÃO]]/T_PROD[[#This Row],[EFETIVO]]),""),"")</f>
        <v/>
      </c>
    </row>
    <row r="118" spans="1:11" s="6" customFormat="1" x14ac:dyDescent="0.3">
      <c r="A118" s="11">
        <v>46041</v>
      </c>
      <c r="B118" s="12" t="str">
        <f t="shared" si="10"/>
        <v>JANEIRO</v>
      </c>
      <c r="C118" s="12" t="s">
        <v>20</v>
      </c>
      <c r="D118" s="12" t="s">
        <v>12</v>
      </c>
      <c r="E118" s="13">
        <v>486</v>
      </c>
      <c r="F118" s="13">
        <v>284</v>
      </c>
      <c r="G118" s="12">
        <v>87</v>
      </c>
      <c r="H118" s="12">
        <v>87</v>
      </c>
      <c r="I118" s="12">
        <f>IFERROR(IF(T_PROD[[#This Row],[PREVISTO]]-T_PROD[[#This Row],[EFETIVO]]&lt; 0,0,T_PROD[[#This Row],[PREVISTO]]-T_PROD[[#This Row],[EFETIVO]] ),"")</f>
        <v>0</v>
      </c>
      <c r="J118" s="15">
        <f>IFERROR(IF(T_PROD[[#This Row],[META]]&gt;0,(T_PROD[[#This Row],[META]]/T_PROD[[#This Row],[PREVISTO]]),""),"")</f>
        <v>5.5862068965517242</v>
      </c>
      <c r="K118" s="15">
        <f>IFERROR(IF(T_PROD[[#This Row],[PRODUÇÃO]]&gt;0,(T_PROD[[#This Row],[PRODUÇÃO]]/T_PROD[[#This Row],[EFETIVO]]),""),"")</f>
        <v>3.264367816091954</v>
      </c>
    </row>
    <row r="119" spans="1:11" s="6" customFormat="1" x14ac:dyDescent="0.3">
      <c r="A119" s="11">
        <v>46042</v>
      </c>
      <c r="B119" s="12" t="str">
        <f t="shared" ref="B119:B124" si="11">UPPER(TEXT(A119,"MMMM"))</f>
        <v>JANEIRO</v>
      </c>
      <c r="C119" s="12" t="s">
        <v>15</v>
      </c>
      <c r="D119" s="12" t="s">
        <v>12</v>
      </c>
      <c r="E119" s="13">
        <v>60</v>
      </c>
      <c r="F119" s="13">
        <v>22</v>
      </c>
      <c r="G119" s="12">
        <v>4</v>
      </c>
      <c r="H119" s="12">
        <v>4</v>
      </c>
      <c r="I119" s="12">
        <f>IFERROR(IF(T_PROD[[#This Row],[PREVISTO]]-T_PROD[[#This Row],[EFETIVO]]&lt; 0,0,T_PROD[[#This Row],[PREVISTO]]-T_PROD[[#This Row],[EFETIVO]] ),"")</f>
        <v>0</v>
      </c>
      <c r="J119" s="15">
        <f>IFERROR(IF(T_PROD[[#This Row],[META]]&gt;0,(T_PROD[[#This Row],[META]]/T_PROD[[#This Row],[PREVISTO]]),""),"")</f>
        <v>15</v>
      </c>
      <c r="K119" s="15">
        <f>IFERROR(IF(T_PROD[[#This Row],[PRODUÇÃO]]&gt;0,(T_PROD[[#This Row],[PRODUÇÃO]]/T_PROD[[#This Row],[EFETIVO]]),""),"")</f>
        <v>5.5</v>
      </c>
    </row>
    <row r="120" spans="1:11" s="6" customFormat="1" x14ac:dyDescent="0.3">
      <c r="A120" s="11">
        <v>46042</v>
      </c>
      <c r="B120" s="12" t="str">
        <f t="shared" si="11"/>
        <v>JANEIRO</v>
      </c>
      <c r="C120" s="12" t="s">
        <v>16</v>
      </c>
      <c r="D120" s="12" t="s">
        <v>12</v>
      </c>
      <c r="E120" s="13">
        <v>204</v>
      </c>
      <c r="F120" s="13">
        <v>114</v>
      </c>
      <c r="G120" s="12">
        <v>6</v>
      </c>
      <c r="H120" s="12">
        <v>7</v>
      </c>
      <c r="I120" s="12">
        <f>IFERROR(IF(T_PROD[[#This Row],[PREVISTO]]-T_PROD[[#This Row],[EFETIVO]]&lt; 0,0,T_PROD[[#This Row],[PREVISTO]]-T_PROD[[#This Row],[EFETIVO]] ),"")</f>
        <v>0</v>
      </c>
      <c r="J120" s="15">
        <f>IFERROR(IF(T_PROD[[#This Row],[META]]&gt;0,(T_PROD[[#This Row],[META]]/T_PROD[[#This Row],[PREVISTO]]),""),"")</f>
        <v>34</v>
      </c>
      <c r="K120" s="15">
        <f>IFERROR(IF(T_PROD[[#This Row],[PRODUÇÃO]]&gt;0,(T_PROD[[#This Row],[PRODUÇÃO]]/T_PROD[[#This Row],[EFETIVO]]),""),"")</f>
        <v>16.285714285714285</v>
      </c>
    </row>
    <row r="121" spans="1:11" s="6" customFormat="1" x14ac:dyDescent="0.3">
      <c r="A121" s="11">
        <v>46042</v>
      </c>
      <c r="B121" s="12" t="str">
        <f t="shared" si="11"/>
        <v>JANEIRO</v>
      </c>
      <c r="C121" s="12" t="s">
        <v>17</v>
      </c>
      <c r="D121" s="12" t="s">
        <v>12</v>
      </c>
      <c r="E121" s="13">
        <v>32</v>
      </c>
      <c r="F121" s="13">
        <v>0</v>
      </c>
      <c r="G121" s="12">
        <v>2</v>
      </c>
      <c r="H121" s="12">
        <v>2</v>
      </c>
      <c r="I121" s="12">
        <f>IFERROR(IF(T_PROD[[#This Row],[PREVISTO]]-T_PROD[[#This Row],[EFETIVO]]&lt; 0,0,T_PROD[[#This Row],[PREVISTO]]-T_PROD[[#This Row],[EFETIVO]] ),"")</f>
        <v>0</v>
      </c>
      <c r="J121" s="15">
        <f>IFERROR(IF(T_PROD[[#This Row],[META]]&gt;0,(T_PROD[[#This Row],[META]]/T_PROD[[#This Row],[PREVISTO]]),""),"")</f>
        <v>16</v>
      </c>
      <c r="K121" s="15" t="str">
        <f>IFERROR(IF(T_PROD[[#This Row],[PRODUÇÃO]]&gt;0,(T_PROD[[#This Row],[PRODUÇÃO]]/T_PROD[[#This Row],[EFETIVO]]),""),"")</f>
        <v/>
      </c>
    </row>
    <row r="122" spans="1:11" s="6" customFormat="1" x14ac:dyDescent="0.3">
      <c r="A122" s="11">
        <v>46042</v>
      </c>
      <c r="B122" s="12" t="str">
        <f t="shared" si="11"/>
        <v>JANEIRO</v>
      </c>
      <c r="C122" s="12" t="s">
        <v>18</v>
      </c>
      <c r="D122" s="12" t="s">
        <v>12</v>
      </c>
      <c r="E122" s="13">
        <v>100</v>
      </c>
      <c r="F122" s="13">
        <v>168</v>
      </c>
      <c r="G122" s="12">
        <v>3</v>
      </c>
      <c r="H122" s="12">
        <v>3</v>
      </c>
      <c r="I122" s="12">
        <f>IFERROR(IF(T_PROD[[#This Row],[PREVISTO]]-T_PROD[[#This Row],[EFETIVO]]&lt; 0,0,T_PROD[[#This Row],[PREVISTO]]-T_PROD[[#This Row],[EFETIVO]] ),"")</f>
        <v>0</v>
      </c>
      <c r="J122" s="15">
        <f>IFERROR(IF(T_PROD[[#This Row],[META]]&gt;0,(T_PROD[[#This Row],[META]]/T_PROD[[#This Row],[PREVISTO]]),""),"")</f>
        <v>33.333333333333336</v>
      </c>
      <c r="K122" s="15">
        <f>IFERROR(IF(T_PROD[[#This Row],[PRODUÇÃO]]&gt;0,(T_PROD[[#This Row],[PRODUÇÃO]]/T_PROD[[#This Row],[EFETIVO]]),""),"")</f>
        <v>56</v>
      </c>
    </row>
    <row r="123" spans="1:11" s="6" customFormat="1" x14ac:dyDescent="0.3">
      <c r="A123" s="11">
        <v>46042</v>
      </c>
      <c r="B123" s="12" t="str">
        <f t="shared" si="11"/>
        <v>JANEIRO</v>
      </c>
      <c r="C123" s="12" t="s">
        <v>19</v>
      </c>
      <c r="D123" s="12" t="s">
        <v>12</v>
      </c>
      <c r="E123" s="13">
        <v>100</v>
      </c>
      <c r="F123" s="13">
        <v>9</v>
      </c>
      <c r="G123" s="12">
        <v>11</v>
      </c>
      <c r="H123" s="12">
        <v>11</v>
      </c>
      <c r="I123" s="12">
        <f>IFERROR(IF(T_PROD[[#This Row],[PREVISTO]]-T_PROD[[#This Row],[EFETIVO]]&lt; 0,0,T_PROD[[#This Row],[PREVISTO]]-T_PROD[[#This Row],[EFETIVO]] ),"")</f>
        <v>0</v>
      </c>
      <c r="J123" s="15">
        <f>IFERROR(IF(T_PROD[[#This Row],[META]]&gt;0,(T_PROD[[#This Row],[META]]/T_PROD[[#This Row],[PREVISTO]]),""),"")</f>
        <v>9.0909090909090917</v>
      </c>
      <c r="K123" s="15">
        <f>IFERROR(IF(T_PROD[[#This Row],[PRODUÇÃO]]&gt;0,(T_PROD[[#This Row],[PRODUÇÃO]]/T_PROD[[#This Row],[EFETIVO]]),""),"")</f>
        <v>0.81818181818181823</v>
      </c>
    </row>
    <row r="124" spans="1:11" s="6" customFormat="1" x14ac:dyDescent="0.3">
      <c r="A124" s="11">
        <v>46042</v>
      </c>
      <c r="B124" s="12" t="str">
        <f t="shared" si="11"/>
        <v>JANEIRO</v>
      </c>
      <c r="C124" s="12" t="s">
        <v>20</v>
      </c>
      <c r="D124" s="12" t="s">
        <v>12</v>
      </c>
      <c r="E124" s="13">
        <v>486</v>
      </c>
      <c r="F124" s="13">
        <v>313</v>
      </c>
      <c r="G124" s="12">
        <v>87</v>
      </c>
      <c r="H124" s="12">
        <v>87</v>
      </c>
      <c r="I124" s="12">
        <f>IFERROR(IF(T_PROD[[#This Row],[PREVISTO]]-T_PROD[[#This Row],[EFETIVO]]&lt; 0,0,T_PROD[[#This Row],[PREVISTO]]-T_PROD[[#This Row],[EFETIVO]] ),"")</f>
        <v>0</v>
      </c>
      <c r="J124" s="15">
        <f>IFERROR(IF(T_PROD[[#This Row],[META]]&gt;0,(T_PROD[[#This Row],[META]]/T_PROD[[#This Row],[PREVISTO]]),""),"")</f>
        <v>5.5862068965517242</v>
      </c>
      <c r="K124" s="15">
        <f>IFERROR(IF(T_PROD[[#This Row],[PRODUÇÃO]]&gt;0,(T_PROD[[#This Row],[PRODUÇÃO]]/T_PROD[[#This Row],[EFETIVO]]),""),"")</f>
        <v>3.5977011494252875</v>
      </c>
    </row>
    <row r="125" spans="1:11" s="6" customFormat="1" x14ac:dyDescent="0.3">
      <c r="A125" s="11">
        <v>46043</v>
      </c>
      <c r="B125" s="12" t="str">
        <f t="shared" ref="B125:B130" si="12">UPPER(TEXT(A125,"MMMM"))</f>
        <v>JANEIRO</v>
      </c>
      <c r="C125" s="12" t="s">
        <v>15</v>
      </c>
      <c r="D125" s="12" t="s">
        <v>12</v>
      </c>
      <c r="E125" s="13">
        <v>60</v>
      </c>
      <c r="F125" s="13">
        <v>45</v>
      </c>
      <c r="G125" s="12">
        <v>4</v>
      </c>
      <c r="H125" s="12">
        <v>4</v>
      </c>
      <c r="I125" s="12">
        <f>IFERROR(IF(T_PROD[[#This Row],[PREVISTO]]-T_PROD[[#This Row],[EFETIVO]]&lt; 0,0,T_PROD[[#This Row],[PREVISTO]]-T_PROD[[#This Row],[EFETIVO]] ),"")</f>
        <v>0</v>
      </c>
      <c r="J125" s="15">
        <f>IFERROR(IF(T_PROD[[#This Row],[META]]&gt;0,(T_PROD[[#This Row],[META]]/T_PROD[[#This Row],[PREVISTO]]),""),"")</f>
        <v>15</v>
      </c>
      <c r="K125" s="15">
        <f>IFERROR(IF(T_PROD[[#This Row],[PRODUÇÃO]]&gt;0,(T_PROD[[#This Row],[PRODUÇÃO]]/T_PROD[[#This Row],[EFETIVO]]),""),"")</f>
        <v>11.25</v>
      </c>
    </row>
    <row r="126" spans="1:11" s="6" customFormat="1" x14ac:dyDescent="0.3">
      <c r="A126" s="11">
        <v>46043</v>
      </c>
      <c r="B126" s="12" t="str">
        <f t="shared" si="12"/>
        <v>JANEIRO</v>
      </c>
      <c r="C126" s="12" t="s">
        <v>16</v>
      </c>
      <c r="D126" s="12" t="s">
        <v>12</v>
      </c>
      <c r="E126" s="13">
        <v>204</v>
      </c>
      <c r="F126" s="13">
        <v>97</v>
      </c>
      <c r="G126" s="12">
        <v>6</v>
      </c>
      <c r="H126" s="12">
        <v>7</v>
      </c>
      <c r="I126" s="12">
        <f>IFERROR(IF(T_PROD[[#This Row],[PREVISTO]]-T_PROD[[#This Row],[EFETIVO]]&lt; 0,0,T_PROD[[#This Row],[PREVISTO]]-T_PROD[[#This Row],[EFETIVO]] ),"")</f>
        <v>0</v>
      </c>
      <c r="J126" s="15">
        <f>IFERROR(IF(T_PROD[[#This Row],[META]]&gt;0,(T_PROD[[#This Row],[META]]/T_PROD[[#This Row],[PREVISTO]]),""),"")</f>
        <v>34</v>
      </c>
      <c r="K126" s="15">
        <f>IFERROR(IF(T_PROD[[#This Row],[PRODUÇÃO]]&gt;0,(T_PROD[[#This Row],[PRODUÇÃO]]/T_PROD[[#This Row],[EFETIVO]]),""),"")</f>
        <v>13.857142857142858</v>
      </c>
    </row>
    <row r="127" spans="1:11" s="6" customFormat="1" x14ac:dyDescent="0.3">
      <c r="A127" s="11">
        <v>46043</v>
      </c>
      <c r="B127" s="12" t="str">
        <f t="shared" si="12"/>
        <v>JANEIRO</v>
      </c>
      <c r="C127" s="12" t="s">
        <v>17</v>
      </c>
      <c r="D127" s="12" t="s">
        <v>12</v>
      </c>
      <c r="E127" s="13">
        <v>32</v>
      </c>
      <c r="F127" s="13">
        <v>0</v>
      </c>
      <c r="G127" s="12">
        <v>2</v>
      </c>
      <c r="H127" s="12">
        <v>2</v>
      </c>
      <c r="I127" s="12">
        <f>IFERROR(IF(T_PROD[[#This Row],[PREVISTO]]-T_PROD[[#This Row],[EFETIVO]]&lt; 0,0,T_PROD[[#This Row],[PREVISTO]]-T_PROD[[#This Row],[EFETIVO]] ),"")</f>
        <v>0</v>
      </c>
      <c r="J127" s="15">
        <f>IFERROR(IF(T_PROD[[#This Row],[META]]&gt;0,(T_PROD[[#This Row],[META]]/T_PROD[[#This Row],[PREVISTO]]),""),"")</f>
        <v>16</v>
      </c>
      <c r="K127" s="15" t="str">
        <f>IFERROR(IF(T_PROD[[#This Row],[PRODUÇÃO]]&gt;0,(T_PROD[[#This Row],[PRODUÇÃO]]/T_PROD[[#This Row],[EFETIVO]]),""),"")</f>
        <v/>
      </c>
    </row>
    <row r="128" spans="1:11" s="6" customFormat="1" x14ac:dyDescent="0.3">
      <c r="A128" s="11">
        <v>46043</v>
      </c>
      <c r="B128" s="12" t="str">
        <f t="shared" si="12"/>
        <v>JANEIRO</v>
      </c>
      <c r="C128" s="12" t="s">
        <v>18</v>
      </c>
      <c r="D128" s="12" t="s">
        <v>12</v>
      </c>
      <c r="E128" s="13">
        <v>100</v>
      </c>
      <c r="F128" s="13">
        <v>160</v>
      </c>
      <c r="G128" s="12">
        <v>3</v>
      </c>
      <c r="H128" s="12">
        <v>3</v>
      </c>
      <c r="I128" s="12">
        <f>IFERROR(IF(T_PROD[[#This Row],[PREVISTO]]-T_PROD[[#This Row],[EFETIVO]]&lt; 0,0,T_PROD[[#This Row],[PREVISTO]]-T_PROD[[#This Row],[EFETIVO]] ),"")</f>
        <v>0</v>
      </c>
      <c r="J128" s="15">
        <f>IFERROR(IF(T_PROD[[#This Row],[META]]&gt;0,(T_PROD[[#This Row],[META]]/T_PROD[[#This Row],[PREVISTO]]),""),"")</f>
        <v>33.333333333333336</v>
      </c>
      <c r="K128" s="15">
        <f>IFERROR(IF(T_PROD[[#This Row],[PRODUÇÃO]]&gt;0,(T_PROD[[#This Row],[PRODUÇÃO]]/T_PROD[[#This Row],[EFETIVO]]),""),"")</f>
        <v>53.333333333333336</v>
      </c>
    </row>
    <row r="129" spans="1:11" s="6" customFormat="1" x14ac:dyDescent="0.3">
      <c r="A129" s="11">
        <v>46043</v>
      </c>
      <c r="B129" s="12" t="str">
        <f t="shared" si="12"/>
        <v>JANEIRO</v>
      </c>
      <c r="C129" s="12" t="s">
        <v>19</v>
      </c>
      <c r="D129" s="12" t="s">
        <v>12</v>
      </c>
      <c r="E129" s="13">
        <v>100</v>
      </c>
      <c r="F129" s="13">
        <v>0</v>
      </c>
      <c r="G129" s="12">
        <v>11</v>
      </c>
      <c r="H129" s="12">
        <v>11</v>
      </c>
      <c r="I129" s="12">
        <f>IFERROR(IF(T_PROD[[#This Row],[PREVISTO]]-T_PROD[[#This Row],[EFETIVO]]&lt; 0,0,T_PROD[[#This Row],[PREVISTO]]-T_PROD[[#This Row],[EFETIVO]] ),"")</f>
        <v>0</v>
      </c>
      <c r="J129" s="15">
        <f>IFERROR(IF(T_PROD[[#This Row],[META]]&gt;0,(T_PROD[[#This Row],[META]]/T_PROD[[#This Row],[PREVISTO]]),""),"")</f>
        <v>9.0909090909090917</v>
      </c>
      <c r="K129" s="15" t="str">
        <f>IFERROR(IF(T_PROD[[#This Row],[PRODUÇÃO]]&gt;0,(T_PROD[[#This Row],[PRODUÇÃO]]/T_PROD[[#This Row],[EFETIVO]]),""),"")</f>
        <v/>
      </c>
    </row>
    <row r="130" spans="1:11" s="6" customFormat="1" x14ac:dyDescent="0.3">
      <c r="A130" s="11">
        <v>46043</v>
      </c>
      <c r="B130" s="12" t="str">
        <f t="shared" si="12"/>
        <v>JANEIRO</v>
      </c>
      <c r="C130" s="12" t="s">
        <v>20</v>
      </c>
      <c r="D130" s="12" t="s">
        <v>12</v>
      </c>
      <c r="E130" s="13">
        <v>486</v>
      </c>
      <c r="F130" s="13">
        <v>302</v>
      </c>
      <c r="G130" s="12">
        <v>87</v>
      </c>
      <c r="H130" s="12">
        <v>87</v>
      </c>
      <c r="I130" s="12">
        <f>IFERROR(IF(T_PROD[[#This Row],[PREVISTO]]-T_PROD[[#This Row],[EFETIVO]]&lt; 0,0,T_PROD[[#This Row],[PREVISTO]]-T_PROD[[#This Row],[EFETIVO]] ),"")</f>
        <v>0</v>
      </c>
      <c r="J130" s="15">
        <f>IFERROR(IF(T_PROD[[#This Row],[META]]&gt;0,(T_PROD[[#This Row],[META]]/T_PROD[[#This Row],[PREVISTO]]),""),"")</f>
        <v>5.5862068965517242</v>
      </c>
      <c r="K130" s="15">
        <f>IFERROR(IF(T_PROD[[#This Row],[PRODUÇÃO]]&gt;0,(T_PROD[[#This Row],[PRODUÇÃO]]/T_PROD[[#This Row],[EFETIVO]]),""),"")</f>
        <v>3.4712643678160919</v>
      </c>
    </row>
    <row r="131" spans="1:11" s="6" customFormat="1" x14ac:dyDescent="0.3">
      <c r="A131" s="11">
        <v>46044</v>
      </c>
      <c r="B131" s="12" t="str">
        <f t="shared" ref="B131:B136" si="13">UPPER(TEXT(A131,"MMMM"))</f>
        <v>JANEIRO</v>
      </c>
      <c r="C131" s="12" t="s">
        <v>15</v>
      </c>
      <c r="D131" s="12" t="s">
        <v>12</v>
      </c>
      <c r="E131" s="13">
        <v>60</v>
      </c>
      <c r="F131" s="13">
        <v>6</v>
      </c>
      <c r="G131" s="12">
        <v>4</v>
      </c>
      <c r="H131" s="12">
        <v>4</v>
      </c>
      <c r="I131" s="12">
        <f>IFERROR(IF(T_PROD[[#This Row],[PREVISTO]]-T_PROD[[#This Row],[EFETIVO]]&lt; 0,0,T_PROD[[#This Row],[PREVISTO]]-T_PROD[[#This Row],[EFETIVO]] ),"")</f>
        <v>0</v>
      </c>
      <c r="J131" s="15">
        <f>IFERROR(IF(T_PROD[[#This Row],[META]]&gt;0,(T_PROD[[#This Row],[META]]/T_PROD[[#This Row],[PREVISTO]]),""),"")</f>
        <v>15</v>
      </c>
      <c r="K131" s="15">
        <f>IFERROR(IF(T_PROD[[#This Row],[PRODUÇÃO]]&gt;0,(T_PROD[[#This Row],[PRODUÇÃO]]/T_PROD[[#This Row],[EFETIVO]]),""),"")</f>
        <v>1.5</v>
      </c>
    </row>
    <row r="132" spans="1:11" s="6" customFormat="1" x14ac:dyDescent="0.3">
      <c r="A132" s="11">
        <v>46044</v>
      </c>
      <c r="B132" s="12" t="str">
        <f t="shared" si="13"/>
        <v>JANEIRO</v>
      </c>
      <c r="C132" s="12" t="s">
        <v>16</v>
      </c>
      <c r="D132" s="12" t="s">
        <v>12</v>
      </c>
      <c r="E132" s="13">
        <v>204</v>
      </c>
      <c r="F132" s="13">
        <v>107</v>
      </c>
      <c r="G132" s="12">
        <v>6</v>
      </c>
      <c r="H132" s="12">
        <v>7</v>
      </c>
      <c r="I132" s="12">
        <f>IFERROR(IF(T_PROD[[#This Row],[PREVISTO]]-T_PROD[[#This Row],[EFETIVO]]&lt; 0,0,T_PROD[[#This Row],[PREVISTO]]-T_PROD[[#This Row],[EFETIVO]] ),"")</f>
        <v>0</v>
      </c>
      <c r="J132" s="15">
        <f>IFERROR(IF(T_PROD[[#This Row],[META]]&gt;0,(T_PROD[[#This Row],[META]]/T_PROD[[#This Row],[PREVISTO]]),""),"")</f>
        <v>34</v>
      </c>
      <c r="K132" s="15">
        <f>IFERROR(IF(T_PROD[[#This Row],[PRODUÇÃO]]&gt;0,(T_PROD[[#This Row],[PRODUÇÃO]]/T_PROD[[#This Row],[EFETIVO]]),""),"")</f>
        <v>15.285714285714286</v>
      </c>
    </row>
    <row r="133" spans="1:11" s="6" customFormat="1" x14ac:dyDescent="0.3">
      <c r="A133" s="11">
        <v>46044</v>
      </c>
      <c r="B133" s="12" t="str">
        <f t="shared" si="13"/>
        <v>JANEIRO</v>
      </c>
      <c r="C133" s="12" t="s">
        <v>17</v>
      </c>
      <c r="D133" s="12" t="s">
        <v>12</v>
      </c>
      <c r="E133" s="13">
        <v>32</v>
      </c>
      <c r="F133" s="13">
        <v>1</v>
      </c>
      <c r="G133" s="12">
        <v>2</v>
      </c>
      <c r="H133" s="12">
        <v>2</v>
      </c>
      <c r="I133" s="12">
        <f>IFERROR(IF(T_PROD[[#This Row],[PREVISTO]]-T_PROD[[#This Row],[EFETIVO]]&lt; 0,0,T_PROD[[#This Row],[PREVISTO]]-T_PROD[[#This Row],[EFETIVO]] ),"")</f>
        <v>0</v>
      </c>
      <c r="J133" s="15">
        <f>IFERROR(IF(T_PROD[[#This Row],[META]]&gt;0,(T_PROD[[#This Row],[META]]/T_PROD[[#This Row],[PREVISTO]]),""),"")</f>
        <v>16</v>
      </c>
      <c r="K133" s="15">
        <f>IFERROR(IF(T_PROD[[#This Row],[PRODUÇÃO]]&gt;0,(T_PROD[[#This Row],[PRODUÇÃO]]/T_PROD[[#This Row],[EFETIVO]]),""),"")</f>
        <v>0.5</v>
      </c>
    </row>
    <row r="134" spans="1:11" s="6" customFormat="1" x14ac:dyDescent="0.3">
      <c r="A134" s="11">
        <v>46044</v>
      </c>
      <c r="B134" s="12" t="str">
        <f t="shared" si="13"/>
        <v>JANEIRO</v>
      </c>
      <c r="C134" s="12" t="s">
        <v>18</v>
      </c>
      <c r="D134" s="12" t="s">
        <v>12</v>
      </c>
      <c r="E134" s="13">
        <v>100</v>
      </c>
      <c r="F134" s="13">
        <v>0</v>
      </c>
      <c r="G134" s="12">
        <v>3</v>
      </c>
      <c r="H134" s="12">
        <v>3</v>
      </c>
      <c r="I134" s="12">
        <f>IFERROR(IF(T_PROD[[#This Row],[PREVISTO]]-T_PROD[[#This Row],[EFETIVO]]&lt; 0,0,T_PROD[[#This Row],[PREVISTO]]-T_PROD[[#This Row],[EFETIVO]] ),"")</f>
        <v>0</v>
      </c>
      <c r="J134" s="15">
        <f>IFERROR(IF(T_PROD[[#This Row],[META]]&gt;0,(T_PROD[[#This Row],[META]]/T_PROD[[#This Row],[PREVISTO]]),""),"")</f>
        <v>33.333333333333336</v>
      </c>
      <c r="K134" s="15" t="str">
        <f>IFERROR(IF(T_PROD[[#This Row],[PRODUÇÃO]]&gt;0,(T_PROD[[#This Row],[PRODUÇÃO]]/T_PROD[[#This Row],[EFETIVO]]),""),"")</f>
        <v/>
      </c>
    </row>
    <row r="135" spans="1:11" s="6" customFormat="1" x14ac:dyDescent="0.3">
      <c r="A135" s="11">
        <v>46044</v>
      </c>
      <c r="B135" s="12" t="str">
        <f t="shared" si="13"/>
        <v>JANEIRO</v>
      </c>
      <c r="C135" s="12" t="s">
        <v>19</v>
      </c>
      <c r="D135" s="12" t="s">
        <v>12</v>
      </c>
      <c r="E135" s="13">
        <v>100</v>
      </c>
      <c r="F135" s="13">
        <v>55</v>
      </c>
      <c r="G135" s="12">
        <v>11</v>
      </c>
      <c r="H135" s="12">
        <v>11</v>
      </c>
      <c r="I135" s="12">
        <f>IFERROR(IF(T_PROD[[#This Row],[PREVISTO]]-T_PROD[[#This Row],[EFETIVO]]&lt; 0,0,T_PROD[[#This Row],[PREVISTO]]-T_PROD[[#This Row],[EFETIVO]] ),"")</f>
        <v>0</v>
      </c>
      <c r="J135" s="15">
        <f>IFERROR(IF(T_PROD[[#This Row],[META]]&gt;0,(T_PROD[[#This Row],[META]]/T_PROD[[#This Row],[PREVISTO]]),""),"")</f>
        <v>9.0909090909090917</v>
      </c>
      <c r="K135" s="15">
        <f>IFERROR(IF(T_PROD[[#This Row],[PRODUÇÃO]]&gt;0,(T_PROD[[#This Row],[PRODUÇÃO]]/T_PROD[[#This Row],[EFETIVO]]),""),"")</f>
        <v>5</v>
      </c>
    </row>
    <row r="136" spans="1:11" s="6" customFormat="1" x14ac:dyDescent="0.3">
      <c r="A136" s="11">
        <v>46044</v>
      </c>
      <c r="B136" s="12" t="str">
        <f t="shared" si="13"/>
        <v>JANEIRO</v>
      </c>
      <c r="C136" s="12" t="s">
        <v>20</v>
      </c>
      <c r="D136" s="12" t="s">
        <v>12</v>
      </c>
      <c r="E136" s="13">
        <v>486</v>
      </c>
      <c r="F136" s="13">
        <v>169</v>
      </c>
      <c r="G136" s="12">
        <v>87</v>
      </c>
      <c r="H136" s="12">
        <v>87</v>
      </c>
      <c r="I136" s="12">
        <f>IFERROR(IF(T_PROD[[#This Row],[PREVISTO]]-T_PROD[[#This Row],[EFETIVO]]&lt; 0,0,T_PROD[[#This Row],[PREVISTO]]-T_PROD[[#This Row],[EFETIVO]] ),"")</f>
        <v>0</v>
      </c>
      <c r="J136" s="15">
        <f>IFERROR(IF(T_PROD[[#This Row],[META]]&gt;0,(T_PROD[[#This Row],[META]]/T_PROD[[#This Row],[PREVISTO]]),""),"")</f>
        <v>5.5862068965517242</v>
      </c>
      <c r="K136" s="15">
        <f>IFERROR(IF(T_PROD[[#This Row],[PRODUÇÃO]]&gt;0,(T_PROD[[#This Row],[PRODUÇÃO]]/T_PROD[[#This Row],[EFETIVO]]),""),"")</f>
        <v>1.9425287356321839</v>
      </c>
    </row>
    <row r="137" spans="1:11" s="6" customFormat="1" x14ac:dyDescent="0.3">
      <c r="A137" s="11">
        <v>46045</v>
      </c>
      <c r="B137" s="12" t="str">
        <f t="shared" ref="B137:B142" si="14">UPPER(TEXT(A137,"MMMM"))</f>
        <v>JANEIRO</v>
      </c>
      <c r="C137" s="12" t="s">
        <v>15</v>
      </c>
      <c r="D137" s="12" t="s">
        <v>12</v>
      </c>
      <c r="E137" s="13">
        <v>60</v>
      </c>
      <c r="F137" s="13">
        <v>36</v>
      </c>
      <c r="G137" s="12">
        <v>4</v>
      </c>
      <c r="H137" s="12">
        <v>4</v>
      </c>
      <c r="I137" s="12">
        <f>IFERROR(IF(T_PROD[[#This Row],[PREVISTO]]-T_PROD[[#This Row],[EFETIVO]]&lt; 0,0,T_PROD[[#This Row],[PREVISTO]]-T_PROD[[#This Row],[EFETIVO]] ),"")</f>
        <v>0</v>
      </c>
      <c r="J137" s="15">
        <f>IFERROR(IF(T_PROD[[#This Row],[META]]&gt;0,(T_PROD[[#This Row],[META]]/T_PROD[[#This Row],[PREVISTO]]),""),"")</f>
        <v>15</v>
      </c>
      <c r="K137" s="15">
        <f>IFERROR(IF(T_PROD[[#This Row],[PRODUÇÃO]]&gt;0,(T_PROD[[#This Row],[PRODUÇÃO]]/T_PROD[[#This Row],[EFETIVO]]),""),"")</f>
        <v>9</v>
      </c>
    </row>
    <row r="138" spans="1:11" s="6" customFormat="1" x14ac:dyDescent="0.3">
      <c r="A138" s="11">
        <v>46045</v>
      </c>
      <c r="B138" s="12" t="str">
        <f t="shared" si="14"/>
        <v>JANEIRO</v>
      </c>
      <c r="C138" s="12" t="s">
        <v>16</v>
      </c>
      <c r="D138" s="12" t="s">
        <v>12</v>
      </c>
      <c r="E138" s="13">
        <v>204</v>
      </c>
      <c r="F138" s="13">
        <v>70</v>
      </c>
      <c r="G138" s="12">
        <v>6</v>
      </c>
      <c r="H138" s="12">
        <v>7</v>
      </c>
      <c r="I138" s="12">
        <f>IFERROR(IF(T_PROD[[#This Row],[PREVISTO]]-T_PROD[[#This Row],[EFETIVO]]&lt; 0,0,T_PROD[[#This Row],[PREVISTO]]-T_PROD[[#This Row],[EFETIVO]] ),"")</f>
        <v>0</v>
      </c>
      <c r="J138" s="15">
        <f>IFERROR(IF(T_PROD[[#This Row],[META]]&gt;0,(T_PROD[[#This Row],[META]]/T_PROD[[#This Row],[PREVISTO]]),""),"")</f>
        <v>34</v>
      </c>
      <c r="K138" s="15">
        <f>IFERROR(IF(T_PROD[[#This Row],[PRODUÇÃO]]&gt;0,(T_PROD[[#This Row],[PRODUÇÃO]]/T_PROD[[#This Row],[EFETIVO]]),""),"")</f>
        <v>10</v>
      </c>
    </row>
    <row r="139" spans="1:11" s="6" customFormat="1" x14ac:dyDescent="0.3">
      <c r="A139" s="11">
        <v>46045</v>
      </c>
      <c r="B139" s="12" t="str">
        <f t="shared" si="14"/>
        <v>JANEIRO</v>
      </c>
      <c r="C139" s="12" t="s">
        <v>17</v>
      </c>
      <c r="D139" s="12" t="s">
        <v>12</v>
      </c>
      <c r="E139" s="13">
        <v>32</v>
      </c>
      <c r="F139" s="13">
        <v>0</v>
      </c>
      <c r="G139" s="12">
        <v>2</v>
      </c>
      <c r="H139" s="12">
        <v>2</v>
      </c>
      <c r="I139" s="12">
        <f>IFERROR(IF(T_PROD[[#This Row],[PREVISTO]]-T_PROD[[#This Row],[EFETIVO]]&lt; 0,0,T_PROD[[#This Row],[PREVISTO]]-T_PROD[[#This Row],[EFETIVO]] ),"")</f>
        <v>0</v>
      </c>
      <c r="J139" s="15">
        <f>IFERROR(IF(T_PROD[[#This Row],[META]]&gt;0,(T_PROD[[#This Row],[META]]/T_PROD[[#This Row],[PREVISTO]]),""),"")</f>
        <v>16</v>
      </c>
      <c r="K139" s="15" t="str">
        <f>IFERROR(IF(T_PROD[[#This Row],[PRODUÇÃO]]&gt;0,(T_PROD[[#This Row],[PRODUÇÃO]]/T_PROD[[#This Row],[EFETIVO]]),""),"")</f>
        <v/>
      </c>
    </row>
    <row r="140" spans="1:11" s="6" customFormat="1" x14ac:dyDescent="0.3">
      <c r="A140" s="11">
        <v>46045</v>
      </c>
      <c r="B140" s="12" t="str">
        <f t="shared" si="14"/>
        <v>JANEIRO</v>
      </c>
      <c r="C140" s="12" t="s">
        <v>18</v>
      </c>
      <c r="D140" s="12" t="s">
        <v>12</v>
      </c>
      <c r="E140" s="13">
        <v>100</v>
      </c>
      <c r="F140" s="13">
        <v>56</v>
      </c>
      <c r="G140" s="12">
        <v>3</v>
      </c>
      <c r="H140" s="12">
        <v>3</v>
      </c>
      <c r="I140" s="12">
        <f>IFERROR(IF(T_PROD[[#This Row],[PREVISTO]]-T_PROD[[#This Row],[EFETIVO]]&lt; 0,0,T_PROD[[#This Row],[PREVISTO]]-T_PROD[[#This Row],[EFETIVO]] ),"")</f>
        <v>0</v>
      </c>
      <c r="J140" s="15">
        <f>IFERROR(IF(T_PROD[[#This Row],[META]]&gt;0,(T_PROD[[#This Row],[META]]/T_PROD[[#This Row],[PREVISTO]]),""),"")</f>
        <v>33.333333333333336</v>
      </c>
      <c r="K140" s="15">
        <f>IFERROR(IF(T_PROD[[#This Row],[PRODUÇÃO]]&gt;0,(T_PROD[[#This Row],[PRODUÇÃO]]/T_PROD[[#This Row],[EFETIVO]]),""),"")</f>
        <v>18.666666666666668</v>
      </c>
    </row>
    <row r="141" spans="1:11" s="6" customFormat="1" x14ac:dyDescent="0.3">
      <c r="A141" s="11">
        <v>46045</v>
      </c>
      <c r="B141" s="12" t="str">
        <f t="shared" si="14"/>
        <v>JANEIRO</v>
      </c>
      <c r="C141" s="12" t="s">
        <v>19</v>
      </c>
      <c r="D141" s="12" t="s">
        <v>12</v>
      </c>
      <c r="E141" s="13">
        <v>100</v>
      </c>
      <c r="F141" s="13">
        <v>0</v>
      </c>
      <c r="G141" s="12">
        <v>11</v>
      </c>
      <c r="H141" s="12">
        <v>11</v>
      </c>
      <c r="I141" s="12">
        <f>IFERROR(IF(T_PROD[[#This Row],[PREVISTO]]-T_PROD[[#This Row],[EFETIVO]]&lt; 0,0,T_PROD[[#This Row],[PREVISTO]]-T_PROD[[#This Row],[EFETIVO]] ),"")</f>
        <v>0</v>
      </c>
      <c r="J141" s="15">
        <f>IFERROR(IF(T_PROD[[#This Row],[META]]&gt;0,(T_PROD[[#This Row],[META]]/T_PROD[[#This Row],[PREVISTO]]),""),"")</f>
        <v>9.0909090909090917</v>
      </c>
      <c r="K141" s="15" t="str">
        <f>IFERROR(IF(T_PROD[[#This Row],[PRODUÇÃO]]&gt;0,(T_PROD[[#This Row],[PRODUÇÃO]]/T_PROD[[#This Row],[EFETIVO]]),""),"")</f>
        <v/>
      </c>
    </row>
    <row r="142" spans="1:11" s="6" customFormat="1" x14ac:dyDescent="0.3">
      <c r="A142" s="11">
        <v>46045</v>
      </c>
      <c r="B142" s="12" t="str">
        <f t="shared" si="14"/>
        <v>JANEIRO</v>
      </c>
      <c r="C142" s="12" t="s">
        <v>20</v>
      </c>
      <c r="D142" s="12" t="s">
        <v>12</v>
      </c>
      <c r="E142" s="13">
        <v>486</v>
      </c>
      <c r="F142" s="13">
        <v>162</v>
      </c>
      <c r="G142" s="12">
        <v>87</v>
      </c>
      <c r="H142" s="12">
        <v>87</v>
      </c>
      <c r="I142" s="12">
        <f>IFERROR(IF(T_PROD[[#This Row],[PREVISTO]]-T_PROD[[#This Row],[EFETIVO]]&lt; 0,0,T_PROD[[#This Row],[PREVISTO]]-T_PROD[[#This Row],[EFETIVO]] ),"")</f>
        <v>0</v>
      </c>
      <c r="J142" s="15">
        <f>IFERROR(IF(T_PROD[[#This Row],[META]]&gt;0,(T_PROD[[#This Row],[META]]/T_PROD[[#This Row],[PREVISTO]]),""),"")</f>
        <v>5.5862068965517242</v>
      </c>
      <c r="K142" s="15">
        <f>IFERROR(IF(T_PROD[[#This Row],[PRODUÇÃO]]&gt;0,(T_PROD[[#This Row],[PRODUÇÃO]]/T_PROD[[#This Row],[EFETIVO]]),""),"")</f>
        <v>1.8620689655172413</v>
      </c>
    </row>
    <row r="143" spans="1:11" s="6" customFormat="1" x14ac:dyDescent="0.3">
      <c r="A143" s="11">
        <v>46048</v>
      </c>
      <c r="B143" s="12" t="str">
        <f t="shared" ref="B143:B148" si="15">UPPER(TEXT(A143,"MMMM"))</f>
        <v>JANEIRO</v>
      </c>
      <c r="C143" s="12" t="s">
        <v>15</v>
      </c>
      <c r="D143" s="12" t="s">
        <v>12</v>
      </c>
      <c r="E143" s="13">
        <v>60</v>
      </c>
      <c r="F143" s="13">
        <v>27</v>
      </c>
      <c r="G143" s="12">
        <v>4</v>
      </c>
      <c r="H143" s="12">
        <v>4</v>
      </c>
      <c r="I143" s="12">
        <f>IFERROR(IF(T_PROD[[#This Row],[PREVISTO]]-T_PROD[[#This Row],[EFETIVO]]&lt; 0,0,T_PROD[[#This Row],[PREVISTO]]-T_PROD[[#This Row],[EFETIVO]] ),"")</f>
        <v>0</v>
      </c>
      <c r="J143" s="15">
        <f>IFERROR(IF(T_PROD[[#This Row],[META]]&gt;0,(T_PROD[[#This Row],[META]]/T_PROD[[#This Row],[PREVISTO]]),""),"")</f>
        <v>15</v>
      </c>
      <c r="K143" s="15">
        <f>IFERROR(IF(T_PROD[[#This Row],[PRODUÇÃO]]&gt;0,(T_PROD[[#This Row],[PRODUÇÃO]]/T_PROD[[#This Row],[EFETIVO]]),""),"")</f>
        <v>6.75</v>
      </c>
    </row>
    <row r="144" spans="1:11" s="6" customFormat="1" x14ac:dyDescent="0.3">
      <c r="A144" s="11">
        <v>46048</v>
      </c>
      <c r="B144" s="12" t="str">
        <f t="shared" si="15"/>
        <v>JANEIRO</v>
      </c>
      <c r="C144" s="12" t="s">
        <v>16</v>
      </c>
      <c r="D144" s="12" t="s">
        <v>12</v>
      </c>
      <c r="E144" s="13">
        <v>204</v>
      </c>
      <c r="F144" s="13">
        <v>79</v>
      </c>
      <c r="G144" s="12">
        <v>6</v>
      </c>
      <c r="H144" s="12">
        <v>7</v>
      </c>
      <c r="I144" s="12">
        <f>IFERROR(IF(T_PROD[[#This Row],[PREVISTO]]-T_PROD[[#This Row],[EFETIVO]]&lt; 0,0,T_PROD[[#This Row],[PREVISTO]]-T_PROD[[#This Row],[EFETIVO]] ),"")</f>
        <v>0</v>
      </c>
      <c r="J144" s="15">
        <f>IFERROR(IF(T_PROD[[#This Row],[META]]&gt;0,(T_PROD[[#This Row],[META]]/T_PROD[[#This Row],[PREVISTO]]),""),"")</f>
        <v>34</v>
      </c>
      <c r="K144" s="15">
        <f>IFERROR(IF(T_PROD[[#This Row],[PRODUÇÃO]]&gt;0,(T_PROD[[#This Row],[PRODUÇÃO]]/T_PROD[[#This Row],[EFETIVO]]),""),"")</f>
        <v>11.285714285714286</v>
      </c>
    </row>
    <row r="145" spans="1:11" s="6" customFormat="1" x14ac:dyDescent="0.3">
      <c r="A145" s="11">
        <v>46048</v>
      </c>
      <c r="B145" s="12" t="str">
        <f t="shared" si="15"/>
        <v>JANEIRO</v>
      </c>
      <c r="C145" s="12" t="s">
        <v>17</v>
      </c>
      <c r="D145" s="12" t="s">
        <v>12</v>
      </c>
      <c r="E145" s="13">
        <v>32</v>
      </c>
      <c r="F145" s="13">
        <v>0</v>
      </c>
      <c r="G145" s="12">
        <v>2</v>
      </c>
      <c r="H145" s="12">
        <v>2</v>
      </c>
      <c r="I145" s="12">
        <f>IFERROR(IF(T_PROD[[#This Row],[PREVISTO]]-T_PROD[[#This Row],[EFETIVO]]&lt; 0,0,T_PROD[[#This Row],[PREVISTO]]-T_PROD[[#This Row],[EFETIVO]] ),"")</f>
        <v>0</v>
      </c>
      <c r="J145" s="15">
        <f>IFERROR(IF(T_PROD[[#This Row],[META]]&gt;0,(T_PROD[[#This Row],[META]]/T_PROD[[#This Row],[PREVISTO]]),""),"")</f>
        <v>16</v>
      </c>
      <c r="K145" s="15" t="str">
        <f>IFERROR(IF(T_PROD[[#This Row],[PRODUÇÃO]]&gt;0,(T_PROD[[#This Row],[PRODUÇÃO]]/T_PROD[[#This Row],[EFETIVO]]),""),"")</f>
        <v/>
      </c>
    </row>
    <row r="146" spans="1:11" s="6" customFormat="1" x14ac:dyDescent="0.3">
      <c r="A146" s="11">
        <v>46048</v>
      </c>
      <c r="B146" s="12" t="str">
        <f t="shared" si="15"/>
        <v>JANEIRO</v>
      </c>
      <c r="C146" s="12" t="s">
        <v>18</v>
      </c>
      <c r="D146" s="12" t="s">
        <v>12</v>
      </c>
      <c r="E146" s="13">
        <v>100</v>
      </c>
      <c r="F146" s="13">
        <v>210</v>
      </c>
      <c r="G146" s="12">
        <v>3</v>
      </c>
      <c r="H146" s="12">
        <v>3</v>
      </c>
      <c r="I146" s="12">
        <f>IFERROR(IF(T_PROD[[#This Row],[PREVISTO]]-T_PROD[[#This Row],[EFETIVO]]&lt; 0,0,T_PROD[[#This Row],[PREVISTO]]-T_PROD[[#This Row],[EFETIVO]] ),"")</f>
        <v>0</v>
      </c>
      <c r="J146" s="15">
        <f>IFERROR(IF(T_PROD[[#This Row],[META]]&gt;0,(T_PROD[[#This Row],[META]]/T_PROD[[#This Row],[PREVISTO]]),""),"")</f>
        <v>33.333333333333336</v>
      </c>
      <c r="K146" s="15">
        <f>IFERROR(IF(T_PROD[[#This Row],[PRODUÇÃO]]&gt;0,(T_PROD[[#This Row],[PRODUÇÃO]]/T_PROD[[#This Row],[EFETIVO]]),""),"")</f>
        <v>70</v>
      </c>
    </row>
    <row r="147" spans="1:11" s="6" customFormat="1" x14ac:dyDescent="0.3">
      <c r="A147" s="11">
        <v>46048</v>
      </c>
      <c r="B147" s="12" t="str">
        <f t="shared" si="15"/>
        <v>JANEIRO</v>
      </c>
      <c r="C147" s="12" t="s">
        <v>19</v>
      </c>
      <c r="D147" s="12" t="s">
        <v>12</v>
      </c>
      <c r="E147" s="13">
        <v>100</v>
      </c>
      <c r="F147" s="13">
        <v>0</v>
      </c>
      <c r="G147" s="12">
        <v>11</v>
      </c>
      <c r="H147" s="12">
        <v>11</v>
      </c>
      <c r="I147" s="12">
        <f>IFERROR(IF(T_PROD[[#This Row],[PREVISTO]]-T_PROD[[#This Row],[EFETIVO]]&lt; 0,0,T_PROD[[#This Row],[PREVISTO]]-T_PROD[[#This Row],[EFETIVO]] ),"")</f>
        <v>0</v>
      </c>
      <c r="J147" s="15">
        <f>IFERROR(IF(T_PROD[[#This Row],[META]]&gt;0,(T_PROD[[#This Row],[META]]/T_PROD[[#This Row],[PREVISTO]]),""),"")</f>
        <v>9.0909090909090917</v>
      </c>
      <c r="K147" s="15" t="str">
        <f>IFERROR(IF(T_PROD[[#This Row],[PRODUÇÃO]]&gt;0,(T_PROD[[#This Row],[PRODUÇÃO]]/T_PROD[[#This Row],[EFETIVO]]),""),"")</f>
        <v/>
      </c>
    </row>
    <row r="148" spans="1:11" s="6" customFormat="1" x14ac:dyDescent="0.3">
      <c r="A148" s="11">
        <v>46048</v>
      </c>
      <c r="B148" s="12" t="str">
        <f t="shared" si="15"/>
        <v>JANEIRO</v>
      </c>
      <c r="C148" s="12" t="s">
        <v>20</v>
      </c>
      <c r="D148" s="12" t="s">
        <v>12</v>
      </c>
      <c r="E148" s="13">
        <v>486</v>
      </c>
      <c r="F148" s="13">
        <v>316</v>
      </c>
      <c r="G148" s="12">
        <v>87</v>
      </c>
      <c r="H148" s="12">
        <v>87</v>
      </c>
      <c r="I148" s="12">
        <f>IFERROR(IF(T_PROD[[#This Row],[PREVISTO]]-T_PROD[[#This Row],[EFETIVO]]&lt; 0,0,T_PROD[[#This Row],[PREVISTO]]-T_PROD[[#This Row],[EFETIVO]] ),"")</f>
        <v>0</v>
      </c>
      <c r="J148" s="15">
        <f>IFERROR(IF(T_PROD[[#This Row],[META]]&gt;0,(T_PROD[[#This Row],[META]]/T_PROD[[#This Row],[PREVISTO]]),""),"")</f>
        <v>5.5862068965517242</v>
      </c>
      <c r="K148" s="15">
        <f>IFERROR(IF(T_PROD[[#This Row],[PRODUÇÃO]]&gt;0,(T_PROD[[#This Row],[PRODUÇÃO]]/T_PROD[[#This Row],[EFETIVO]]),""),"")</f>
        <v>3.632183908045977</v>
      </c>
    </row>
    <row r="149" spans="1:11" s="6" customFormat="1" x14ac:dyDescent="0.3">
      <c r="A149" s="11">
        <v>46049</v>
      </c>
      <c r="B149" s="12" t="str">
        <f t="shared" ref="B149:B154" si="16">UPPER(TEXT(A149,"MMMM"))</f>
        <v>JANEIRO</v>
      </c>
      <c r="C149" s="12" t="s">
        <v>15</v>
      </c>
      <c r="D149" s="12" t="s">
        <v>12</v>
      </c>
      <c r="E149" s="13">
        <v>60</v>
      </c>
      <c r="F149" s="13">
        <v>24</v>
      </c>
      <c r="G149" s="12">
        <v>4</v>
      </c>
      <c r="H149" s="12">
        <v>4</v>
      </c>
      <c r="I149" s="12">
        <f>IFERROR(IF(T_PROD[[#This Row],[PREVISTO]]-T_PROD[[#This Row],[EFETIVO]]&lt; 0,0,T_PROD[[#This Row],[PREVISTO]]-T_PROD[[#This Row],[EFETIVO]] ),"")</f>
        <v>0</v>
      </c>
      <c r="J149" s="15">
        <f>IFERROR(IF(T_PROD[[#This Row],[META]]&gt;0,(T_PROD[[#This Row],[META]]/T_PROD[[#This Row],[PREVISTO]]),""),"")</f>
        <v>15</v>
      </c>
      <c r="K149" s="15">
        <f>IFERROR(IF(T_PROD[[#This Row],[PRODUÇÃO]]&gt;0,(T_PROD[[#This Row],[PRODUÇÃO]]/T_PROD[[#This Row],[EFETIVO]]),""),"")</f>
        <v>6</v>
      </c>
    </row>
    <row r="150" spans="1:11" s="6" customFormat="1" x14ac:dyDescent="0.3">
      <c r="A150" s="11">
        <v>46049</v>
      </c>
      <c r="B150" s="12" t="str">
        <f t="shared" si="16"/>
        <v>JANEIRO</v>
      </c>
      <c r="C150" s="12" t="s">
        <v>16</v>
      </c>
      <c r="D150" s="12" t="s">
        <v>12</v>
      </c>
      <c r="E150" s="13">
        <v>204</v>
      </c>
      <c r="F150" s="13">
        <v>88</v>
      </c>
      <c r="G150" s="12">
        <v>6</v>
      </c>
      <c r="H150" s="12">
        <v>7</v>
      </c>
      <c r="I150" s="12">
        <f>IFERROR(IF(T_PROD[[#This Row],[PREVISTO]]-T_PROD[[#This Row],[EFETIVO]]&lt; 0,0,T_PROD[[#This Row],[PREVISTO]]-T_PROD[[#This Row],[EFETIVO]] ),"")</f>
        <v>0</v>
      </c>
      <c r="J150" s="15">
        <f>IFERROR(IF(T_PROD[[#This Row],[META]]&gt;0,(T_PROD[[#This Row],[META]]/T_PROD[[#This Row],[PREVISTO]]),""),"")</f>
        <v>34</v>
      </c>
      <c r="K150" s="15">
        <f>IFERROR(IF(T_PROD[[#This Row],[PRODUÇÃO]]&gt;0,(T_PROD[[#This Row],[PRODUÇÃO]]/T_PROD[[#This Row],[EFETIVO]]),""),"")</f>
        <v>12.571428571428571</v>
      </c>
    </row>
    <row r="151" spans="1:11" s="6" customFormat="1" x14ac:dyDescent="0.3">
      <c r="A151" s="11">
        <v>46049</v>
      </c>
      <c r="B151" s="12" t="str">
        <f t="shared" si="16"/>
        <v>JANEIRO</v>
      </c>
      <c r="C151" s="12" t="s">
        <v>17</v>
      </c>
      <c r="D151" s="12" t="s">
        <v>12</v>
      </c>
      <c r="E151" s="13">
        <v>32</v>
      </c>
      <c r="F151" s="13">
        <v>200</v>
      </c>
      <c r="G151" s="12">
        <v>2</v>
      </c>
      <c r="H151" s="12">
        <v>2</v>
      </c>
      <c r="I151" s="12">
        <f>IFERROR(IF(T_PROD[[#This Row],[PREVISTO]]-T_PROD[[#This Row],[EFETIVO]]&lt; 0,0,T_PROD[[#This Row],[PREVISTO]]-T_PROD[[#This Row],[EFETIVO]] ),"")</f>
        <v>0</v>
      </c>
      <c r="J151" s="15">
        <f>IFERROR(IF(T_PROD[[#This Row],[META]]&gt;0,(T_PROD[[#This Row],[META]]/T_PROD[[#This Row],[PREVISTO]]),""),"")</f>
        <v>16</v>
      </c>
      <c r="K151" s="15">
        <f>IFERROR(IF(T_PROD[[#This Row],[PRODUÇÃO]]&gt;0,(T_PROD[[#This Row],[PRODUÇÃO]]/T_PROD[[#This Row],[EFETIVO]]),""),"")</f>
        <v>100</v>
      </c>
    </row>
    <row r="152" spans="1:11" s="6" customFormat="1" x14ac:dyDescent="0.3">
      <c r="A152" s="11">
        <v>46049</v>
      </c>
      <c r="B152" s="12" t="str">
        <f t="shared" si="16"/>
        <v>JANEIRO</v>
      </c>
      <c r="C152" s="12" t="s">
        <v>18</v>
      </c>
      <c r="D152" s="12" t="s">
        <v>12</v>
      </c>
      <c r="E152" s="13">
        <v>100</v>
      </c>
      <c r="F152" s="13">
        <v>64</v>
      </c>
      <c r="G152" s="12">
        <v>3</v>
      </c>
      <c r="H152" s="12">
        <v>3</v>
      </c>
      <c r="I152" s="12">
        <f>IFERROR(IF(T_PROD[[#This Row],[PREVISTO]]-T_PROD[[#This Row],[EFETIVO]]&lt; 0,0,T_PROD[[#This Row],[PREVISTO]]-T_PROD[[#This Row],[EFETIVO]] ),"")</f>
        <v>0</v>
      </c>
      <c r="J152" s="15">
        <f>IFERROR(IF(T_PROD[[#This Row],[META]]&gt;0,(T_PROD[[#This Row],[META]]/T_PROD[[#This Row],[PREVISTO]]),""),"")</f>
        <v>33.333333333333336</v>
      </c>
      <c r="K152" s="15">
        <f>IFERROR(IF(T_PROD[[#This Row],[PRODUÇÃO]]&gt;0,(T_PROD[[#This Row],[PRODUÇÃO]]/T_PROD[[#This Row],[EFETIVO]]),""),"")</f>
        <v>21.333333333333332</v>
      </c>
    </row>
    <row r="153" spans="1:11" s="6" customFormat="1" x14ac:dyDescent="0.3">
      <c r="A153" s="11">
        <v>46049</v>
      </c>
      <c r="B153" s="12" t="str">
        <f t="shared" si="16"/>
        <v>JANEIRO</v>
      </c>
      <c r="C153" s="12" t="s">
        <v>19</v>
      </c>
      <c r="D153" s="12" t="s">
        <v>12</v>
      </c>
      <c r="E153" s="13">
        <v>100</v>
      </c>
      <c r="F153" s="13">
        <v>51</v>
      </c>
      <c r="G153" s="12">
        <v>11</v>
      </c>
      <c r="H153" s="12">
        <v>11</v>
      </c>
      <c r="I153" s="12">
        <f>IFERROR(IF(T_PROD[[#This Row],[PREVISTO]]-T_PROD[[#This Row],[EFETIVO]]&lt; 0,0,T_PROD[[#This Row],[PREVISTO]]-T_PROD[[#This Row],[EFETIVO]] ),"")</f>
        <v>0</v>
      </c>
      <c r="J153" s="15">
        <f>IFERROR(IF(T_PROD[[#This Row],[META]]&gt;0,(T_PROD[[#This Row],[META]]/T_PROD[[#This Row],[PREVISTO]]),""),"")</f>
        <v>9.0909090909090917</v>
      </c>
      <c r="K153" s="15">
        <f>IFERROR(IF(T_PROD[[#This Row],[PRODUÇÃO]]&gt;0,(T_PROD[[#This Row],[PRODUÇÃO]]/T_PROD[[#This Row],[EFETIVO]]),""),"")</f>
        <v>4.6363636363636367</v>
      </c>
    </row>
    <row r="154" spans="1:11" s="6" customFormat="1" x14ac:dyDescent="0.3">
      <c r="A154" s="11">
        <v>46049</v>
      </c>
      <c r="B154" s="12" t="str">
        <f t="shared" si="16"/>
        <v>JANEIRO</v>
      </c>
      <c r="C154" s="12" t="s">
        <v>20</v>
      </c>
      <c r="D154" s="12" t="s">
        <v>12</v>
      </c>
      <c r="E154" s="13">
        <v>486</v>
      </c>
      <c r="F154" s="13">
        <v>427</v>
      </c>
      <c r="G154" s="12">
        <v>87</v>
      </c>
      <c r="H154" s="12">
        <v>87</v>
      </c>
      <c r="I154" s="12">
        <f>IFERROR(IF(T_PROD[[#This Row],[PREVISTO]]-T_PROD[[#This Row],[EFETIVO]]&lt; 0,0,T_PROD[[#This Row],[PREVISTO]]-T_PROD[[#This Row],[EFETIVO]] ),"")</f>
        <v>0</v>
      </c>
      <c r="J154" s="15">
        <f>IFERROR(IF(T_PROD[[#This Row],[META]]&gt;0,(T_PROD[[#This Row],[META]]/T_PROD[[#This Row],[PREVISTO]]),""),"")</f>
        <v>5.5862068965517242</v>
      </c>
      <c r="K154" s="15">
        <f>IFERROR(IF(T_PROD[[#This Row],[PRODUÇÃO]]&gt;0,(T_PROD[[#This Row],[PRODUÇÃO]]/T_PROD[[#This Row],[EFETIVO]]),""),"")</f>
        <v>4.9080459770114944</v>
      </c>
    </row>
    <row r="155" spans="1:11" s="6" customFormat="1" x14ac:dyDescent="0.3">
      <c r="A155" s="11">
        <v>46050</v>
      </c>
      <c r="B155" s="12" t="str">
        <f>UPPER(TEXT(A155,"MMMM"))</f>
        <v>JANEIRO</v>
      </c>
      <c r="C155" s="12" t="s">
        <v>15</v>
      </c>
      <c r="D155" s="12" t="s">
        <v>12</v>
      </c>
      <c r="E155" s="13">
        <v>60</v>
      </c>
      <c r="F155" s="13">
        <v>15</v>
      </c>
      <c r="G155" s="12">
        <v>4</v>
      </c>
      <c r="H155" s="12">
        <v>4</v>
      </c>
      <c r="I155" s="12">
        <f>IFERROR(IF(T_PROD[[#This Row],[PREVISTO]]-T_PROD[[#This Row],[EFETIVO]]&lt; 0,0,T_PROD[[#This Row],[PREVISTO]]-T_PROD[[#This Row],[EFETIVO]] ),"")</f>
        <v>0</v>
      </c>
      <c r="J155" s="15">
        <f>IFERROR(IF(T_PROD[[#This Row],[META]]&gt;0,(T_PROD[[#This Row],[META]]/T_PROD[[#This Row],[PREVISTO]]),""),"")</f>
        <v>15</v>
      </c>
      <c r="K155" s="15">
        <f>IFERROR(IF(T_PROD[[#This Row],[PRODUÇÃO]]&gt;0,(T_PROD[[#This Row],[PRODUÇÃO]]/T_PROD[[#This Row],[EFETIVO]]),""),"")</f>
        <v>3.75</v>
      </c>
    </row>
    <row r="156" spans="1:11" s="6" customFormat="1" x14ac:dyDescent="0.3">
      <c r="A156" s="11">
        <v>46050</v>
      </c>
      <c r="B156" s="12" t="str">
        <f t="shared" ref="B156:B160" si="17">UPPER(TEXT(A156,"MMMM"))</f>
        <v>JANEIRO</v>
      </c>
      <c r="C156" s="12" t="s">
        <v>16</v>
      </c>
      <c r="D156" s="12" t="s">
        <v>12</v>
      </c>
      <c r="E156" s="13">
        <v>204</v>
      </c>
      <c r="F156" s="13">
        <v>127</v>
      </c>
      <c r="G156" s="12">
        <v>6</v>
      </c>
      <c r="H156" s="12">
        <v>7</v>
      </c>
      <c r="I156" s="12">
        <f>IFERROR(IF(T_PROD[[#This Row],[PREVISTO]]-T_PROD[[#This Row],[EFETIVO]]&lt; 0,0,T_PROD[[#This Row],[PREVISTO]]-T_PROD[[#This Row],[EFETIVO]] ),"")</f>
        <v>0</v>
      </c>
      <c r="J156" s="15">
        <f>IFERROR(IF(T_PROD[[#This Row],[META]]&gt;0,(T_PROD[[#This Row],[META]]/T_PROD[[#This Row],[PREVISTO]]),""),"")</f>
        <v>34</v>
      </c>
      <c r="K156" s="15">
        <f>IFERROR(IF(T_PROD[[#This Row],[PRODUÇÃO]]&gt;0,(T_PROD[[#This Row],[PRODUÇÃO]]/T_PROD[[#This Row],[EFETIVO]]),""),"")</f>
        <v>18.142857142857142</v>
      </c>
    </row>
    <row r="157" spans="1:11" s="6" customFormat="1" x14ac:dyDescent="0.3">
      <c r="A157" s="11">
        <v>46050</v>
      </c>
      <c r="B157" s="12" t="str">
        <f t="shared" si="17"/>
        <v>JANEIRO</v>
      </c>
      <c r="C157" s="12" t="s">
        <v>17</v>
      </c>
      <c r="D157" s="12" t="s">
        <v>12</v>
      </c>
      <c r="E157" s="13">
        <v>32</v>
      </c>
      <c r="F157" s="13">
        <v>42</v>
      </c>
      <c r="G157" s="12">
        <v>2</v>
      </c>
      <c r="H157" s="12">
        <v>2</v>
      </c>
      <c r="I157" s="12">
        <f>IFERROR(IF(T_PROD[[#This Row],[PREVISTO]]-T_PROD[[#This Row],[EFETIVO]]&lt; 0,0,T_PROD[[#This Row],[PREVISTO]]-T_PROD[[#This Row],[EFETIVO]] ),"")</f>
        <v>0</v>
      </c>
      <c r="J157" s="15">
        <f>IFERROR(IF(T_PROD[[#This Row],[META]]&gt;0,(T_PROD[[#This Row],[META]]/T_PROD[[#This Row],[PREVISTO]]),""),"")</f>
        <v>16</v>
      </c>
      <c r="K157" s="15">
        <f>IFERROR(IF(T_PROD[[#This Row],[PRODUÇÃO]]&gt;0,(T_PROD[[#This Row],[PRODUÇÃO]]/T_PROD[[#This Row],[EFETIVO]]),""),"")</f>
        <v>21</v>
      </c>
    </row>
    <row r="158" spans="1:11" s="6" customFormat="1" x14ac:dyDescent="0.3">
      <c r="A158" s="11">
        <v>46050</v>
      </c>
      <c r="B158" s="12" t="str">
        <f t="shared" si="17"/>
        <v>JANEIRO</v>
      </c>
      <c r="C158" s="12" t="s">
        <v>18</v>
      </c>
      <c r="D158" s="12" t="s">
        <v>12</v>
      </c>
      <c r="E158" s="13">
        <v>100</v>
      </c>
      <c r="F158" s="13">
        <v>0</v>
      </c>
      <c r="G158" s="12">
        <v>3</v>
      </c>
      <c r="H158" s="12">
        <v>3</v>
      </c>
      <c r="I158" s="12">
        <f>IFERROR(IF(T_PROD[[#This Row],[PREVISTO]]-T_PROD[[#This Row],[EFETIVO]]&lt; 0,0,T_PROD[[#This Row],[PREVISTO]]-T_PROD[[#This Row],[EFETIVO]] ),"")</f>
        <v>0</v>
      </c>
      <c r="J158" s="15">
        <f>IFERROR(IF(T_PROD[[#This Row],[META]]&gt;0,(T_PROD[[#This Row],[META]]/T_PROD[[#This Row],[PREVISTO]]),""),"")</f>
        <v>33.333333333333336</v>
      </c>
      <c r="K158" s="15" t="str">
        <f>IFERROR(IF(T_PROD[[#This Row],[PRODUÇÃO]]&gt;0,(T_PROD[[#This Row],[PRODUÇÃO]]/T_PROD[[#This Row],[EFETIVO]]),""),"")</f>
        <v/>
      </c>
    </row>
    <row r="159" spans="1:11" s="6" customFormat="1" x14ac:dyDescent="0.3">
      <c r="A159" s="11">
        <v>46050</v>
      </c>
      <c r="B159" s="12" t="str">
        <f t="shared" si="17"/>
        <v>JANEIRO</v>
      </c>
      <c r="C159" s="12" t="s">
        <v>19</v>
      </c>
      <c r="D159" s="12" t="s">
        <v>12</v>
      </c>
      <c r="E159" s="13">
        <v>100</v>
      </c>
      <c r="F159" s="13">
        <v>60</v>
      </c>
      <c r="G159" s="12">
        <v>11</v>
      </c>
      <c r="H159" s="12">
        <v>11</v>
      </c>
      <c r="I159" s="12">
        <f>IFERROR(IF(T_PROD[[#This Row],[PREVISTO]]-T_PROD[[#This Row],[EFETIVO]]&lt; 0,0,T_PROD[[#This Row],[PREVISTO]]-T_PROD[[#This Row],[EFETIVO]] ),"")</f>
        <v>0</v>
      </c>
      <c r="J159" s="15">
        <f>IFERROR(IF(T_PROD[[#This Row],[META]]&gt;0,(T_PROD[[#This Row],[META]]/T_PROD[[#This Row],[PREVISTO]]),""),"")</f>
        <v>9.0909090909090917</v>
      </c>
      <c r="K159" s="15">
        <f>IFERROR(IF(T_PROD[[#This Row],[PRODUÇÃO]]&gt;0,(T_PROD[[#This Row],[PRODUÇÃO]]/T_PROD[[#This Row],[EFETIVO]]),""),"")</f>
        <v>5.4545454545454541</v>
      </c>
    </row>
    <row r="160" spans="1:11" s="6" customFormat="1" x14ac:dyDescent="0.3">
      <c r="A160" s="11">
        <v>46050</v>
      </c>
      <c r="B160" s="12" t="str">
        <f t="shared" si="17"/>
        <v>JANEIRO</v>
      </c>
      <c r="C160" s="12" t="s">
        <v>20</v>
      </c>
      <c r="D160" s="12" t="s">
        <v>12</v>
      </c>
      <c r="E160" s="13">
        <v>486</v>
      </c>
      <c r="F160" s="13">
        <v>244</v>
      </c>
      <c r="G160" s="12">
        <v>87</v>
      </c>
      <c r="H160" s="12">
        <v>87</v>
      </c>
      <c r="I160" s="12">
        <f>IFERROR(IF(T_PROD[[#This Row],[PREVISTO]]-T_PROD[[#This Row],[EFETIVO]]&lt; 0,0,T_PROD[[#This Row],[PREVISTO]]-T_PROD[[#This Row],[EFETIVO]] ),"")</f>
        <v>0</v>
      </c>
      <c r="J160" s="15">
        <f>IFERROR(IF(T_PROD[[#This Row],[META]]&gt;0,(T_PROD[[#This Row],[META]]/T_PROD[[#This Row],[PREVISTO]]),""),"")</f>
        <v>5.5862068965517242</v>
      </c>
      <c r="K160" s="15">
        <f>IFERROR(IF(T_PROD[[#This Row],[PRODUÇÃO]]&gt;0,(T_PROD[[#This Row],[PRODUÇÃO]]/T_PROD[[#This Row],[EFETIVO]]),""),"")</f>
        <v>2.8045977011494254</v>
      </c>
    </row>
    <row r="161" spans="1:11" s="6" customFormat="1" x14ac:dyDescent="0.3">
      <c r="A161" s="11">
        <v>46050</v>
      </c>
      <c r="B161" s="12" t="str">
        <f t="shared" ref="B161:B181" si="18">UPPER(TEXT(A161,"MMMM"))</f>
        <v>JANEIRO</v>
      </c>
      <c r="C161" s="12" t="s">
        <v>11</v>
      </c>
      <c r="D161" s="12" t="s">
        <v>12</v>
      </c>
      <c r="E161" s="13">
        <v>600</v>
      </c>
      <c r="F161" s="13">
        <v>600</v>
      </c>
      <c r="G161" s="12">
        <v>33</v>
      </c>
      <c r="H161" s="14">
        <v>28</v>
      </c>
      <c r="I161" s="12">
        <f>IFERROR(IF(T_PROD[[#This Row],[PREVISTO]]-T_PROD[[#This Row],[EFETIVO]]&lt; 0,0,T_PROD[[#This Row],[PREVISTO]]-T_PROD[[#This Row],[EFETIVO]] ),"")</f>
        <v>5</v>
      </c>
      <c r="J161" s="15">
        <v>18</v>
      </c>
      <c r="K161" s="15">
        <f>IFERROR(IF(T_PROD[[#This Row],[PRODUÇÃO]]&gt;0,(T_PROD[[#This Row],[PRODUÇÃO]]/T_PROD[[#This Row],[EFETIVO]]),""),"")</f>
        <v>21.428571428571427</v>
      </c>
    </row>
    <row r="162" spans="1:11" s="6" customFormat="1" x14ac:dyDescent="0.3">
      <c r="A162" s="11">
        <v>46050</v>
      </c>
      <c r="B162" s="12" t="str">
        <f t="shared" si="18"/>
        <v>JANEIRO</v>
      </c>
      <c r="C162" s="12" t="s">
        <v>13</v>
      </c>
      <c r="D162" s="12" t="s">
        <v>12</v>
      </c>
      <c r="E162" s="13">
        <v>150</v>
      </c>
      <c r="F162" s="13">
        <v>168</v>
      </c>
      <c r="G162" s="12">
        <v>10</v>
      </c>
      <c r="H162" s="14">
        <v>10</v>
      </c>
      <c r="I162" s="12">
        <f>IFERROR(IF(T_PROD[[#This Row],[PREVISTO]]-T_PROD[[#This Row],[EFETIVO]]&lt; 0,0,T_PROD[[#This Row],[PREVISTO]]-T_PROD[[#This Row],[EFETIVO]] ),"")</f>
        <v>0</v>
      </c>
      <c r="J162" s="15">
        <f>IFERROR(IF(T_PROD[[#This Row],[META]]&gt;0,(T_PROD[[#This Row],[META]]/T_PROD[[#This Row],[PREVISTO]]),""),"")</f>
        <v>15</v>
      </c>
      <c r="K162" s="15">
        <f>IFERROR(IF(T_PROD[[#This Row],[PRODUÇÃO]]&gt;0,(T_PROD[[#This Row],[PRODUÇÃO]]/T_PROD[[#This Row],[EFETIVO]]),""),"")</f>
        <v>16.8</v>
      </c>
    </row>
    <row r="163" spans="1:11" s="6" customFormat="1" x14ac:dyDescent="0.3">
      <c r="A163" s="11">
        <v>46050</v>
      </c>
      <c r="B163" s="12" t="str">
        <f t="shared" si="18"/>
        <v>JANEIRO</v>
      </c>
      <c r="C163" s="12" t="s">
        <v>14</v>
      </c>
      <c r="D163" s="12" t="s">
        <v>12</v>
      </c>
      <c r="E163" s="13">
        <v>750</v>
      </c>
      <c r="F163" s="13">
        <v>768</v>
      </c>
      <c r="G163" s="12">
        <v>91</v>
      </c>
      <c r="H163" s="14">
        <v>81</v>
      </c>
      <c r="I163" s="12">
        <f>IFERROR(IF(T_PROD[[#This Row],[PREVISTO]]-T_PROD[[#This Row],[EFETIVO]]&lt; 0,0,T_PROD[[#This Row],[PREVISTO]]-T_PROD[[#This Row],[EFETIVO]] ),"")</f>
        <v>10</v>
      </c>
      <c r="J163" s="15">
        <v>8.1</v>
      </c>
      <c r="K163" s="15">
        <f>IFERROR(IF(T_PROD[[#This Row],[PRODUÇÃO]]&gt;0,(T_PROD[[#This Row],[PRODUÇÃO]]/T_PROD[[#This Row],[EFETIVO]]),""),"")</f>
        <v>9.481481481481481</v>
      </c>
    </row>
    <row r="164" spans="1:11" s="6" customFormat="1" x14ac:dyDescent="0.3">
      <c r="A164" s="11">
        <v>46051</v>
      </c>
      <c r="B164" s="12" t="str">
        <f t="shared" si="18"/>
        <v>JANEIRO</v>
      </c>
      <c r="C164" s="12" t="s">
        <v>15</v>
      </c>
      <c r="D164" s="12" t="s">
        <v>12</v>
      </c>
      <c r="E164" s="13">
        <v>60</v>
      </c>
      <c r="F164" s="13">
        <v>24</v>
      </c>
      <c r="G164" s="12">
        <v>4</v>
      </c>
      <c r="H164" s="12">
        <v>4</v>
      </c>
      <c r="I164" s="12">
        <f>IFERROR(IF(T_PROD[[#This Row],[PREVISTO]]-T_PROD[[#This Row],[EFETIVO]]&lt; 0,0,T_PROD[[#This Row],[PREVISTO]]-T_PROD[[#This Row],[EFETIVO]] ),"")</f>
        <v>0</v>
      </c>
      <c r="J164" s="15">
        <f>IFERROR(IF(T_PROD[[#This Row],[META]]&gt;0,(T_PROD[[#This Row],[META]]/T_PROD[[#This Row],[PREVISTO]]),""),"")</f>
        <v>15</v>
      </c>
      <c r="K164" s="15">
        <f>IFERROR(IF(T_PROD[[#This Row],[PRODUÇÃO]]&gt;0,(T_PROD[[#This Row],[PRODUÇÃO]]/T_PROD[[#This Row],[EFETIVO]]),""),"")</f>
        <v>6</v>
      </c>
    </row>
    <row r="165" spans="1:11" s="6" customFormat="1" x14ac:dyDescent="0.3">
      <c r="A165" s="11">
        <v>46051</v>
      </c>
      <c r="B165" s="12" t="str">
        <f t="shared" si="18"/>
        <v>JANEIRO</v>
      </c>
      <c r="C165" s="12" t="s">
        <v>16</v>
      </c>
      <c r="D165" s="12" t="s">
        <v>12</v>
      </c>
      <c r="E165" s="13">
        <v>204</v>
      </c>
      <c r="F165" s="13">
        <v>125</v>
      </c>
      <c r="G165" s="12">
        <v>6</v>
      </c>
      <c r="H165" s="12">
        <v>7</v>
      </c>
      <c r="I165" s="12">
        <f>IFERROR(IF(T_PROD[[#This Row],[PREVISTO]]-T_PROD[[#This Row],[EFETIVO]]&lt; 0,0,T_PROD[[#This Row],[PREVISTO]]-T_PROD[[#This Row],[EFETIVO]] ),"")</f>
        <v>0</v>
      </c>
      <c r="J165" s="15">
        <f>IFERROR(IF(T_PROD[[#This Row],[META]]&gt;0,(T_PROD[[#This Row],[META]]/T_PROD[[#This Row],[PREVISTO]]),""),"")</f>
        <v>34</v>
      </c>
      <c r="K165" s="15">
        <f>IFERROR(IF(T_PROD[[#This Row],[PRODUÇÃO]]&gt;0,(T_PROD[[#This Row],[PRODUÇÃO]]/T_PROD[[#This Row],[EFETIVO]]),""),"")</f>
        <v>17.857142857142858</v>
      </c>
    </row>
    <row r="166" spans="1:11" s="6" customFormat="1" x14ac:dyDescent="0.3">
      <c r="A166" s="11">
        <v>46051</v>
      </c>
      <c r="B166" s="12" t="str">
        <f t="shared" si="18"/>
        <v>JANEIRO</v>
      </c>
      <c r="C166" s="12" t="s">
        <v>17</v>
      </c>
      <c r="D166" s="12" t="s">
        <v>12</v>
      </c>
      <c r="E166" s="13">
        <v>32</v>
      </c>
      <c r="F166" s="13">
        <v>110</v>
      </c>
      <c r="G166" s="12">
        <v>2</v>
      </c>
      <c r="H166" s="12">
        <v>2</v>
      </c>
      <c r="I166" s="12">
        <f>IFERROR(IF(T_PROD[[#This Row],[PREVISTO]]-T_PROD[[#This Row],[EFETIVO]]&lt; 0,0,T_PROD[[#This Row],[PREVISTO]]-T_PROD[[#This Row],[EFETIVO]] ),"")</f>
        <v>0</v>
      </c>
      <c r="J166" s="15">
        <f>IFERROR(IF(T_PROD[[#This Row],[META]]&gt;0,(T_PROD[[#This Row],[META]]/T_PROD[[#This Row],[PREVISTO]]),""),"")</f>
        <v>16</v>
      </c>
      <c r="K166" s="15">
        <f>IFERROR(IF(T_PROD[[#This Row],[PRODUÇÃO]]&gt;0,(T_PROD[[#This Row],[PRODUÇÃO]]/T_PROD[[#This Row],[EFETIVO]]),""),"")</f>
        <v>55</v>
      </c>
    </row>
    <row r="167" spans="1:11" s="6" customFormat="1" x14ac:dyDescent="0.3">
      <c r="A167" s="11">
        <v>46051</v>
      </c>
      <c r="B167" s="12" t="str">
        <f t="shared" si="18"/>
        <v>JANEIRO</v>
      </c>
      <c r="C167" s="12" t="s">
        <v>18</v>
      </c>
      <c r="D167" s="12" t="s">
        <v>12</v>
      </c>
      <c r="E167" s="13">
        <v>100</v>
      </c>
      <c r="F167" s="13">
        <v>0</v>
      </c>
      <c r="G167" s="12">
        <v>3</v>
      </c>
      <c r="H167" s="12">
        <v>3</v>
      </c>
      <c r="I167" s="12">
        <f>IFERROR(IF(T_PROD[[#This Row],[PREVISTO]]-T_PROD[[#This Row],[EFETIVO]]&lt; 0,0,T_PROD[[#This Row],[PREVISTO]]-T_PROD[[#This Row],[EFETIVO]] ),"")</f>
        <v>0</v>
      </c>
      <c r="J167" s="15">
        <f>IFERROR(IF(T_PROD[[#This Row],[META]]&gt;0,(T_PROD[[#This Row],[META]]/T_PROD[[#This Row],[PREVISTO]]),""),"")</f>
        <v>33.333333333333336</v>
      </c>
      <c r="K167" s="15" t="str">
        <f>IFERROR(IF(T_PROD[[#This Row],[PRODUÇÃO]]&gt;0,(T_PROD[[#This Row],[PRODUÇÃO]]/T_PROD[[#This Row],[EFETIVO]]),""),"")</f>
        <v/>
      </c>
    </row>
    <row r="168" spans="1:11" s="6" customFormat="1" x14ac:dyDescent="0.3">
      <c r="A168" s="11">
        <v>46051</v>
      </c>
      <c r="B168" s="12" t="str">
        <f t="shared" si="18"/>
        <v>JANEIRO</v>
      </c>
      <c r="C168" s="12" t="s">
        <v>19</v>
      </c>
      <c r="D168" s="12" t="s">
        <v>12</v>
      </c>
      <c r="E168" s="13">
        <v>100</v>
      </c>
      <c r="F168" s="13">
        <v>83</v>
      </c>
      <c r="G168" s="12">
        <v>11</v>
      </c>
      <c r="H168" s="12">
        <v>11</v>
      </c>
      <c r="I168" s="12">
        <f>IFERROR(IF(T_PROD[[#This Row],[PREVISTO]]-T_PROD[[#This Row],[EFETIVO]]&lt; 0,0,T_PROD[[#This Row],[PREVISTO]]-T_PROD[[#This Row],[EFETIVO]] ),"")</f>
        <v>0</v>
      </c>
      <c r="J168" s="15">
        <f>IFERROR(IF(T_PROD[[#This Row],[META]]&gt;0,(T_PROD[[#This Row],[META]]/T_PROD[[#This Row],[PREVISTO]]),""),"")</f>
        <v>9.0909090909090917</v>
      </c>
      <c r="K168" s="15">
        <f>IFERROR(IF(T_PROD[[#This Row],[PRODUÇÃO]]&gt;0,(T_PROD[[#This Row],[PRODUÇÃO]]/T_PROD[[#This Row],[EFETIVO]]),""),"")</f>
        <v>7.5454545454545459</v>
      </c>
    </row>
    <row r="169" spans="1:11" s="6" customFormat="1" x14ac:dyDescent="0.3">
      <c r="A169" s="11">
        <v>46051</v>
      </c>
      <c r="B169" s="12" t="str">
        <f t="shared" si="18"/>
        <v>JANEIRO</v>
      </c>
      <c r="C169" s="12" t="s">
        <v>20</v>
      </c>
      <c r="D169" s="12" t="s">
        <v>12</v>
      </c>
      <c r="E169" s="13">
        <v>486</v>
      </c>
      <c r="F169" s="13">
        <v>342</v>
      </c>
      <c r="G169" s="12">
        <v>87</v>
      </c>
      <c r="H169" s="12">
        <v>87</v>
      </c>
      <c r="I169" s="12">
        <f>IFERROR(IF(T_PROD[[#This Row],[PREVISTO]]-T_PROD[[#This Row],[EFETIVO]]&lt; 0,0,T_PROD[[#This Row],[PREVISTO]]-T_PROD[[#This Row],[EFETIVO]] ),"")</f>
        <v>0</v>
      </c>
      <c r="J169" s="15">
        <f>IFERROR(IF(T_PROD[[#This Row],[META]]&gt;0,(T_PROD[[#This Row],[META]]/T_PROD[[#This Row],[PREVISTO]]),""),"")</f>
        <v>5.5862068965517242</v>
      </c>
      <c r="K169" s="15">
        <f>IFERROR(IF(T_PROD[[#This Row],[PRODUÇÃO]]&gt;0,(T_PROD[[#This Row],[PRODUÇÃO]]/T_PROD[[#This Row],[EFETIVO]]),""),"")</f>
        <v>3.9310344827586206</v>
      </c>
    </row>
    <row r="170" spans="1:11" s="6" customFormat="1" x14ac:dyDescent="0.3">
      <c r="A170" s="11">
        <v>46051</v>
      </c>
      <c r="B170" s="12" t="str">
        <f t="shared" si="18"/>
        <v>JANEIRO</v>
      </c>
      <c r="C170" s="12" t="s">
        <v>11</v>
      </c>
      <c r="D170" s="12" t="s">
        <v>12</v>
      </c>
      <c r="E170" s="13">
        <v>600</v>
      </c>
      <c r="F170" s="13">
        <v>440</v>
      </c>
      <c r="G170" s="12">
        <v>33</v>
      </c>
      <c r="H170" s="14">
        <v>24</v>
      </c>
      <c r="I170" s="12">
        <f>IFERROR(IF(T_PROD[[#This Row],[PREVISTO]]-T_PROD[[#This Row],[EFETIVO]]&lt; 0,0,T_PROD[[#This Row],[PREVISTO]]-T_PROD[[#This Row],[EFETIVO]] ),"")</f>
        <v>9</v>
      </c>
      <c r="J170" s="15">
        <v>18</v>
      </c>
      <c r="K170" s="15">
        <f>IFERROR(IF(T_PROD[[#This Row],[PRODUÇÃO]]&gt;0,(T_PROD[[#This Row],[PRODUÇÃO]]/T_PROD[[#This Row],[EFETIVO]]),""),"")</f>
        <v>18.333333333333332</v>
      </c>
    </row>
    <row r="171" spans="1:11" s="6" customFormat="1" x14ac:dyDescent="0.3">
      <c r="A171" s="11">
        <v>46051</v>
      </c>
      <c r="B171" s="12" t="str">
        <f t="shared" si="18"/>
        <v>JANEIRO</v>
      </c>
      <c r="C171" s="12" t="s">
        <v>13</v>
      </c>
      <c r="D171" s="12" t="s">
        <v>12</v>
      </c>
      <c r="E171" s="13">
        <v>150</v>
      </c>
      <c r="F171" s="13">
        <v>166</v>
      </c>
      <c r="G171" s="12">
        <v>10</v>
      </c>
      <c r="H171" s="14">
        <v>10</v>
      </c>
      <c r="I171" s="12">
        <f>IFERROR(IF(T_PROD[[#This Row],[PREVISTO]]-T_PROD[[#This Row],[EFETIVO]]&lt; 0,0,T_PROD[[#This Row],[PREVISTO]]-T_PROD[[#This Row],[EFETIVO]] ),"")</f>
        <v>0</v>
      </c>
      <c r="J171" s="15">
        <f>IFERROR(IF(T_PROD[[#This Row],[META]]&gt;0,(T_PROD[[#This Row],[META]]/T_PROD[[#This Row],[PREVISTO]]),""),"")</f>
        <v>15</v>
      </c>
      <c r="K171" s="15">
        <f>IFERROR(IF(T_PROD[[#This Row],[PRODUÇÃO]]&gt;0,(T_PROD[[#This Row],[PRODUÇÃO]]/T_PROD[[#This Row],[EFETIVO]]),""),"")</f>
        <v>16.600000000000001</v>
      </c>
    </row>
    <row r="172" spans="1:11" s="6" customFormat="1" x14ac:dyDescent="0.3">
      <c r="A172" s="11">
        <v>46051</v>
      </c>
      <c r="B172" s="12" t="str">
        <f t="shared" si="18"/>
        <v>JANEIRO</v>
      </c>
      <c r="C172" s="12" t="s">
        <v>14</v>
      </c>
      <c r="D172" s="12" t="s">
        <v>12</v>
      </c>
      <c r="E172" s="13">
        <v>750</v>
      </c>
      <c r="F172" s="13">
        <v>606</v>
      </c>
      <c r="G172" s="12">
        <v>91</v>
      </c>
      <c r="H172" s="14">
        <v>77</v>
      </c>
      <c r="I172" s="12">
        <f>IFERROR(IF(T_PROD[[#This Row],[PREVISTO]]-T_PROD[[#This Row],[EFETIVO]]&lt; 0,0,T_PROD[[#This Row],[PREVISTO]]-T_PROD[[#This Row],[EFETIVO]] ),"")</f>
        <v>14</v>
      </c>
      <c r="J172" s="15">
        <v>8.1</v>
      </c>
      <c r="K172" s="15">
        <f>IFERROR(IF(T_PROD[[#This Row],[PRODUÇÃO]]&gt;0,(T_PROD[[#This Row],[PRODUÇÃO]]/T_PROD[[#This Row],[EFETIVO]]),""),"")</f>
        <v>7.8701298701298699</v>
      </c>
    </row>
    <row r="173" spans="1:11" s="6" customFormat="1" x14ac:dyDescent="0.3">
      <c r="A173" s="11">
        <v>46052</v>
      </c>
      <c r="B173" s="12" t="str">
        <f t="shared" si="18"/>
        <v>JANEIRO</v>
      </c>
      <c r="C173" s="12" t="s">
        <v>15</v>
      </c>
      <c r="D173" s="12" t="s">
        <v>12</v>
      </c>
      <c r="E173" s="13">
        <v>60</v>
      </c>
      <c r="F173" s="13">
        <v>36</v>
      </c>
      <c r="G173" s="12">
        <v>4</v>
      </c>
      <c r="H173" s="12">
        <v>4</v>
      </c>
      <c r="I173" s="12">
        <f>IFERROR(IF(T_PROD[[#This Row],[PREVISTO]]-T_PROD[[#This Row],[EFETIVO]]&lt; 0,0,T_PROD[[#This Row],[PREVISTO]]-T_PROD[[#This Row],[EFETIVO]] ),"")</f>
        <v>0</v>
      </c>
      <c r="J173" s="15">
        <f>IFERROR(IF(T_PROD[[#This Row],[META]]&gt;0,(T_PROD[[#This Row],[META]]/T_PROD[[#This Row],[PREVISTO]]),""),"")</f>
        <v>15</v>
      </c>
      <c r="K173" s="15">
        <f>IFERROR(IF(T_PROD[[#This Row],[PRODUÇÃO]]&gt;0,(T_PROD[[#This Row],[PRODUÇÃO]]/T_PROD[[#This Row],[EFETIVO]]),""),"")</f>
        <v>9</v>
      </c>
    </row>
    <row r="174" spans="1:11" s="6" customFormat="1" x14ac:dyDescent="0.3">
      <c r="A174" s="11">
        <v>46052</v>
      </c>
      <c r="B174" s="12" t="str">
        <f t="shared" si="18"/>
        <v>JANEIRO</v>
      </c>
      <c r="C174" s="12" t="s">
        <v>16</v>
      </c>
      <c r="D174" s="12" t="s">
        <v>12</v>
      </c>
      <c r="E174" s="13">
        <v>204</v>
      </c>
      <c r="F174" s="13">
        <v>112</v>
      </c>
      <c r="G174" s="12">
        <v>6</v>
      </c>
      <c r="H174" s="12">
        <v>7</v>
      </c>
      <c r="I174" s="12">
        <f>IFERROR(IF(T_PROD[[#This Row],[PREVISTO]]-T_PROD[[#This Row],[EFETIVO]]&lt; 0,0,T_PROD[[#This Row],[PREVISTO]]-T_PROD[[#This Row],[EFETIVO]] ),"")</f>
        <v>0</v>
      </c>
      <c r="J174" s="15">
        <f>IFERROR(IF(T_PROD[[#This Row],[META]]&gt;0,(T_PROD[[#This Row],[META]]/T_PROD[[#This Row],[PREVISTO]]),""),"")</f>
        <v>34</v>
      </c>
      <c r="K174" s="15">
        <f>IFERROR(IF(T_PROD[[#This Row],[PRODUÇÃO]]&gt;0,(T_PROD[[#This Row],[PRODUÇÃO]]/T_PROD[[#This Row],[EFETIVO]]),""),"")</f>
        <v>16</v>
      </c>
    </row>
    <row r="175" spans="1:11" s="6" customFormat="1" x14ac:dyDescent="0.3">
      <c r="A175" s="11">
        <v>46052</v>
      </c>
      <c r="B175" s="12" t="str">
        <f t="shared" si="18"/>
        <v>JANEIRO</v>
      </c>
      <c r="C175" s="12" t="s">
        <v>17</v>
      </c>
      <c r="D175" s="12" t="s">
        <v>12</v>
      </c>
      <c r="E175" s="13">
        <v>32</v>
      </c>
      <c r="F175" s="13">
        <v>15</v>
      </c>
      <c r="G175" s="12">
        <v>2</v>
      </c>
      <c r="H175" s="12">
        <v>2</v>
      </c>
      <c r="I175" s="12">
        <f>IFERROR(IF(T_PROD[[#This Row],[PREVISTO]]-T_PROD[[#This Row],[EFETIVO]]&lt; 0,0,T_PROD[[#This Row],[PREVISTO]]-T_PROD[[#This Row],[EFETIVO]] ),"")</f>
        <v>0</v>
      </c>
      <c r="J175" s="15">
        <f>IFERROR(IF(T_PROD[[#This Row],[META]]&gt;0,(T_PROD[[#This Row],[META]]/T_PROD[[#This Row],[PREVISTO]]),""),"")</f>
        <v>16</v>
      </c>
      <c r="K175" s="15">
        <f>IFERROR(IF(T_PROD[[#This Row],[PRODUÇÃO]]&gt;0,(T_PROD[[#This Row],[PRODUÇÃO]]/T_PROD[[#This Row],[EFETIVO]]),""),"")</f>
        <v>7.5</v>
      </c>
    </row>
    <row r="176" spans="1:11" s="6" customFormat="1" x14ac:dyDescent="0.3">
      <c r="A176" s="11">
        <v>46052</v>
      </c>
      <c r="B176" s="12" t="str">
        <f t="shared" si="18"/>
        <v>JANEIRO</v>
      </c>
      <c r="C176" s="12" t="s">
        <v>18</v>
      </c>
      <c r="D176" s="12" t="s">
        <v>12</v>
      </c>
      <c r="E176" s="13">
        <v>100</v>
      </c>
      <c r="F176" s="13">
        <v>0</v>
      </c>
      <c r="G176" s="12">
        <v>3</v>
      </c>
      <c r="H176" s="12">
        <v>3</v>
      </c>
      <c r="I176" s="12">
        <f>IFERROR(IF(T_PROD[[#This Row],[PREVISTO]]-T_PROD[[#This Row],[EFETIVO]]&lt; 0,0,T_PROD[[#This Row],[PREVISTO]]-T_PROD[[#This Row],[EFETIVO]] ),"")</f>
        <v>0</v>
      </c>
      <c r="J176" s="15">
        <f>IFERROR(IF(T_PROD[[#This Row],[META]]&gt;0,(T_PROD[[#This Row],[META]]/T_PROD[[#This Row],[PREVISTO]]),""),"")</f>
        <v>33.333333333333336</v>
      </c>
      <c r="K176" s="15" t="str">
        <f>IFERROR(IF(T_PROD[[#This Row],[PRODUÇÃO]]&gt;0,(T_PROD[[#This Row],[PRODUÇÃO]]/T_PROD[[#This Row],[EFETIVO]]),""),"")</f>
        <v/>
      </c>
    </row>
    <row r="177" spans="1:11" s="6" customFormat="1" x14ac:dyDescent="0.3">
      <c r="A177" s="11">
        <v>46052</v>
      </c>
      <c r="B177" s="12" t="str">
        <f t="shared" si="18"/>
        <v>JANEIRO</v>
      </c>
      <c r="C177" s="12" t="s">
        <v>19</v>
      </c>
      <c r="D177" s="12" t="s">
        <v>12</v>
      </c>
      <c r="E177" s="13">
        <v>100</v>
      </c>
      <c r="F177" s="13">
        <v>60</v>
      </c>
      <c r="G177" s="12">
        <v>11</v>
      </c>
      <c r="H177" s="12">
        <v>11</v>
      </c>
      <c r="I177" s="12">
        <f>IFERROR(IF(T_PROD[[#This Row],[PREVISTO]]-T_PROD[[#This Row],[EFETIVO]]&lt; 0,0,T_PROD[[#This Row],[PREVISTO]]-T_PROD[[#This Row],[EFETIVO]] ),"")</f>
        <v>0</v>
      </c>
      <c r="J177" s="15">
        <f>IFERROR(IF(T_PROD[[#This Row],[META]]&gt;0,(T_PROD[[#This Row],[META]]/T_PROD[[#This Row],[PREVISTO]]),""),"")</f>
        <v>9.0909090909090917</v>
      </c>
      <c r="K177" s="15">
        <f>IFERROR(IF(T_PROD[[#This Row],[PRODUÇÃO]]&gt;0,(T_PROD[[#This Row],[PRODUÇÃO]]/T_PROD[[#This Row],[EFETIVO]]),""),"")</f>
        <v>5.4545454545454541</v>
      </c>
    </row>
    <row r="178" spans="1:11" s="6" customFormat="1" x14ac:dyDescent="0.3">
      <c r="A178" s="11">
        <v>46052</v>
      </c>
      <c r="B178" s="12" t="str">
        <f t="shared" si="18"/>
        <v>JANEIRO</v>
      </c>
      <c r="C178" s="12" t="s">
        <v>20</v>
      </c>
      <c r="D178" s="12" t="s">
        <v>12</v>
      </c>
      <c r="E178" s="13">
        <v>486</v>
      </c>
      <c r="F178" s="13">
        <v>223</v>
      </c>
      <c r="G178" s="12">
        <v>87</v>
      </c>
      <c r="H178" s="12">
        <v>87</v>
      </c>
      <c r="I178" s="12">
        <f>IFERROR(IF(T_PROD[[#This Row],[PREVISTO]]-T_PROD[[#This Row],[EFETIVO]]&lt; 0,0,T_PROD[[#This Row],[PREVISTO]]-T_PROD[[#This Row],[EFETIVO]] ),"")</f>
        <v>0</v>
      </c>
      <c r="J178" s="15">
        <f>IFERROR(IF(T_PROD[[#This Row],[META]]&gt;0,(T_PROD[[#This Row],[META]]/T_PROD[[#This Row],[PREVISTO]]),""),"")</f>
        <v>5.5862068965517242</v>
      </c>
      <c r="K178" s="15">
        <f>IFERROR(IF(T_PROD[[#This Row],[PRODUÇÃO]]&gt;0,(T_PROD[[#This Row],[PRODUÇÃO]]/T_PROD[[#This Row],[EFETIVO]]),""),"")</f>
        <v>2.5632183908045976</v>
      </c>
    </row>
    <row r="179" spans="1:11" s="6" customFormat="1" x14ac:dyDescent="0.3">
      <c r="A179" s="11">
        <v>46052</v>
      </c>
      <c r="B179" s="12" t="str">
        <f t="shared" si="18"/>
        <v>JANEIRO</v>
      </c>
      <c r="C179" s="12" t="s">
        <v>11</v>
      </c>
      <c r="D179" s="12" t="s">
        <v>12</v>
      </c>
      <c r="E179" s="13">
        <v>460</v>
      </c>
      <c r="F179" s="13">
        <v>430</v>
      </c>
      <c r="G179" s="12">
        <v>33</v>
      </c>
      <c r="H179" s="14">
        <v>25</v>
      </c>
      <c r="I179" s="12">
        <f>IFERROR(IF(T_PROD[[#This Row],[PREVISTO]]-T_PROD[[#This Row],[EFETIVO]]&lt; 0,0,T_PROD[[#This Row],[PREVISTO]]-T_PROD[[#This Row],[EFETIVO]] ),"")</f>
        <v>8</v>
      </c>
      <c r="J179" s="15">
        <v>18</v>
      </c>
      <c r="K179" s="15">
        <f>IFERROR(IF(T_PROD[[#This Row],[PRODUÇÃO]]&gt;0,(T_PROD[[#This Row],[PRODUÇÃO]]/T_PROD[[#This Row],[EFETIVO]]),""),"")</f>
        <v>17.2</v>
      </c>
    </row>
    <row r="180" spans="1:11" s="6" customFormat="1" x14ac:dyDescent="0.3">
      <c r="A180" s="11">
        <v>46052</v>
      </c>
      <c r="B180" s="12" t="str">
        <f t="shared" si="18"/>
        <v>JANEIRO</v>
      </c>
      <c r="C180" s="12" t="s">
        <v>13</v>
      </c>
      <c r="D180" s="12" t="s">
        <v>12</v>
      </c>
      <c r="E180" s="13">
        <v>115</v>
      </c>
      <c r="F180" s="13">
        <v>130</v>
      </c>
      <c r="G180" s="12">
        <v>10</v>
      </c>
      <c r="H180" s="14">
        <v>10</v>
      </c>
      <c r="I180" s="12">
        <f>IFERROR(IF(T_PROD[[#This Row],[PREVISTO]]-T_PROD[[#This Row],[EFETIVO]]&lt; 0,0,T_PROD[[#This Row],[PREVISTO]]-T_PROD[[#This Row],[EFETIVO]] ),"")</f>
        <v>0</v>
      </c>
      <c r="J180" s="15">
        <v>15</v>
      </c>
      <c r="K180" s="15">
        <f>IFERROR(IF(T_PROD[[#This Row],[PRODUÇÃO]]&gt;0,(T_PROD[[#This Row],[PRODUÇÃO]]/T_PROD[[#This Row],[EFETIVO]]),""),"")</f>
        <v>13</v>
      </c>
    </row>
    <row r="181" spans="1:11" s="6" customFormat="1" x14ac:dyDescent="0.3">
      <c r="A181" s="11">
        <v>46052</v>
      </c>
      <c r="B181" s="12" t="str">
        <f t="shared" si="18"/>
        <v>JANEIRO</v>
      </c>
      <c r="C181" s="12" t="s">
        <v>14</v>
      </c>
      <c r="D181" s="12" t="s">
        <v>12</v>
      </c>
      <c r="E181" s="13">
        <v>575</v>
      </c>
      <c r="F181" s="13">
        <v>560</v>
      </c>
      <c r="G181" s="12">
        <v>91</v>
      </c>
      <c r="H181" s="14">
        <v>78</v>
      </c>
      <c r="I181" s="12">
        <f>IFERROR(IF(T_PROD[[#This Row],[PREVISTO]]-T_PROD[[#This Row],[EFETIVO]]&lt; 0,0,T_PROD[[#This Row],[PREVISTO]]-T_PROD[[#This Row],[EFETIVO]] ),"")</f>
        <v>13</v>
      </c>
      <c r="J181" s="15">
        <v>8.1</v>
      </c>
      <c r="K181" s="15">
        <f>IFERROR(IF(T_PROD[[#This Row],[PRODUÇÃO]]&gt;0,(T_PROD[[#This Row],[PRODUÇÃO]]/T_PROD[[#This Row],[EFETIVO]]),""),"")</f>
        <v>7.1794871794871797</v>
      </c>
    </row>
    <row r="182" spans="1:11" s="6" customFormat="1" x14ac:dyDescent="0.3">
      <c r="A182" s="11">
        <v>46055</v>
      </c>
      <c r="B182" s="12" t="str">
        <f>UPPER(TEXT(A182,"MMMM"))</f>
        <v>FEVEREIRO</v>
      </c>
      <c r="C182" s="12" t="s">
        <v>15</v>
      </c>
      <c r="D182" s="12" t="s">
        <v>12</v>
      </c>
      <c r="E182" s="13">
        <v>60</v>
      </c>
      <c r="F182" s="13">
        <v>40</v>
      </c>
      <c r="G182" s="12">
        <v>4</v>
      </c>
      <c r="H182" s="14">
        <v>4</v>
      </c>
      <c r="I182" s="12">
        <f>IFERROR(IF(T_PROD[[#This Row],[PREVISTO]]-T_PROD[[#This Row],[EFETIVO]]&lt; 0,0,T_PROD[[#This Row],[PREVISTO]]-T_PROD[[#This Row],[EFETIVO]] ),"")</f>
        <v>0</v>
      </c>
      <c r="J182" s="15">
        <f>IFERROR(IF(T_PROD[[#This Row],[META]]&gt;0,(T_PROD[[#This Row],[META]]/T_PROD[[#This Row],[PREVISTO]]),""),"")</f>
        <v>15</v>
      </c>
      <c r="K182" s="15">
        <f>IFERROR(IF(T_PROD[[#This Row],[PRODUÇÃO]]&gt;0,(T_PROD[[#This Row],[PRODUÇÃO]]/T_PROD[[#This Row],[EFETIVO]]),""),"")</f>
        <v>10</v>
      </c>
    </row>
    <row r="183" spans="1:11" s="6" customFormat="1" x14ac:dyDescent="0.3">
      <c r="A183" s="11">
        <v>46055</v>
      </c>
      <c r="B183" s="12" t="str">
        <f t="shared" ref="B183:B190" si="19">UPPER(TEXT(A183,"MMMM"))</f>
        <v>FEVEREIRO</v>
      </c>
      <c r="C183" s="12" t="s">
        <v>16</v>
      </c>
      <c r="D183" s="12" t="s">
        <v>12</v>
      </c>
      <c r="E183" s="13">
        <v>204</v>
      </c>
      <c r="F183" s="13">
        <v>147</v>
      </c>
      <c r="G183" s="12">
        <v>6</v>
      </c>
      <c r="H183" s="14">
        <v>6</v>
      </c>
      <c r="I183" s="12">
        <f>IFERROR(IF(T_PROD[[#This Row],[PREVISTO]]-T_PROD[[#This Row],[EFETIVO]]&lt; 0,0,T_PROD[[#This Row],[PREVISTO]]-T_PROD[[#This Row],[EFETIVO]] ),"")</f>
        <v>0</v>
      </c>
      <c r="J183" s="15">
        <f>IFERROR(IF(T_PROD[[#This Row],[META]]&gt;0,(T_PROD[[#This Row],[META]]/T_PROD[[#This Row],[PREVISTO]]),""),"")</f>
        <v>34</v>
      </c>
      <c r="K183" s="15">
        <f>IFERROR(IF(T_PROD[[#This Row],[PRODUÇÃO]]&gt;0,(T_PROD[[#This Row],[PRODUÇÃO]]/T_PROD[[#This Row],[EFETIVO]]),""),"")</f>
        <v>24.5</v>
      </c>
    </row>
    <row r="184" spans="1:11" s="6" customFormat="1" x14ac:dyDescent="0.3">
      <c r="A184" s="11">
        <v>46055</v>
      </c>
      <c r="B184" s="12" t="str">
        <f t="shared" si="19"/>
        <v>FEVEREIRO</v>
      </c>
      <c r="C184" s="12" t="s">
        <v>17</v>
      </c>
      <c r="D184" s="12" t="s">
        <v>12</v>
      </c>
      <c r="E184" s="13">
        <v>32</v>
      </c>
      <c r="F184" s="13">
        <v>16</v>
      </c>
      <c r="G184" s="12">
        <v>2</v>
      </c>
      <c r="H184" s="14">
        <v>2</v>
      </c>
      <c r="I184" s="12">
        <f>IFERROR(IF(T_PROD[[#This Row],[PREVISTO]]-T_PROD[[#This Row],[EFETIVO]]&lt; 0,0,T_PROD[[#This Row],[PREVISTO]]-T_PROD[[#This Row],[EFETIVO]] ),"")</f>
        <v>0</v>
      </c>
      <c r="J184" s="15">
        <f>IFERROR(IF(T_PROD[[#This Row],[META]]&gt;0,(T_PROD[[#This Row],[META]]/T_PROD[[#This Row],[PREVISTO]]),""),"")</f>
        <v>16</v>
      </c>
      <c r="K184" s="15">
        <f>IFERROR(IF(T_PROD[[#This Row],[PRODUÇÃO]]&gt;0,(T_PROD[[#This Row],[PRODUÇÃO]]/T_PROD[[#This Row],[EFETIVO]]),""),"")</f>
        <v>8</v>
      </c>
    </row>
    <row r="185" spans="1:11" s="6" customFormat="1" x14ac:dyDescent="0.3">
      <c r="A185" s="11">
        <v>46055</v>
      </c>
      <c r="B185" s="12" t="str">
        <f t="shared" si="19"/>
        <v>FEVEREIRO</v>
      </c>
      <c r="C185" s="12" t="s">
        <v>18</v>
      </c>
      <c r="D185" s="12" t="s">
        <v>12</v>
      </c>
      <c r="E185" s="13">
        <v>100</v>
      </c>
      <c r="F185" s="13">
        <v>0</v>
      </c>
      <c r="G185" s="12">
        <v>3</v>
      </c>
      <c r="H185" s="14">
        <v>0</v>
      </c>
      <c r="I185" s="12">
        <f>IFERROR(IF(T_PROD[[#This Row],[PREVISTO]]-T_PROD[[#This Row],[EFETIVO]]&lt; 0,0,T_PROD[[#This Row],[PREVISTO]]-T_PROD[[#This Row],[EFETIVO]] ),"")</f>
        <v>3</v>
      </c>
      <c r="J185" s="15">
        <f>IFERROR(IF(T_PROD[[#This Row],[META]]&gt;0,(T_PROD[[#This Row],[META]]/T_PROD[[#This Row],[PREVISTO]]),""),"")</f>
        <v>33.333333333333336</v>
      </c>
      <c r="K185" s="15" t="str">
        <f>IFERROR(IF(T_PROD[[#This Row],[PRODUÇÃO]]&gt;0,(T_PROD[[#This Row],[PRODUÇÃO]]/T_PROD[[#This Row],[EFETIVO]]),""),"")</f>
        <v/>
      </c>
    </row>
    <row r="186" spans="1:11" s="6" customFormat="1" x14ac:dyDescent="0.3">
      <c r="A186" s="11">
        <v>46055</v>
      </c>
      <c r="B186" s="12" t="str">
        <f t="shared" si="19"/>
        <v>FEVEREIRO</v>
      </c>
      <c r="C186" s="12" t="s">
        <v>19</v>
      </c>
      <c r="D186" s="12" t="s">
        <v>12</v>
      </c>
      <c r="E186" s="13">
        <v>100</v>
      </c>
      <c r="F186" s="13">
        <v>48</v>
      </c>
      <c r="G186" s="12">
        <v>11</v>
      </c>
      <c r="H186" s="14">
        <v>16</v>
      </c>
      <c r="I186" s="12">
        <f>IFERROR(IF(T_PROD[[#This Row],[PREVISTO]]-T_PROD[[#This Row],[EFETIVO]]&lt; 0,0,T_PROD[[#This Row],[PREVISTO]]-T_PROD[[#This Row],[EFETIVO]] ),"")</f>
        <v>0</v>
      </c>
      <c r="J186" s="15">
        <f>IFERROR(IF(T_PROD[[#This Row],[META]]&gt;0,(T_PROD[[#This Row],[META]]/T_PROD[[#This Row],[PREVISTO]]),""),"")</f>
        <v>9.0909090909090917</v>
      </c>
      <c r="K186" s="15">
        <f>IFERROR(IF(T_PROD[[#This Row],[PRODUÇÃO]]&gt;0,(T_PROD[[#This Row],[PRODUÇÃO]]/T_PROD[[#This Row],[EFETIVO]]),""),"")</f>
        <v>3</v>
      </c>
    </row>
    <row r="187" spans="1:11" s="6" customFormat="1" x14ac:dyDescent="0.3">
      <c r="A187" s="11">
        <v>46055</v>
      </c>
      <c r="B187" s="12" t="str">
        <f t="shared" si="19"/>
        <v>FEVEREIRO</v>
      </c>
      <c r="C187" s="12" t="s">
        <v>20</v>
      </c>
      <c r="D187" s="12" t="s">
        <v>12</v>
      </c>
      <c r="E187" s="13">
        <v>486</v>
      </c>
      <c r="F187" s="13">
        <v>251</v>
      </c>
      <c r="G187" s="12">
        <v>90</v>
      </c>
      <c r="H187" s="14">
        <v>90</v>
      </c>
      <c r="I187" s="12">
        <f>IFERROR(IF(T_PROD[[#This Row],[PREVISTO]]-T_PROD[[#This Row],[EFETIVO]]&lt; 0,0,T_PROD[[#This Row],[PREVISTO]]-T_PROD[[#This Row],[EFETIVO]] ),"")</f>
        <v>0</v>
      </c>
      <c r="J187" s="15">
        <f>IFERROR(IF(T_PROD[[#This Row],[META]]&gt;0,(T_PROD[[#This Row],[META]]/T_PROD[[#This Row],[PREVISTO]]),""),"")</f>
        <v>5.4</v>
      </c>
      <c r="K187" s="15">
        <f>IFERROR(IF(T_PROD[[#This Row],[PRODUÇÃO]]&gt;0,(T_PROD[[#This Row],[PRODUÇÃO]]/T_PROD[[#This Row],[EFETIVO]]),""),"")</f>
        <v>2.7888888888888888</v>
      </c>
    </row>
    <row r="188" spans="1:11" s="6" customFormat="1" x14ac:dyDescent="0.3">
      <c r="A188" s="11">
        <v>46055</v>
      </c>
      <c r="B188" s="12" t="str">
        <f t="shared" si="19"/>
        <v>FEVEREIRO</v>
      </c>
      <c r="C188" s="12" t="s">
        <v>11</v>
      </c>
      <c r="D188" s="12" t="s">
        <v>12</v>
      </c>
      <c r="E188" s="13">
        <v>600</v>
      </c>
      <c r="F188" s="13">
        <v>480</v>
      </c>
      <c r="G188" s="12">
        <v>33</v>
      </c>
      <c r="H188" s="14">
        <v>27</v>
      </c>
      <c r="I188" s="12">
        <f>IFERROR(IF(T_PROD[[#This Row],[PREVISTO]]-T_PROD[[#This Row],[EFETIVO]]&lt; 0,0,T_PROD[[#This Row],[PREVISTO]]-T_PROD[[#This Row],[EFETIVO]] ),"")</f>
        <v>6</v>
      </c>
      <c r="J188" s="15">
        <v>18</v>
      </c>
      <c r="K188" s="15">
        <f>IFERROR(IF(T_PROD[[#This Row],[PRODUÇÃO]]&gt;0,(T_PROD[[#This Row],[PRODUÇÃO]]/T_PROD[[#This Row],[EFETIVO]]),""),"")</f>
        <v>17.777777777777779</v>
      </c>
    </row>
    <row r="189" spans="1:11" s="6" customFormat="1" x14ac:dyDescent="0.3">
      <c r="A189" s="11">
        <v>46055</v>
      </c>
      <c r="B189" s="12" t="str">
        <f t="shared" si="19"/>
        <v>FEVEREIRO</v>
      </c>
      <c r="C189" s="12" t="s">
        <v>13</v>
      </c>
      <c r="D189" s="12" t="s">
        <v>12</v>
      </c>
      <c r="E189" s="13">
        <v>150</v>
      </c>
      <c r="F189" s="13">
        <v>165</v>
      </c>
      <c r="G189" s="12">
        <v>10</v>
      </c>
      <c r="H189" s="14">
        <v>10</v>
      </c>
      <c r="I189" s="12">
        <f>IFERROR(IF(T_PROD[[#This Row],[PREVISTO]]-T_PROD[[#This Row],[EFETIVO]]&lt; 0,0,T_PROD[[#This Row],[PREVISTO]]-T_PROD[[#This Row],[EFETIVO]] ),"")</f>
        <v>0</v>
      </c>
      <c r="J189" s="15">
        <v>15</v>
      </c>
      <c r="K189" s="15">
        <f>IFERROR(IF(T_PROD[[#This Row],[PRODUÇÃO]]&gt;0,(T_PROD[[#This Row],[PRODUÇÃO]]/T_PROD[[#This Row],[EFETIVO]]),""),"")</f>
        <v>16.5</v>
      </c>
    </row>
    <row r="190" spans="1:11" s="6" customFormat="1" x14ac:dyDescent="0.3">
      <c r="A190" s="11">
        <v>46055</v>
      </c>
      <c r="B190" s="12" t="str">
        <f t="shared" si="19"/>
        <v>FEVEREIRO</v>
      </c>
      <c r="C190" s="12" t="s">
        <v>14</v>
      </c>
      <c r="D190" s="12" t="s">
        <v>12</v>
      </c>
      <c r="E190" s="13">
        <v>750</v>
      </c>
      <c r="F190" s="13">
        <v>645</v>
      </c>
      <c r="G190" s="12">
        <v>90</v>
      </c>
      <c r="H190" s="14">
        <v>80</v>
      </c>
      <c r="I190" s="12">
        <f>IFERROR(IF(T_PROD[[#This Row],[PREVISTO]]-T_PROD[[#This Row],[EFETIVO]]&lt; 0,0,T_PROD[[#This Row],[PREVISTO]]-T_PROD[[#This Row],[EFETIVO]] ),"")</f>
        <v>10</v>
      </c>
      <c r="J190" s="15">
        <v>8.1999999999999993</v>
      </c>
      <c r="K190" s="15">
        <f>IFERROR(IF(T_PROD[[#This Row],[PRODUÇÃO]]&gt;0,(T_PROD[[#This Row],[PRODUÇÃO]]/T_PROD[[#This Row],[EFETIVO]]),""),"")</f>
        <v>8.0625</v>
      </c>
    </row>
    <row r="191" spans="1:11" s="6" customFormat="1" x14ac:dyDescent="0.3">
      <c r="A191" s="11">
        <v>46056</v>
      </c>
      <c r="B191" s="12" t="str">
        <f>UPPER(TEXT(A191,"MMMM"))</f>
        <v>FEVEREIRO</v>
      </c>
      <c r="C191" s="12" t="s">
        <v>15</v>
      </c>
      <c r="D191" s="12" t="s">
        <v>12</v>
      </c>
      <c r="E191" s="13">
        <v>60</v>
      </c>
      <c r="F191" s="13">
        <v>41</v>
      </c>
      <c r="G191" s="12">
        <v>4</v>
      </c>
      <c r="H191" s="14">
        <v>4</v>
      </c>
      <c r="I191" s="12">
        <f>IFERROR(IF(T_PROD[[#This Row],[PREVISTO]]-T_PROD[[#This Row],[EFETIVO]]&lt; 0,0,T_PROD[[#This Row],[PREVISTO]]-T_PROD[[#This Row],[EFETIVO]] ),"")</f>
        <v>0</v>
      </c>
      <c r="J191" s="15">
        <f>IFERROR(IF(T_PROD[[#This Row],[META]]&gt;0,(T_PROD[[#This Row],[META]]/T_PROD[[#This Row],[PREVISTO]]),""),"")</f>
        <v>15</v>
      </c>
      <c r="K191" s="15">
        <f>IFERROR(IF(T_PROD[[#This Row],[PRODUÇÃO]]&gt;0,(T_PROD[[#This Row],[PRODUÇÃO]]/T_PROD[[#This Row],[EFETIVO]]),""),"")</f>
        <v>10.25</v>
      </c>
    </row>
    <row r="192" spans="1:11" s="6" customFormat="1" x14ac:dyDescent="0.3">
      <c r="A192" s="11">
        <v>46056</v>
      </c>
      <c r="B192" s="12" t="str">
        <f t="shared" ref="B192:B199" si="20">UPPER(TEXT(A192,"MMMM"))</f>
        <v>FEVEREIRO</v>
      </c>
      <c r="C192" s="12" t="s">
        <v>16</v>
      </c>
      <c r="D192" s="12" t="s">
        <v>12</v>
      </c>
      <c r="E192" s="13">
        <v>204</v>
      </c>
      <c r="F192" s="13">
        <v>174</v>
      </c>
      <c r="G192" s="12">
        <v>6</v>
      </c>
      <c r="H192" s="14">
        <v>7</v>
      </c>
      <c r="I192" s="12">
        <f>IFERROR(IF(T_PROD[[#This Row],[PREVISTO]]-T_PROD[[#This Row],[EFETIVO]]&lt; 0,0,T_PROD[[#This Row],[PREVISTO]]-T_PROD[[#This Row],[EFETIVO]] ),"")</f>
        <v>0</v>
      </c>
      <c r="J192" s="15">
        <f>IFERROR(IF(T_PROD[[#This Row],[META]]&gt;0,(T_PROD[[#This Row],[META]]/T_PROD[[#This Row],[PREVISTO]]),""),"")</f>
        <v>34</v>
      </c>
      <c r="K192" s="15">
        <f>IFERROR(IF(T_PROD[[#This Row],[PRODUÇÃO]]&gt;0,(T_PROD[[#This Row],[PRODUÇÃO]]/T_PROD[[#This Row],[EFETIVO]]),""),"")</f>
        <v>24.857142857142858</v>
      </c>
    </row>
    <row r="193" spans="1:11" s="6" customFormat="1" x14ac:dyDescent="0.3">
      <c r="A193" s="11">
        <v>46056</v>
      </c>
      <c r="B193" s="12" t="str">
        <f t="shared" si="20"/>
        <v>FEVEREIRO</v>
      </c>
      <c r="C193" s="12" t="s">
        <v>17</v>
      </c>
      <c r="D193" s="12" t="s">
        <v>12</v>
      </c>
      <c r="E193" s="13">
        <v>32</v>
      </c>
      <c r="F193" s="13">
        <v>1</v>
      </c>
      <c r="G193" s="12">
        <v>2</v>
      </c>
      <c r="H193" s="14">
        <v>2</v>
      </c>
      <c r="I193" s="12">
        <f>IFERROR(IF(T_PROD[[#This Row],[PREVISTO]]-T_PROD[[#This Row],[EFETIVO]]&lt; 0,0,T_PROD[[#This Row],[PREVISTO]]-T_PROD[[#This Row],[EFETIVO]] ),"")</f>
        <v>0</v>
      </c>
      <c r="J193" s="15">
        <f>IFERROR(IF(T_PROD[[#This Row],[META]]&gt;0,(T_PROD[[#This Row],[META]]/T_PROD[[#This Row],[PREVISTO]]),""),"")</f>
        <v>16</v>
      </c>
      <c r="K193" s="15">
        <f>IFERROR(IF(T_PROD[[#This Row],[PRODUÇÃO]]&gt;0,(T_PROD[[#This Row],[PRODUÇÃO]]/T_PROD[[#This Row],[EFETIVO]]),""),"")</f>
        <v>0.5</v>
      </c>
    </row>
    <row r="194" spans="1:11" s="6" customFormat="1" x14ac:dyDescent="0.3">
      <c r="A194" s="11">
        <v>46056</v>
      </c>
      <c r="B194" s="12" t="str">
        <f t="shared" si="20"/>
        <v>FEVEREIRO</v>
      </c>
      <c r="C194" s="12" t="s">
        <v>18</v>
      </c>
      <c r="D194" s="12" t="s">
        <v>12</v>
      </c>
      <c r="E194" s="13">
        <v>100</v>
      </c>
      <c r="F194" s="13">
        <v>0</v>
      </c>
      <c r="G194" s="12">
        <v>3</v>
      </c>
      <c r="H194" s="14">
        <v>0</v>
      </c>
      <c r="I194" s="12">
        <f>IFERROR(IF(T_PROD[[#This Row],[PREVISTO]]-T_PROD[[#This Row],[EFETIVO]]&lt; 0,0,T_PROD[[#This Row],[PREVISTO]]-T_PROD[[#This Row],[EFETIVO]] ),"")</f>
        <v>3</v>
      </c>
      <c r="J194" s="15">
        <f>IFERROR(IF(T_PROD[[#This Row],[META]]&gt;0,(T_PROD[[#This Row],[META]]/T_PROD[[#This Row],[PREVISTO]]),""),"")</f>
        <v>33.333333333333336</v>
      </c>
      <c r="K194" s="15" t="str">
        <f>IFERROR(IF(T_PROD[[#This Row],[PRODUÇÃO]]&gt;0,(T_PROD[[#This Row],[PRODUÇÃO]]/T_PROD[[#This Row],[EFETIVO]]),""),"")</f>
        <v/>
      </c>
    </row>
    <row r="195" spans="1:11" s="6" customFormat="1" x14ac:dyDescent="0.3">
      <c r="A195" s="11">
        <v>46056</v>
      </c>
      <c r="B195" s="12" t="str">
        <f t="shared" si="20"/>
        <v>FEVEREIRO</v>
      </c>
      <c r="C195" s="12" t="s">
        <v>19</v>
      </c>
      <c r="D195" s="12" t="s">
        <v>12</v>
      </c>
      <c r="E195" s="13">
        <v>100</v>
      </c>
      <c r="F195" s="13">
        <v>0</v>
      </c>
      <c r="G195" s="12">
        <v>11</v>
      </c>
      <c r="H195" s="14">
        <v>16</v>
      </c>
      <c r="I195" s="12">
        <f>IFERROR(IF(T_PROD[[#This Row],[PREVISTO]]-T_PROD[[#This Row],[EFETIVO]]&lt; 0,0,T_PROD[[#This Row],[PREVISTO]]-T_PROD[[#This Row],[EFETIVO]] ),"")</f>
        <v>0</v>
      </c>
      <c r="J195" s="15">
        <f>IFERROR(IF(T_PROD[[#This Row],[META]]&gt;0,(T_PROD[[#This Row],[META]]/T_PROD[[#This Row],[PREVISTO]]),""),"")</f>
        <v>9.0909090909090917</v>
      </c>
      <c r="K195" s="15" t="str">
        <f>IFERROR(IF(T_PROD[[#This Row],[PRODUÇÃO]]&gt;0,(T_PROD[[#This Row],[PRODUÇÃO]]/T_PROD[[#This Row],[EFETIVO]]),""),"")</f>
        <v/>
      </c>
    </row>
    <row r="196" spans="1:11" s="6" customFormat="1" x14ac:dyDescent="0.3">
      <c r="A196" s="11">
        <v>46056</v>
      </c>
      <c r="B196" s="12" t="str">
        <f t="shared" si="20"/>
        <v>FEVEREIRO</v>
      </c>
      <c r="C196" s="12" t="s">
        <v>20</v>
      </c>
      <c r="D196" s="12" t="s">
        <v>12</v>
      </c>
      <c r="E196" s="13">
        <v>486</v>
      </c>
      <c r="F196" s="13">
        <v>216</v>
      </c>
      <c r="G196" s="12">
        <v>90</v>
      </c>
      <c r="H196" s="14">
        <v>90</v>
      </c>
      <c r="I196" s="12">
        <f>IFERROR(IF(T_PROD[[#This Row],[PREVISTO]]-T_PROD[[#This Row],[EFETIVO]]&lt; 0,0,T_PROD[[#This Row],[PREVISTO]]-T_PROD[[#This Row],[EFETIVO]] ),"")</f>
        <v>0</v>
      </c>
      <c r="J196" s="15">
        <f>IFERROR(IF(T_PROD[[#This Row],[META]]&gt;0,(T_PROD[[#This Row],[META]]/T_PROD[[#This Row],[PREVISTO]]),""),"")</f>
        <v>5.4</v>
      </c>
      <c r="K196" s="15">
        <f>IFERROR(IF(T_PROD[[#This Row],[PRODUÇÃO]]&gt;0,(T_PROD[[#This Row],[PRODUÇÃO]]/T_PROD[[#This Row],[EFETIVO]]),""),"")</f>
        <v>2.4</v>
      </c>
    </row>
    <row r="197" spans="1:11" s="6" customFormat="1" x14ac:dyDescent="0.3">
      <c r="A197" s="11">
        <v>46056</v>
      </c>
      <c r="B197" s="12" t="str">
        <f t="shared" si="20"/>
        <v>FEVEREIRO</v>
      </c>
      <c r="C197" s="12" t="s">
        <v>11</v>
      </c>
      <c r="D197" s="12" t="s">
        <v>12</v>
      </c>
      <c r="E197" s="13">
        <v>600</v>
      </c>
      <c r="F197" s="13">
        <v>410</v>
      </c>
      <c r="G197" s="12">
        <v>33</v>
      </c>
      <c r="H197" s="14">
        <v>25</v>
      </c>
      <c r="I197" s="12">
        <f>IFERROR(IF(T_PROD[[#This Row],[PREVISTO]]-T_PROD[[#This Row],[EFETIVO]]&lt; 0,0,T_PROD[[#This Row],[PREVISTO]]-T_PROD[[#This Row],[EFETIVO]] ),"")</f>
        <v>8</v>
      </c>
      <c r="J197" s="15">
        <v>18</v>
      </c>
      <c r="K197" s="15">
        <f>IFERROR(IF(T_PROD[[#This Row],[PRODUÇÃO]]&gt;0,(T_PROD[[#This Row],[PRODUÇÃO]]/T_PROD[[#This Row],[EFETIVO]]),""),"")</f>
        <v>16.399999999999999</v>
      </c>
    </row>
    <row r="198" spans="1:11" s="6" customFormat="1" x14ac:dyDescent="0.3">
      <c r="A198" s="11">
        <v>46056</v>
      </c>
      <c r="B198" s="12" t="str">
        <f t="shared" si="20"/>
        <v>FEVEREIRO</v>
      </c>
      <c r="C198" s="12" t="s">
        <v>13</v>
      </c>
      <c r="D198" s="12" t="s">
        <v>12</v>
      </c>
      <c r="E198" s="13">
        <v>150</v>
      </c>
      <c r="F198" s="13">
        <v>63</v>
      </c>
      <c r="G198" s="12">
        <v>10</v>
      </c>
      <c r="H198" s="14">
        <v>4</v>
      </c>
      <c r="I198" s="12">
        <f>IFERROR(IF(T_PROD[[#This Row],[PREVISTO]]-T_PROD[[#This Row],[EFETIVO]]&lt; 0,0,T_PROD[[#This Row],[PREVISTO]]-T_PROD[[#This Row],[EFETIVO]] ),"")</f>
        <v>6</v>
      </c>
      <c r="J198" s="15">
        <f>IFERROR(IF(T_PROD[[#This Row],[META]]&gt;0,(T_PROD[[#This Row],[META]]/T_PROD[[#This Row],[PREVISTO]]),""),"")</f>
        <v>15</v>
      </c>
      <c r="K198" s="15">
        <f>IFERROR(IF(T_PROD[[#This Row],[PRODUÇÃO]]&gt;0,(T_PROD[[#This Row],[PRODUÇÃO]]/T_PROD[[#This Row],[EFETIVO]]),""),"")</f>
        <v>15.75</v>
      </c>
    </row>
    <row r="199" spans="1:11" s="6" customFormat="1" x14ac:dyDescent="0.3">
      <c r="A199" s="11">
        <v>46056</v>
      </c>
      <c r="B199" s="12" t="str">
        <f t="shared" si="20"/>
        <v>FEVEREIRO</v>
      </c>
      <c r="C199" s="12" t="s">
        <v>14</v>
      </c>
      <c r="D199" s="12" t="s">
        <v>12</v>
      </c>
      <c r="E199" s="13">
        <v>750</v>
      </c>
      <c r="F199" s="13">
        <v>473</v>
      </c>
      <c r="G199" s="12">
        <v>90</v>
      </c>
      <c r="H199" s="14">
        <v>70</v>
      </c>
      <c r="I199" s="12">
        <f>IFERROR(IF(T_PROD[[#This Row],[PREVISTO]]-T_PROD[[#This Row],[EFETIVO]]&lt; 0,0,T_PROD[[#This Row],[PREVISTO]]-T_PROD[[#This Row],[EFETIVO]] ),"")</f>
        <v>20</v>
      </c>
      <c r="J199" s="15">
        <v>8.1999999999999993</v>
      </c>
      <c r="K199" s="15">
        <f>IFERROR(IF(T_PROD[[#This Row],[PRODUÇÃO]]&gt;0,(T_PROD[[#This Row],[PRODUÇÃO]]/T_PROD[[#This Row],[EFETIVO]]),""),"")</f>
        <v>6.7571428571428571</v>
      </c>
    </row>
    <row r="200" spans="1:11" s="6" customFormat="1" x14ac:dyDescent="0.3">
      <c r="A200" s="11">
        <v>46057</v>
      </c>
      <c r="B200" s="12" t="str">
        <f>UPPER(TEXT(A200,"MMMM"))</f>
        <v>FEVEREIRO</v>
      </c>
      <c r="C200" s="12" t="s">
        <v>15</v>
      </c>
      <c r="D200" s="12" t="s">
        <v>12</v>
      </c>
      <c r="E200" s="13">
        <v>60</v>
      </c>
      <c r="F200" s="13">
        <v>39</v>
      </c>
      <c r="G200" s="12">
        <v>4</v>
      </c>
      <c r="H200" s="14">
        <v>4</v>
      </c>
      <c r="I200" s="12">
        <f>IFERROR(IF(T_PROD[[#This Row],[PREVISTO]]-T_PROD[[#This Row],[EFETIVO]]&lt; 0,0,T_PROD[[#This Row],[PREVISTO]]-T_PROD[[#This Row],[EFETIVO]] ),"")</f>
        <v>0</v>
      </c>
      <c r="J200" s="15">
        <f>IFERROR(IF(T_PROD[[#This Row],[META]]&gt;0,(T_PROD[[#This Row],[META]]/T_PROD[[#This Row],[PREVISTO]]),""),"")</f>
        <v>15</v>
      </c>
      <c r="K200" s="15">
        <f>IFERROR(IF(T_PROD[[#This Row],[PRODUÇÃO]]&gt;0,(T_PROD[[#This Row],[PRODUÇÃO]]/T_PROD[[#This Row],[EFETIVO]]),""),"")</f>
        <v>9.75</v>
      </c>
    </row>
    <row r="201" spans="1:11" s="6" customFormat="1" x14ac:dyDescent="0.3">
      <c r="A201" s="11">
        <v>46057</v>
      </c>
      <c r="B201" s="12" t="str">
        <f t="shared" ref="B201:B208" si="21">UPPER(TEXT(A201,"MMMM"))</f>
        <v>FEVEREIRO</v>
      </c>
      <c r="C201" s="12" t="s">
        <v>16</v>
      </c>
      <c r="D201" s="12" t="s">
        <v>12</v>
      </c>
      <c r="E201" s="13">
        <v>204</v>
      </c>
      <c r="F201" s="13">
        <v>185</v>
      </c>
      <c r="G201" s="12">
        <v>6</v>
      </c>
      <c r="H201" s="14">
        <v>9</v>
      </c>
      <c r="I201" s="12">
        <f>IFERROR(IF(T_PROD[[#This Row],[PREVISTO]]-T_PROD[[#This Row],[EFETIVO]]&lt; 0,0,T_PROD[[#This Row],[PREVISTO]]-T_PROD[[#This Row],[EFETIVO]] ),"")</f>
        <v>0</v>
      </c>
      <c r="J201" s="15">
        <f>IFERROR(IF(T_PROD[[#This Row],[META]]&gt;0,(T_PROD[[#This Row],[META]]/T_PROD[[#This Row],[PREVISTO]]),""),"")</f>
        <v>34</v>
      </c>
      <c r="K201" s="15">
        <f>IFERROR(IF(T_PROD[[#This Row],[PRODUÇÃO]]&gt;0,(T_PROD[[#This Row],[PRODUÇÃO]]/T_PROD[[#This Row],[EFETIVO]]),""),"")</f>
        <v>20.555555555555557</v>
      </c>
    </row>
    <row r="202" spans="1:11" s="6" customFormat="1" x14ac:dyDescent="0.3">
      <c r="A202" s="11">
        <v>46057</v>
      </c>
      <c r="B202" s="12" t="str">
        <f t="shared" si="21"/>
        <v>FEVEREIRO</v>
      </c>
      <c r="C202" s="12" t="s">
        <v>17</v>
      </c>
      <c r="D202" s="12" t="s">
        <v>12</v>
      </c>
      <c r="E202" s="13">
        <v>32</v>
      </c>
      <c r="F202" s="13">
        <v>28</v>
      </c>
      <c r="G202" s="12">
        <v>2</v>
      </c>
      <c r="H202" s="14">
        <v>2</v>
      </c>
      <c r="I202" s="12">
        <f>IFERROR(IF(T_PROD[[#This Row],[PREVISTO]]-T_PROD[[#This Row],[EFETIVO]]&lt; 0,0,T_PROD[[#This Row],[PREVISTO]]-T_PROD[[#This Row],[EFETIVO]] ),"")</f>
        <v>0</v>
      </c>
      <c r="J202" s="15">
        <f>IFERROR(IF(T_PROD[[#This Row],[META]]&gt;0,(T_PROD[[#This Row],[META]]/T_PROD[[#This Row],[PREVISTO]]),""),"")</f>
        <v>16</v>
      </c>
      <c r="K202" s="15">
        <f>IFERROR(IF(T_PROD[[#This Row],[PRODUÇÃO]]&gt;0,(T_PROD[[#This Row],[PRODUÇÃO]]/T_PROD[[#This Row],[EFETIVO]]),""),"")</f>
        <v>14</v>
      </c>
    </row>
    <row r="203" spans="1:11" s="6" customFormat="1" x14ac:dyDescent="0.3">
      <c r="A203" s="11">
        <v>46057</v>
      </c>
      <c r="B203" s="12" t="str">
        <f t="shared" si="21"/>
        <v>FEVEREIRO</v>
      </c>
      <c r="C203" s="12" t="s">
        <v>18</v>
      </c>
      <c r="D203" s="12" t="s">
        <v>12</v>
      </c>
      <c r="E203" s="13">
        <v>100</v>
      </c>
      <c r="F203" s="13">
        <v>0</v>
      </c>
      <c r="G203" s="12">
        <v>3</v>
      </c>
      <c r="H203" s="14"/>
      <c r="I203" s="12">
        <f>IFERROR(IF(T_PROD[[#This Row],[PREVISTO]]-T_PROD[[#This Row],[EFETIVO]]&lt; 0,0,T_PROD[[#This Row],[PREVISTO]]-T_PROD[[#This Row],[EFETIVO]] ),"")</f>
        <v>3</v>
      </c>
      <c r="J203" s="15">
        <f>IFERROR(IF(T_PROD[[#This Row],[META]]&gt;0,(T_PROD[[#This Row],[META]]/T_PROD[[#This Row],[PREVISTO]]),""),"")</f>
        <v>33.333333333333336</v>
      </c>
      <c r="K203" s="15" t="str">
        <f>IFERROR(IF(T_PROD[[#This Row],[PRODUÇÃO]]&gt;0,(T_PROD[[#This Row],[PRODUÇÃO]]/T_PROD[[#This Row],[EFETIVO]]),""),"")</f>
        <v/>
      </c>
    </row>
    <row r="204" spans="1:11" s="6" customFormat="1" x14ac:dyDescent="0.3">
      <c r="A204" s="11">
        <v>46057</v>
      </c>
      <c r="B204" s="12" t="str">
        <f t="shared" si="21"/>
        <v>FEVEREIRO</v>
      </c>
      <c r="C204" s="12" t="s">
        <v>19</v>
      </c>
      <c r="D204" s="12" t="s">
        <v>12</v>
      </c>
      <c r="E204" s="13">
        <v>100</v>
      </c>
      <c r="F204" s="13">
        <v>41</v>
      </c>
      <c r="G204" s="12">
        <v>11</v>
      </c>
      <c r="H204" s="14">
        <v>16</v>
      </c>
      <c r="I204" s="12">
        <f>IFERROR(IF(T_PROD[[#This Row],[PREVISTO]]-T_PROD[[#This Row],[EFETIVO]]&lt; 0,0,T_PROD[[#This Row],[PREVISTO]]-T_PROD[[#This Row],[EFETIVO]] ),"")</f>
        <v>0</v>
      </c>
      <c r="J204" s="15">
        <f>IFERROR(IF(T_PROD[[#This Row],[META]]&gt;0,(T_PROD[[#This Row],[META]]/T_PROD[[#This Row],[PREVISTO]]),""),"")</f>
        <v>9.0909090909090917</v>
      </c>
      <c r="K204" s="15">
        <f>IFERROR(IF(T_PROD[[#This Row],[PRODUÇÃO]]&gt;0,(T_PROD[[#This Row],[PRODUÇÃO]]/T_PROD[[#This Row],[EFETIVO]]),""),"")</f>
        <v>2.5625</v>
      </c>
    </row>
    <row r="205" spans="1:11" s="6" customFormat="1" x14ac:dyDescent="0.3">
      <c r="A205" s="11">
        <v>46057</v>
      </c>
      <c r="B205" s="12" t="str">
        <f t="shared" si="21"/>
        <v>FEVEREIRO</v>
      </c>
      <c r="C205" s="12" t="s">
        <v>20</v>
      </c>
      <c r="D205" s="12" t="s">
        <v>12</v>
      </c>
      <c r="E205" s="13">
        <v>486</v>
      </c>
      <c r="F205" s="13">
        <v>293</v>
      </c>
      <c r="G205" s="12">
        <v>90</v>
      </c>
      <c r="H205" s="14">
        <v>90</v>
      </c>
      <c r="I205" s="12">
        <f>IFERROR(IF(T_PROD[[#This Row],[PREVISTO]]-T_PROD[[#This Row],[EFETIVO]]&lt; 0,0,T_PROD[[#This Row],[PREVISTO]]-T_PROD[[#This Row],[EFETIVO]] ),"")</f>
        <v>0</v>
      </c>
      <c r="J205" s="15">
        <f>IFERROR(IF(T_PROD[[#This Row],[META]]&gt;0,(T_PROD[[#This Row],[META]]/T_PROD[[#This Row],[PREVISTO]]),""),"")</f>
        <v>5.4</v>
      </c>
      <c r="K205" s="15">
        <f>IFERROR(IF(T_PROD[[#This Row],[PRODUÇÃO]]&gt;0,(T_PROD[[#This Row],[PRODUÇÃO]]/T_PROD[[#This Row],[EFETIVO]]),""),"")</f>
        <v>3.2555555555555555</v>
      </c>
    </row>
    <row r="206" spans="1:11" s="6" customFormat="1" x14ac:dyDescent="0.3">
      <c r="A206" s="11">
        <v>46057</v>
      </c>
      <c r="B206" s="12" t="str">
        <f t="shared" si="21"/>
        <v>FEVEREIRO</v>
      </c>
      <c r="C206" s="12" t="s">
        <v>11</v>
      </c>
      <c r="D206" s="12" t="s">
        <v>12</v>
      </c>
      <c r="E206" s="13">
        <v>600</v>
      </c>
      <c r="F206" s="13">
        <v>408</v>
      </c>
      <c r="G206" s="12">
        <v>33</v>
      </c>
      <c r="H206" s="14">
        <v>25</v>
      </c>
      <c r="I206" s="12">
        <f>IFERROR(IF(T_PROD[[#This Row],[PREVISTO]]-T_PROD[[#This Row],[EFETIVO]]&lt; 0,0,T_PROD[[#This Row],[PREVISTO]]-T_PROD[[#This Row],[EFETIVO]] ),"")</f>
        <v>8</v>
      </c>
      <c r="J206" s="15">
        <v>18</v>
      </c>
      <c r="K206" s="15">
        <f>IFERROR(IF(T_PROD[[#This Row],[PRODUÇÃO]]&gt;0,(T_PROD[[#This Row],[PRODUÇÃO]]/T_PROD[[#This Row],[EFETIVO]]),""),"")</f>
        <v>16.32</v>
      </c>
    </row>
    <row r="207" spans="1:11" s="6" customFormat="1" x14ac:dyDescent="0.3">
      <c r="A207" s="11">
        <v>46057</v>
      </c>
      <c r="B207" s="12" t="str">
        <f t="shared" si="21"/>
        <v>FEVEREIRO</v>
      </c>
      <c r="C207" s="12" t="s">
        <v>13</v>
      </c>
      <c r="D207" s="12" t="s">
        <v>12</v>
      </c>
      <c r="E207" s="13">
        <v>150</v>
      </c>
      <c r="F207" s="13">
        <v>128</v>
      </c>
      <c r="G207" s="12">
        <v>10</v>
      </c>
      <c r="H207" s="14">
        <v>8</v>
      </c>
      <c r="I207" s="12">
        <f>IFERROR(IF(T_PROD[[#This Row],[PREVISTO]]-T_PROD[[#This Row],[EFETIVO]]&lt; 0,0,T_PROD[[#This Row],[PREVISTO]]-T_PROD[[#This Row],[EFETIVO]] ),"")</f>
        <v>2</v>
      </c>
      <c r="J207" s="15">
        <f>IFERROR(IF(T_PROD[[#This Row],[META]]&gt;0,(T_PROD[[#This Row],[META]]/T_PROD[[#This Row],[PREVISTO]]),""),"")</f>
        <v>15</v>
      </c>
      <c r="K207" s="15">
        <f>IFERROR(IF(T_PROD[[#This Row],[PRODUÇÃO]]&gt;0,(T_PROD[[#This Row],[PRODUÇÃO]]/T_PROD[[#This Row],[EFETIVO]]),""),"")</f>
        <v>16</v>
      </c>
    </row>
    <row r="208" spans="1:11" s="6" customFormat="1" x14ac:dyDescent="0.3">
      <c r="A208" s="11">
        <v>46057</v>
      </c>
      <c r="B208" s="12" t="str">
        <f t="shared" si="21"/>
        <v>FEVEREIRO</v>
      </c>
      <c r="C208" s="12" t="s">
        <v>14</v>
      </c>
      <c r="D208" s="12" t="s">
        <v>12</v>
      </c>
      <c r="E208" s="13">
        <v>750</v>
      </c>
      <c r="F208" s="13">
        <v>536</v>
      </c>
      <c r="G208" s="12">
        <v>89</v>
      </c>
      <c r="H208" s="14">
        <v>72</v>
      </c>
      <c r="I208" s="12">
        <f>IFERROR(IF(T_PROD[[#This Row],[PREVISTO]]-T_PROD[[#This Row],[EFETIVO]]&lt; 0,0,T_PROD[[#This Row],[PREVISTO]]-T_PROD[[#This Row],[EFETIVO]] ),"")</f>
        <v>17</v>
      </c>
      <c r="J208" s="15">
        <v>8.1999999999999993</v>
      </c>
      <c r="K208" s="15">
        <f>IFERROR(IF(T_PROD[[#This Row],[PRODUÇÃO]]&gt;0,(T_PROD[[#This Row],[PRODUÇÃO]]/T_PROD[[#This Row],[EFETIVO]]),""),"")</f>
        <v>7.4444444444444446</v>
      </c>
    </row>
    <row r="209" spans="1:11" s="6" customFormat="1" x14ac:dyDescent="0.3">
      <c r="A209" s="11">
        <v>46058</v>
      </c>
      <c r="B209" s="12" t="str">
        <f>UPPER(TEXT(A209,"MMMM"))</f>
        <v>FEVEREIRO</v>
      </c>
      <c r="C209" s="12" t="s">
        <v>15</v>
      </c>
      <c r="D209" s="12" t="s">
        <v>12</v>
      </c>
      <c r="E209" s="13">
        <v>60</v>
      </c>
      <c r="F209" s="13">
        <v>17</v>
      </c>
      <c r="G209" s="12">
        <v>4</v>
      </c>
      <c r="H209" s="14">
        <v>4</v>
      </c>
      <c r="I209" s="12">
        <f>IFERROR(IF(T_PROD[[#This Row],[PREVISTO]]-T_PROD[[#This Row],[EFETIVO]]&lt; 0,0,T_PROD[[#This Row],[PREVISTO]]-T_PROD[[#This Row],[EFETIVO]] ),"")</f>
        <v>0</v>
      </c>
      <c r="J209" s="15">
        <f>IFERROR(IF(T_PROD[[#This Row],[META]]&gt;0,(T_PROD[[#This Row],[META]]/T_PROD[[#This Row],[PREVISTO]]),""),"")</f>
        <v>15</v>
      </c>
      <c r="K209" s="15">
        <f>IFERROR(IF(T_PROD[[#This Row],[PRODUÇÃO]]&gt;0,(T_PROD[[#This Row],[PRODUÇÃO]]/T_PROD[[#This Row],[EFETIVO]]),""),"")</f>
        <v>4.25</v>
      </c>
    </row>
    <row r="210" spans="1:11" s="6" customFormat="1" x14ac:dyDescent="0.3">
      <c r="A210" s="11">
        <v>46058</v>
      </c>
      <c r="B210" s="12" t="str">
        <f t="shared" ref="B210:B217" si="22">UPPER(TEXT(A210,"MMMM"))</f>
        <v>FEVEREIRO</v>
      </c>
      <c r="C210" s="12" t="s">
        <v>16</v>
      </c>
      <c r="D210" s="12" t="s">
        <v>12</v>
      </c>
      <c r="E210" s="13">
        <v>204</v>
      </c>
      <c r="F210" s="13">
        <v>200</v>
      </c>
      <c r="G210" s="12">
        <v>6</v>
      </c>
      <c r="H210" s="14">
        <v>9</v>
      </c>
      <c r="I210" s="12">
        <f>IFERROR(IF(T_PROD[[#This Row],[PREVISTO]]-T_PROD[[#This Row],[EFETIVO]]&lt; 0,0,T_PROD[[#This Row],[PREVISTO]]-T_PROD[[#This Row],[EFETIVO]] ),"")</f>
        <v>0</v>
      </c>
      <c r="J210" s="15">
        <f>IFERROR(IF(T_PROD[[#This Row],[META]]&gt;0,(T_PROD[[#This Row],[META]]/T_PROD[[#This Row],[PREVISTO]]),""),"")</f>
        <v>34</v>
      </c>
      <c r="K210" s="15">
        <f>IFERROR(IF(T_PROD[[#This Row],[PRODUÇÃO]]&gt;0,(T_PROD[[#This Row],[PRODUÇÃO]]/T_PROD[[#This Row],[EFETIVO]]),""),"")</f>
        <v>22.222222222222221</v>
      </c>
    </row>
    <row r="211" spans="1:11" s="6" customFormat="1" x14ac:dyDescent="0.3">
      <c r="A211" s="11">
        <v>46058</v>
      </c>
      <c r="B211" s="12" t="str">
        <f t="shared" si="22"/>
        <v>FEVEREIRO</v>
      </c>
      <c r="C211" s="12" t="s">
        <v>17</v>
      </c>
      <c r="D211" s="12" t="s">
        <v>12</v>
      </c>
      <c r="E211" s="13">
        <v>32</v>
      </c>
      <c r="F211" s="13">
        <v>4</v>
      </c>
      <c r="G211" s="12">
        <v>2</v>
      </c>
      <c r="H211" s="14">
        <v>2</v>
      </c>
      <c r="I211" s="12">
        <f>IFERROR(IF(T_PROD[[#This Row],[PREVISTO]]-T_PROD[[#This Row],[EFETIVO]]&lt; 0,0,T_PROD[[#This Row],[PREVISTO]]-T_PROD[[#This Row],[EFETIVO]] ),"")</f>
        <v>0</v>
      </c>
      <c r="J211" s="15">
        <f>IFERROR(IF(T_PROD[[#This Row],[META]]&gt;0,(T_PROD[[#This Row],[META]]/T_PROD[[#This Row],[PREVISTO]]),""),"")</f>
        <v>16</v>
      </c>
      <c r="K211" s="15">
        <f>IFERROR(IF(T_PROD[[#This Row],[PRODUÇÃO]]&gt;0,(T_PROD[[#This Row],[PRODUÇÃO]]/T_PROD[[#This Row],[EFETIVO]]),""),"")</f>
        <v>2</v>
      </c>
    </row>
    <row r="212" spans="1:11" s="6" customFormat="1" x14ac:dyDescent="0.3">
      <c r="A212" s="11">
        <v>46058</v>
      </c>
      <c r="B212" s="12" t="str">
        <f t="shared" si="22"/>
        <v>FEVEREIRO</v>
      </c>
      <c r="C212" s="12" t="s">
        <v>18</v>
      </c>
      <c r="D212" s="12" t="s">
        <v>12</v>
      </c>
      <c r="E212" s="13">
        <v>100</v>
      </c>
      <c r="F212" s="13">
        <v>0</v>
      </c>
      <c r="G212" s="12">
        <v>3</v>
      </c>
      <c r="H212" s="14">
        <v>0</v>
      </c>
      <c r="I212" s="12">
        <f>IFERROR(IF(T_PROD[[#This Row],[PREVISTO]]-T_PROD[[#This Row],[EFETIVO]]&lt; 0,0,T_PROD[[#This Row],[PREVISTO]]-T_PROD[[#This Row],[EFETIVO]] ),"")</f>
        <v>3</v>
      </c>
      <c r="J212" s="15">
        <f>IFERROR(IF(T_PROD[[#This Row],[META]]&gt;0,(T_PROD[[#This Row],[META]]/T_PROD[[#This Row],[PREVISTO]]),""),"")</f>
        <v>33.333333333333336</v>
      </c>
      <c r="K212" s="15" t="str">
        <f>IFERROR(IF(T_PROD[[#This Row],[PRODUÇÃO]]&gt;0,(T_PROD[[#This Row],[PRODUÇÃO]]/T_PROD[[#This Row],[EFETIVO]]),""),"")</f>
        <v/>
      </c>
    </row>
    <row r="213" spans="1:11" s="6" customFormat="1" x14ac:dyDescent="0.3">
      <c r="A213" s="11">
        <v>46058</v>
      </c>
      <c r="B213" s="12" t="str">
        <f t="shared" si="22"/>
        <v>FEVEREIRO</v>
      </c>
      <c r="C213" s="12" t="s">
        <v>19</v>
      </c>
      <c r="D213" s="12" t="s">
        <v>12</v>
      </c>
      <c r="E213" s="13">
        <v>100</v>
      </c>
      <c r="F213" s="13">
        <v>100</v>
      </c>
      <c r="G213" s="12">
        <v>11</v>
      </c>
      <c r="H213" s="14">
        <v>13</v>
      </c>
      <c r="I213" s="12">
        <f>IFERROR(IF(T_PROD[[#This Row],[PREVISTO]]-T_PROD[[#This Row],[EFETIVO]]&lt; 0,0,T_PROD[[#This Row],[PREVISTO]]-T_PROD[[#This Row],[EFETIVO]] ),"")</f>
        <v>0</v>
      </c>
      <c r="J213" s="15">
        <f>IFERROR(IF(T_PROD[[#This Row],[META]]&gt;0,(T_PROD[[#This Row],[META]]/T_PROD[[#This Row],[PREVISTO]]),""),"")</f>
        <v>9.0909090909090917</v>
      </c>
      <c r="K213" s="15">
        <f>IFERROR(IF(T_PROD[[#This Row],[PRODUÇÃO]]&gt;0,(T_PROD[[#This Row],[PRODUÇÃO]]/T_PROD[[#This Row],[EFETIVO]]),""),"")</f>
        <v>7.6923076923076925</v>
      </c>
    </row>
    <row r="214" spans="1:11" s="6" customFormat="1" x14ac:dyDescent="0.3">
      <c r="A214" s="11">
        <v>46058</v>
      </c>
      <c r="B214" s="12" t="str">
        <f t="shared" si="22"/>
        <v>FEVEREIRO</v>
      </c>
      <c r="C214" s="12" t="s">
        <v>20</v>
      </c>
      <c r="D214" s="12" t="s">
        <v>12</v>
      </c>
      <c r="E214" s="13">
        <v>486</v>
      </c>
      <c r="F214" s="13">
        <v>321</v>
      </c>
      <c r="G214" s="12">
        <v>90</v>
      </c>
      <c r="H214" s="14">
        <v>90</v>
      </c>
      <c r="I214" s="12">
        <f>IFERROR(IF(T_PROD[[#This Row],[PREVISTO]]-T_PROD[[#This Row],[EFETIVO]]&lt; 0,0,T_PROD[[#This Row],[PREVISTO]]-T_PROD[[#This Row],[EFETIVO]] ),"")</f>
        <v>0</v>
      </c>
      <c r="J214" s="15">
        <f>IFERROR(IF(T_PROD[[#This Row],[META]]&gt;0,(T_PROD[[#This Row],[META]]/T_PROD[[#This Row],[PREVISTO]]),""),"")</f>
        <v>5.4</v>
      </c>
      <c r="K214" s="15">
        <f>IFERROR(IF(T_PROD[[#This Row],[PRODUÇÃO]]&gt;0,(T_PROD[[#This Row],[PRODUÇÃO]]/T_PROD[[#This Row],[EFETIVO]]),""),"")</f>
        <v>3.5666666666666669</v>
      </c>
    </row>
    <row r="215" spans="1:11" s="6" customFormat="1" x14ac:dyDescent="0.3">
      <c r="A215" s="11">
        <v>46058</v>
      </c>
      <c r="B215" s="12" t="str">
        <f t="shared" si="22"/>
        <v>FEVEREIRO</v>
      </c>
      <c r="C215" s="12" t="s">
        <v>11</v>
      </c>
      <c r="D215" s="12" t="s">
        <v>12</v>
      </c>
      <c r="E215" s="13">
        <v>600</v>
      </c>
      <c r="F215" s="13">
        <v>660</v>
      </c>
      <c r="G215" s="12">
        <v>33</v>
      </c>
      <c r="H215" s="14">
        <v>30</v>
      </c>
      <c r="I215" s="12">
        <f>IFERROR(IF(T_PROD[[#This Row],[PREVISTO]]-T_PROD[[#This Row],[EFETIVO]]&lt; 0,0,T_PROD[[#This Row],[PREVISTO]]-T_PROD[[#This Row],[EFETIVO]] ),"")</f>
        <v>3</v>
      </c>
      <c r="J215" s="15">
        <v>18</v>
      </c>
      <c r="K215" s="15">
        <f>IFERROR(IF(T_PROD[[#This Row],[PRODUÇÃO]]&gt;0,(T_PROD[[#This Row],[PRODUÇÃO]]/T_PROD[[#This Row],[EFETIVO]]),""),"")</f>
        <v>22</v>
      </c>
    </row>
    <row r="216" spans="1:11" s="6" customFormat="1" x14ac:dyDescent="0.3">
      <c r="A216" s="11">
        <v>46058</v>
      </c>
      <c r="B216" s="12" t="str">
        <f t="shared" si="22"/>
        <v>FEVEREIRO</v>
      </c>
      <c r="C216" s="12" t="s">
        <v>13</v>
      </c>
      <c r="D216" s="12" t="s">
        <v>12</v>
      </c>
      <c r="E216" s="13">
        <v>150</v>
      </c>
      <c r="F216" s="13">
        <v>158</v>
      </c>
      <c r="G216" s="12">
        <v>10</v>
      </c>
      <c r="H216" s="14">
        <v>10</v>
      </c>
      <c r="I216" s="12">
        <f>IFERROR(IF(T_PROD[[#This Row],[PREVISTO]]-T_PROD[[#This Row],[EFETIVO]]&lt; 0,0,T_PROD[[#This Row],[PREVISTO]]-T_PROD[[#This Row],[EFETIVO]] ),"")</f>
        <v>0</v>
      </c>
      <c r="J216" s="15">
        <f>IFERROR(IF(T_PROD[[#This Row],[META]]&gt;0,(T_PROD[[#This Row],[META]]/T_PROD[[#This Row],[PREVISTO]]),""),"")</f>
        <v>15</v>
      </c>
      <c r="K216" s="15">
        <f>IFERROR(IF(T_PROD[[#This Row],[PRODUÇÃO]]&gt;0,(T_PROD[[#This Row],[PRODUÇÃO]]/T_PROD[[#This Row],[EFETIVO]]),""),"")</f>
        <v>15.8</v>
      </c>
    </row>
    <row r="217" spans="1:11" s="6" customFormat="1" x14ac:dyDescent="0.3">
      <c r="A217" s="11">
        <v>46058</v>
      </c>
      <c r="B217" s="12" t="str">
        <f t="shared" si="22"/>
        <v>FEVEREIRO</v>
      </c>
      <c r="C217" s="12" t="s">
        <v>14</v>
      </c>
      <c r="D217" s="12" t="s">
        <v>12</v>
      </c>
      <c r="E217" s="13">
        <v>750</v>
      </c>
      <c r="F217" s="13">
        <v>818</v>
      </c>
      <c r="G217" s="12">
        <v>89</v>
      </c>
      <c r="H217" s="14">
        <v>85</v>
      </c>
      <c r="I217" s="12">
        <f>IFERROR(IF(T_PROD[[#This Row],[PREVISTO]]-T_PROD[[#This Row],[EFETIVO]]&lt; 0,0,T_PROD[[#This Row],[PREVISTO]]-T_PROD[[#This Row],[EFETIVO]] ),"")</f>
        <v>4</v>
      </c>
      <c r="J217" s="15">
        <v>8.1999999999999993</v>
      </c>
      <c r="K217" s="15">
        <f>IFERROR(IF(T_PROD[[#This Row],[PRODUÇÃO]]&gt;0,(T_PROD[[#This Row],[PRODUÇÃO]]/T_PROD[[#This Row],[EFETIVO]]),""),"")</f>
        <v>9.6235294117647054</v>
      </c>
    </row>
    <row r="218" spans="1:11" s="6" customFormat="1" x14ac:dyDescent="0.3">
      <c r="A218" s="11">
        <v>46059</v>
      </c>
      <c r="B218" s="12" t="str">
        <f>UPPER(TEXT(A218,"MMMM"))</f>
        <v>FEVEREIRO</v>
      </c>
      <c r="C218" s="12" t="s">
        <v>15</v>
      </c>
      <c r="D218" s="12" t="s">
        <v>12</v>
      </c>
      <c r="E218" s="13">
        <v>60</v>
      </c>
      <c r="F218" s="13">
        <v>39</v>
      </c>
      <c r="G218" s="12">
        <v>4</v>
      </c>
      <c r="H218" s="14">
        <v>4</v>
      </c>
      <c r="I218" s="12">
        <f>IFERROR(IF(T_PROD[[#This Row],[PREVISTO]]-T_PROD[[#This Row],[EFETIVO]]&lt; 0,0,T_PROD[[#This Row],[PREVISTO]]-T_PROD[[#This Row],[EFETIVO]] ),"")</f>
        <v>0</v>
      </c>
      <c r="J218" s="15">
        <f>IFERROR(IF(T_PROD[[#This Row],[META]]&gt;0,(T_PROD[[#This Row],[META]]/T_PROD[[#This Row],[PREVISTO]]),""),"")</f>
        <v>15</v>
      </c>
      <c r="K218" s="15">
        <f>IFERROR(IF(T_PROD[[#This Row],[PRODUÇÃO]]&gt;0,(T_PROD[[#This Row],[PRODUÇÃO]]/T_PROD[[#This Row],[EFETIVO]]),""),"")</f>
        <v>9.75</v>
      </c>
    </row>
    <row r="219" spans="1:11" s="6" customFormat="1" x14ac:dyDescent="0.3">
      <c r="A219" s="11">
        <v>46059</v>
      </c>
      <c r="B219" s="12" t="str">
        <f t="shared" ref="B219:B226" si="23">UPPER(TEXT(A219,"MMMM"))</f>
        <v>FEVEREIRO</v>
      </c>
      <c r="C219" s="12" t="s">
        <v>16</v>
      </c>
      <c r="D219" s="12" t="s">
        <v>12</v>
      </c>
      <c r="E219" s="13">
        <v>204</v>
      </c>
      <c r="F219" s="13">
        <v>139</v>
      </c>
      <c r="G219" s="12">
        <v>6</v>
      </c>
      <c r="H219" s="14">
        <v>6</v>
      </c>
      <c r="I219" s="12">
        <f>IFERROR(IF(T_PROD[[#This Row],[PREVISTO]]-T_PROD[[#This Row],[EFETIVO]]&lt; 0,0,T_PROD[[#This Row],[PREVISTO]]-T_PROD[[#This Row],[EFETIVO]] ),"")</f>
        <v>0</v>
      </c>
      <c r="J219" s="15">
        <f>IFERROR(IF(T_PROD[[#This Row],[META]]&gt;0,(T_PROD[[#This Row],[META]]/T_PROD[[#This Row],[PREVISTO]]),""),"")</f>
        <v>34</v>
      </c>
      <c r="K219" s="15">
        <f>IFERROR(IF(T_PROD[[#This Row],[PRODUÇÃO]]&gt;0,(T_PROD[[#This Row],[PRODUÇÃO]]/T_PROD[[#This Row],[EFETIVO]]),""),"")</f>
        <v>23.166666666666668</v>
      </c>
    </row>
    <row r="220" spans="1:11" s="6" customFormat="1" x14ac:dyDescent="0.3">
      <c r="A220" s="11">
        <v>46059</v>
      </c>
      <c r="B220" s="12" t="str">
        <f t="shared" si="23"/>
        <v>FEVEREIRO</v>
      </c>
      <c r="C220" s="12" t="s">
        <v>17</v>
      </c>
      <c r="D220" s="12" t="s">
        <v>12</v>
      </c>
      <c r="E220" s="13">
        <v>32</v>
      </c>
      <c r="F220" s="13">
        <v>41</v>
      </c>
      <c r="G220" s="12">
        <v>2</v>
      </c>
      <c r="H220" s="14">
        <v>2</v>
      </c>
      <c r="I220" s="12">
        <f>IFERROR(IF(T_PROD[[#This Row],[PREVISTO]]-T_PROD[[#This Row],[EFETIVO]]&lt; 0,0,T_PROD[[#This Row],[PREVISTO]]-T_PROD[[#This Row],[EFETIVO]] ),"")</f>
        <v>0</v>
      </c>
      <c r="J220" s="15">
        <f>IFERROR(IF(T_PROD[[#This Row],[META]]&gt;0,(T_PROD[[#This Row],[META]]/T_PROD[[#This Row],[PREVISTO]]),""),"")</f>
        <v>16</v>
      </c>
      <c r="K220" s="15">
        <f>IFERROR(IF(T_PROD[[#This Row],[PRODUÇÃO]]&gt;0,(T_PROD[[#This Row],[PRODUÇÃO]]/T_PROD[[#This Row],[EFETIVO]]),""),"")</f>
        <v>20.5</v>
      </c>
    </row>
    <row r="221" spans="1:11" s="6" customFormat="1" x14ac:dyDescent="0.3">
      <c r="A221" s="11">
        <v>46059</v>
      </c>
      <c r="B221" s="12" t="str">
        <f t="shared" si="23"/>
        <v>FEVEREIRO</v>
      </c>
      <c r="C221" s="12" t="s">
        <v>18</v>
      </c>
      <c r="D221" s="12" t="s">
        <v>12</v>
      </c>
      <c r="E221" s="13">
        <v>100</v>
      </c>
      <c r="F221" s="13">
        <v>0</v>
      </c>
      <c r="G221" s="12">
        <v>3</v>
      </c>
      <c r="H221" s="14">
        <v>0</v>
      </c>
      <c r="I221" s="12">
        <f>IFERROR(IF(T_PROD[[#This Row],[PREVISTO]]-T_PROD[[#This Row],[EFETIVO]]&lt; 0,0,T_PROD[[#This Row],[PREVISTO]]-T_PROD[[#This Row],[EFETIVO]] ),"")</f>
        <v>3</v>
      </c>
      <c r="J221" s="15">
        <f>IFERROR(IF(T_PROD[[#This Row],[META]]&gt;0,(T_PROD[[#This Row],[META]]/T_PROD[[#This Row],[PREVISTO]]),""),"")</f>
        <v>33.333333333333336</v>
      </c>
      <c r="K221" s="15" t="str">
        <f>IFERROR(IF(T_PROD[[#This Row],[PRODUÇÃO]]&gt;0,(T_PROD[[#This Row],[PRODUÇÃO]]/T_PROD[[#This Row],[EFETIVO]]),""),"")</f>
        <v/>
      </c>
    </row>
    <row r="222" spans="1:11" s="6" customFormat="1" x14ac:dyDescent="0.3">
      <c r="A222" s="11">
        <v>46059</v>
      </c>
      <c r="B222" s="12" t="str">
        <f t="shared" si="23"/>
        <v>FEVEREIRO</v>
      </c>
      <c r="C222" s="12" t="s">
        <v>19</v>
      </c>
      <c r="D222" s="12" t="s">
        <v>12</v>
      </c>
      <c r="E222" s="13">
        <v>100</v>
      </c>
      <c r="F222" s="13">
        <v>54</v>
      </c>
      <c r="G222" s="12">
        <v>11</v>
      </c>
      <c r="H222" s="14">
        <v>16</v>
      </c>
      <c r="I222" s="12">
        <f>IFERROR(IF(T_PROD[[#This Row],[PREVISTO]]-T_PROD[[#This Row],[EFETIVO]]&lt; 0,0,T_PROD[[#This Row],[PREVISTO]]-T_PROD[[#This Row],[EFETIVO]] ),"")</f>
        <v>0</v>
      </c>
      <c r="J222" s="15">
        <f>IFERROR(IF(T_PROD[[#This Row],[META]]&gt;0,(T_PROD[[#This Row],[META]]/T_PROD[[#This Row],[PREVISTO]]),""),"")</f>
        <v>9.0909090909090917</v>
      </c>
      <c r="K222" s="15">
        <f>IFERROR(IF(T_PROD[[#This Row],[PRODUÇÃO]]&gt;0,(T_PROD[[#This Row],[PRODUÇÃO]]/T_PROD[[#This Row],[EFETIVO]]),""),"")</f>
        <v>3.375</v>
      </c>
    </row>
    <row r="223" spans="1:11" s="6" customFormat="1" x14ac:dyDescent="0.3">
      <c r="A223" s="11">
        <v>46059</v>
      </c>
      <c r="B223" s="12" t="str">
        <f t="shared" si="23"/>
        <v>FEVEREIRO</v>
      </c>
      <c r="C223" s="12" t="s">
        <v>20</v>
      </c>
      <c r="D223" s="12" t="s">
        <v>12</v>
      </c>
      <c r="E223" s="13">
        <v>486</v>
      </c>
      <c r="F223" s="13">
        <v>273</v>
      </c>
      <c r="G223" s="12">
        <v>90</v>
      </c>
      <c r="H223" s="14">
        <v>90</v>
      </c>
      <c r="I223" s="12">
        <f>IFERROR(IF(T_PROD[[#This Row],[PREVISTO]]-T_PROD[[#This Row],[EFETIVO]]&lt; 0,0,T_PROD[[#This Row],[PREVISTO]]-T_PROD[[#This Row],[EFETIVO]] ),"")</f>
        <v>0</v>
      </c>
      <c r="J223" s="15">
        <f>IFERROR(IF(T_PROD[[#This Row],[META]]&gt;0,(T_PROD[[#This Row],[META]]/T_PROD[[#This Row],[PREVISTO]]),""),"")</f>
        <v>5.4</v>
      </c>
      <c r="K223" s="15">
        <f>IFERROR(IF(T_PROD[[#This Row],[PRODUÇÃO]]&gt;0,(T_PROD[[#This Row],[PRODUÇÃO]]/T_PROD[[#This Row],[EFETIVO]]),""),"")</f>
        <v>3.0333333333333332</v>
      </c>
    </row>
    <row r="224" spans="1:11" s="6" customFormat="1" x14ac:dyDescent="0.3">
      <c r="A224" s="11">
        <v>46059</v>
      </c>
      <c r="B224" s="12" t="str">
        <f t="shared" si="23"/>
        <v>FEVEREIRO</v>
      </c>
      <c r="C224" s="12" t="s">
        <v>11</v>
      </c>
      <c r="D224" s="12" t="s">
        <v>12</v>
      </c>
      <c r="E224" s="13">
        <v>460</v>
      </c>
      <c r="F224" s="13">
        <v>460</v>
      </c>
      <c r="G224" s="12">
        <v>33</v>
      </c>
      <c r="H224" s="14">
        <v>27</v>
      </c>
      <c r="I224" s="12">
        <f>IFERROR(IF(T_PROD[[#This Row],[PREVISTO]]-T_PROD[[#This Row],[EFETIVO]]&lt; 0,0,T_PROD[[#This Row],[PREVISTO]]-T_PROD[[#This Row],[EFETIVO]] ),"")</f>
        <v>6</v>
      </c>
      <c r="J224" s="15">
        <v>18</v>
      </c>
      <c r="K224" s="15">
        <f>IFERROR(IF(T_PROD[[#This Row],[PRODUÇÃO]]&gt;0,(T_PROD[[#This Row],[PRODUÇÃO]]/T_PROD[[#This Row],[EFETIVO]]),""),"")</f>
        <v>17.037037037037038</v>
      </c>
    </row>
    <row r="225" spans="1:11" s="6" customFormat="1" x14ac:dyDescent="0.3">
      <c r="A225" s="11">
        <v>46059</v>
      </c>
      <c r="B225" s="12" t="str">
        <f t="shared" si="23"/>
        <v>FEVEREIRO</v>
      </c>
      <c r="C225" s="12" t="s">
        <v>13</v>
      </c>
      <c r="D225" s="12" t="s">
        <v>12</v>
      </c>
      <c r="E225" s="13">
        <v>115</v>
      </c>
      <c r="F225" s="13">
        <v>108</v>
      </c>
      <c r="G225" s="12">
        <v>10</v>
      </c>
      <c r="H225" s="14">
        <v>7</v>
      </c>
      <c r="I225" s="12">
        <f>IFERROR(IF(T_PROD[[#This Row],[PREVISTO]]-T_PROD[[#This Row],[EFETIVO]]&lt; 0,0,T_PROD[[#This Row],[PREVISTO]]-T_PROD[[#This Row],[EFETIVO]] ),"")</f>
        <v>3</v>
      </c>
      <c r="J225" s="15">
        <v>15</v>
      </c>
      <c r="K225" s="15">
        <f>IFERROR(IF(T_PROD[[#This Row],[PRODUÇÃO]]&gt;0,(T_PROD[[#This Row],[PRODUÇÃO]]/T_PROD[[#This Row],[EFETIVO]]),""),"")</f>
        <v>15.428571428571429</v>
      </c>
    </row>
    <row r="226" spans="1:11" s="6" customFormat="1" x14ac:dyDescent="0.3">
      <c r="A226" s="11">
        <v>46059</v>
      </c>
      <c r="B226" s="12" t="str">
        <f t="shared" si="23"/>
        <v>FEVEREIRO</v>
      </c>
      <c r="C226" s="12" t="s">
        <v>14</v>
      </c>
      <c r="D226" s="12" t="s">
        <v>12</v>
      </c>
      <c r="E226" s="13">
        <v>575</v>
      </c>
      <c r="F226" s="13">
        <v>568</v>
      </c>
      <c r="G226" s="12">
        <v>89</v>
      </c>
      <c r="H226" s="14">
        <v>80</v>
      </c>
      <c r="I226" s="12">
        <f>IFERROR(IF(T_PROD[[#This Row],[PREVISTO]]-T_PROD[[#This Row],[EFETIVO]]&lt; 0,0,T_PROD[[#This Row],[PREVISTO]]-T_PROD[[#This Row],[EFETIVO]] ),"")</f>
        <v>9</v>
      </c>
      <c r="J226" s="15">
        <v>8.1999999999999993</v>
      </c>
      <c r="K226" s="15">
        <f>IFERROR(IF(T_PROD[[#This Row],[PRODUÇÃO]]&gt;0,(T_PROD[[#This Row],[PRODUÇÃO]]/T_PROD[[#This Row],[EFETIVO]]),""),"")</f>
        <v>7.1</v>
      </c>
    </row>
    <row r="227" spans="1:11" s="6" customFormat="1" x14ac:dyDescent="0.3">
      <c r="A227" s="11">
        <v>46062</v>
      </c>
      <c r="B227" s="12" t="str">
        <f>UPPER(TEXT(A227,"MMMM"))</f>
        <v>FEVEREIRO</v>
      </c>
      <c r="C227" s="12" t="s">
        <v>15</v>
      </c>
      <c r="D227" s="12" t="s">
        <v>12</v>
      </c>
      <c r="E227" s="13">
        <v>60</v>
      </c>
      <c r="F227" s="13">
        <v>46</v>
      </c>
      <c r="G227" s="12">
        <v>4</v>
      </c>
      <c r="H227" s="14">
        <v>3</v>
      </c>
      <c r="I227" s="12">
        <f>IFERROR(IF(T_PROD[[#This Row],[PREVISTO]]-T_PROD[[#This Row],[EFETIVO]]&lt; 0,0,T_PROD[[#This Row],[PREVISTO]]-T_PROD[[#This Row],[EFETIVO]] ),"")</f>
        <v>1</v>
      </c>
      <c r="J227" s="15">
        <f>IFERROR(IF(T_PROD[[#This Row],[META]]&gt;0,(T_PROD[[#This Row],[META]]/T_PROD[[#This Row],[PREVISTO]]),""),"")</f>
        <v>15</v>
      </c>
      <c r="K227" s="15">
        <f>IFERROR(IF(T_PROD[[#This Row],[PRODUÇÃO]]&gt;0,(T_PROD[[#This Row],[PRODUÇÃO]]/T_PROD[[#This Row],[EFETIVO]]),""),"")</f>
        <v>15.333333333333334</v>
      </c>
    </row>
    <row r="228" spans="1:11" s="6" customFormat="1" x14ac:dyDescent="0.3">
      <c r="A228" s="11">
        <v>46062</v>
      </c>
      <c r="B228" s="12" t="str">
        <f t="shared" ref="B228:B235" si="24">UPPER(TEXT(A228,"MMMM"))</f>
        <v>FEVEREIRO</v>
      </c>
      <c r="C228" s="12" t="s">
        <v>16</v>
      </c>
      <c r="D228" s="12" t="s">
        <v>12</v>
      </c>
      <c r="E228" s="13">
        <v>204</v>
      </c>
      <c r="F228" s="13">
        <v>190</v>
      </c>
      <c r="G228" s="12">
        <v>6</v>
      </c>
      <c r="H228" s="14">
        <v>6</v>
      </c>
      <c r="I228" s="12">
        <f>IFERROR(IF(T_PROD[[#This Row],[PREVISTO]]-T_PROD[[#This Row],[EFETIVO]]&lt; 0,0,T_PROD[[#This Row],[PREVISTO]]-T_PROD[[#This Row],[EFETIVO]] ),"")</f>
        <v>0</v>
      </c>
      <c r="J228" s="15">
        <f>IFERROR(IF(T_PROD[[#This Row],[META]]&gt;0,(T_PROD[[#This Row],[META]]/T_PROD[[#This Row],[PREVISTO]]),""),"")</f>
        <v>34</v>
      </c>
      <c r="K228" s="15">
        <f>IFERROR(IF(T_PROD[[#This Row],[PRODUÇÃO]]&gt;0,(T_PROD[[#This Row],[PRODUÇÃO]]/T_PROD[[#This Row],[EFETIVO]]),""),"")</f>
        <v>31.666666666666668</v>
      </c>
    </row>
    <row r="229" spans="1:11" s="6" customFormat="1" x14ac:dyDescent="0.3">
      <c r="A229" s="11">
        <v>46062</v>
      </c>
      <c r="B229" s="12" t="str">
        <f t="shared" si="24"/>
        <v>FEVEREIRO</v>
      </c>
      <c r="C229" s="12" t="s">
        <v>17</v>
      </c>
      <c r="D229" s="12" t="s">
        <v>12</v>
      </c>
      <c r="E229" s="13">
        <v>128</v>
      </c>
      <c r="F229" s="13">
        <v>64</v>
      </c>
      <c r="G229" s="12">
        <v>8</v>
      </c>
      <c r="H229" s="14">
        <v>8</v>
      </c>
      <c r="I229" s="12">
        <f>IFERROR(IF(T_PROD[[#This Row],[PREVISTO]]-T_PROD[[#This Row],[EFETIVO]]&lt; 0,0,T_PROD[[#This Row],[PREVISTO]]-T_PROD[[#This Row],[EFETIVO]] ),"")</f>
        <v>0</v>
      </c>
      <c r="J229" s="15">
        <f>IFERROR(IF(T_PROD[[#This Row],[META]]&gt;0,(T_PROD[[#This Row],[META]]/T_PROD[[#This Row],[PREVISTO]]),""),"")</f>
        <v>16</v>
      </c>
      <c r="K229" s="15">
        <f>IFERROR(IF(T_PROD[[#This Row],[PRODUÇÃO]]&gt;0,(T_PROD[[#This Row],[PRODUÇÃO]]/T_PROD[[#This Row],[EFETIVO]]),""),"")</f>
        <v>8</v>
      </c>
    </row>
    <row r="230" spans="1:11" s="6" customFormat="1" x14ac:dyDescent="0.3">
      <c r="A230" s="11">
        <v>46062</v>
      </c>
      <c r="B230" s="12" t="str">
        <f t="shared" si="24"/>
        <v>FEVEREIRO</v>
      </c>
      <c r="C230" s="12" t="s">
        <v>18</v>
      </c>
      <c r="D230" s="12" t="s">
        <v>12</v>
      </c>
      <c r="E230" s="13">
        <v>100</v>
      </c>
      <c r="F230" s="13">
        <v>0</v>
      </c>
      <c r="G230" s="12">
        <v>3</v>
      </c>
      <c r="H230" s="14">
        <v>0</v>
      </c>
      <c r="I230" s="12">
        <f>IFERROR(IF(T_PROD[[#This Row],[PREVISTO]]-T_PROD[[#This Row],[EFETIVO]]&lt; 0,0,T_PROD[[#This Row],[PREVISTO]]-T_PROD[[#This Row],[EFETIVO]] ),"")</f>
        <v>3</v>
      </c>
      <c r="J230" s="15">
        <f>IFERROR(IF(T_PROD[[#This Row],[META]]&gt;0,(T_PROD[[#This Row],[META]]/T_PROD[[#This Row],[PREVISTO]]),""),"")</f>
        <v>33.333333333333336</v>
      </c>
      <c r="K230" s="15" t="str">
        <f>IFERROR(IF(T_PROD[[#This Row],[PRODUÇÃO]]&gt;0,(T_PROD[[#This Row],[PRODUÇÃO]]/T_PROD[[#This Row],[EFETIVO]]),""),"")</f>
        <v/>
      </c>
    </row>
    <row r="231" spans="1:11" s="6" customFormat="1" x14ac:dyDescent="0.3">
      <c r="A231" s="11">
        <v>46062</v>
      </c>
      <c r="B231" s="12" t="str">
        <f t="shared" si="24"/>
        <v>FEVEREIRO</v>
      </c>
      <c r="C231" s="12" t="s">
        <v>19</v>
      </c>
      <c r="D231" s="12" t="s">
        <v>12</v>
      </c>
      <c r="E231" s="13">
        <v>100</v>
      </c>
      <c r="F231" s="13">
        <v>26</v>
      </c>
      <c r="G231" s="12">
        <v>11</v>
      </c>
      <c r="H231" s="14">
        <v>11</v>
      </c>
      <c r="I231" s="12">
        <f>IFERROR(IF(T_PROD[[#This Row],[PREVISTO]]-T_PROD[[#This Row],[EFETIVO]]&lt; 0,0,T_PROD[[#This Row],[PREVISTO]]-T_PROD[[#This Row],[EFETIVO]] ),"")</f>
        <v>0</v>
      </c>
      <c r="J231" s="15">
        <f>IFERROR(IF(T_PROD[[#This Row],[META]]&gt;0,(T_PROD[[#This Row],[META]]/T_PROD[[#This Row],[PREVISTO]]),""),"")</f>
        <v>9.0909090909090917</v>
      </c>
      <c r="K231" s="15">
        <f>IFERROR(IF(T_PROD[[#This Row],[PRODUÇÃO]]&gt;0,(T_PROD[[#This Row],[PRODUÇÃO]]/T_PROD[[#This Row],[EFETIVO]]),""),"")</f>
        <v>2.3636363636363638</v>
      </c>
    </row>
    <row r="232" spans="1:11" s="6" customFormat="1" x14ac:dyDescent="0.3">
      <c r="A232" s="11">
        <v>46062</v>
      </c>
      <c r="B232" s="12" t="str">
        <f t="shared" si="24"/>
        <v>FEVEREIRO</v>
      </c>
      <c r="C232" s="12" t="s">
        <v>20</v>
      </c>
      <c r="D232" s="12" t="s">
        <v>12</v>
      </c>
      <c r="E232" s="13">
        <v>486</v>
      </c>
      <c r="F232" s="13">
        <v>326</v>
      </c>
      <c r="G232" s="12">
        <v>90</v>
      </c>
      <c r="H232" s="14">
        <v>90</v>
      </c>
      <c r="I232" s="12">
        <f>IFERROR(IF(T_PROD[[#This Row],[PREVISTO]]-T_PROD[[#This Row],[EFETIVO]]&lt; 0,0,T_PROD[[#This Row],[PREVISTO]]-T_PROD[[#This Row],[EFETIVO]] ),"")</f>
        <v>0</v>
      </c>
      <c r="J232" s="15">
        <f>IFERROR(IF(T_PROD[[#This Row],[META]]&gt;0,(T_PROD[[#This Row],[META]]/T_PROD[[#This Row],[PREVISTO]]),""),"")</f>
        <v>5.4</v>
      </c>
      <c r="K232" s="15">
        <f>IFERROR(IF(T_PROD[[#This Row],[PRODUÇÃO]]&gt;0,(T_PROD[[#This Row],[PRODUÇÃO]]/T_PROD[[#This Row],[EFETIVO]]),""),"")</f>
        <v>3.6222222222222222</v>
      </c>
    </row>
    <row r="233" spans="1:11" s="6" customFormat="1" x14ac:dyDescent="0.3">
      <c r="A233" s="11">
        <v>46062</v>
      </c>
      <c r="B233" s="12" t="str">
        <f t="shared" si="24"/>
        <v>FEVEREIRO</v>
      </c>
      <c r="C233" s="12" t="s">
        <v>11</v>
      </c>
      <c r="D233" s="12" t="s">
        <v>12</v>
      </c>
      <c r="E233" s="13">
        <v>600</v>
      </c>
      <c r="F233" s="13">
        <v>554</v>
      </c>
      <c r="G233" s="12">
        <v>33</v>
      </c>
      <c r="H233" s="14">
        <v>27</v>
      </c>
      <c r="I233" s="12">
        <f>IFERROR(IF(T_PROD[[#This Row],[PREVISTO]]-T_PROD[[#This Row],[EFETIVO]]&lt; 0,0,T_PROD[[#This Row],[PREVISTO]]-T_PROD[[#This Row],[EFETIVO]] ),"")</f>
        <v>6</v>
      </c>
      <c r="J233" s="15">
        <v>18</v>
      </c>
      <c r="K233" s="15">
        <f>IFERROR(IF(T_PROD[[#This Row],[PRODUÇÃO]]&gt;0,(T_PROD[[#This Row],[PRODUÇÃO]]/T_PROD[[#This Row],[EFETIVO]]),""),"")</f>
        <v>20.518518518518519</v>
      </c>
    </row>
    <row r="234" spans="1:11" s="6" customFormat="1" x14ac:dyDescent="0.3">
      <c r="A234" s="11">
        <v>46062</v>
      </c>
      <c r="B234" s="12" t="str">
        <f t="shared" si="24"/>
        <v>FEVEREIRO</v>
      </c>
      <c r="C234" s="12" t="s">
        <v>13</v>
      </c>
      <c r="D234" s="12" t="s">
        <v>12</v>
      </c>
      <c r="E234" s="13">
        <v>150</v>
      </c>
      <c r="F234" s="13">
        <v>147</v>
      </c>
      <c r="G234" s="12">
        <v>10</v>
      </c>
      <c r="H234" s="14">
        <v>9</v>
      </c>
      <c r="I234" s="12">
        <f>IFERROR(IF(T_PROD[[#This Row],[PREVISTO]]-T_PROD[[#This Row],[EFETIVO]]&lt; 0,0,T_PROD[[#This Row],[PREVISTO]]-T_PROD[[#This Row],[EFETIVO]] ),"")</f>
        <v>1</v>
      </c>
      <c r="J234" s="15">
        <f>IFERROR(IF(T_PROD[[#This Row],[META]]&gt;0,(T_PROD[[#This Row],[META]]/T_PROD[[#This Row],[PREVISTO]]),""),"")</f>
        <v>15</v>
      </c>
      <c r="K234" s="15">
        <f>IFERROR(IF(T_PROD[[#This Row],[PRODUÇÃO]]&gt;0,(T_PROD[[#This Row],[PRODUÇÃO]]/T_PROD[[#This Row],[EFETIVO]]),""),"")</f>
        <v>16.333333333333332</v>
      </c>
    </row>
    <row r="235" spans="1:11" s="6" customFormat="1" x14ac:dyDescent="0.3">
      <c r="A235" s="11">
        <v>46062</v>
      </c>
      <c r="B235" s="12" t="str">
        <f t="shared" si="24"/>
        <v>FEVEREIRO</v>
      </c>
      <c r="C235" s="12" t="s">
        <v>14</v>
      </c>
      <c r="D235" s="12" t="s">
        <v>12</v>
      </c>
      <c r="E235" s="13">
        <v>750</v>
      </c>
      <c r="F235" s="13">
        <v>701</v>
      </c>
      <c r="G235" s="12">
        <v>89</v>
      </c>
      <c r="H235" s="14">
        <v>80</v>
      </c>
      <c r="I235" s="12">
        <f>IFERROR(IF(T_PROD[[#This Row],[PREVISTO]]-T_PROD[[#This Row],[EFETIVO]]&lt; 0,0,T_PROD[[#This Row],[PREVISTO]]-T_PROD[[#This Row],[EFETIVO]] ),"")</f>
        <v>9</v>
      </c>
      <c r="J235" s="15">
        <v>8.1999999999999993</v>
      </c>
      <c r="K235" s="15">
        <f>IFERROR(IF(T_PROD[[#This Row],[PRODUÇÃO]]&gt;0,(T_PROD[[#This Row],[PRODUÇÃO]]/T_PROD[[#This Row],[EFETIVO]]),""),"")</f>
        <v>8.7624999999999993</v>
      </c>
    </row>
    <row r="236" spans="1:11" s="6" customFormat="1" x14ac:dyDescent="0.3">
      <c r="A236" s="11">
        <v>46063</v>
      </c>
      <c r="B236" s="12" t="str">
        <f>UPPER(TEXT(A236,"MMMM"))</f>
        <v>FEVEREIRO</v>
      </c>
      <c r="C236" s="12" t="s">
        <v>15</v>
      </c>
      <c r="D236" s="12" t="s">
        <v>12</v>
      </c>
      <c r="E236" s="13">
        <v>60</v>
      </c>
      <c r="F236" s="13">
        <v>34</v>
      </c>
      <c r="G236" s="12">
        <v>4</v>
      </c>
      <c r="H236" s="14">
        <v>3</v>
      </c>
      <c r="I236" s="12">
        <f>IFERROR(IF(T_PROD[[#This Row],[PREVISTO]]-T_PROD[[#This Row],[EFETIVO]]&lt; 0,0,T_PROD[[#This Row],[PREVISTO]]-T_PROD[[#This Row],[EFETIVO]] ),"")</f>
        <v>1</v>
      </c>
      <c r="J236" s="15">
        <f>IFERROR(IF(T_PROD[[#This Row],[META]]&gt;0,(T_PROD[[#This Row],[META]]/T_PROD[[#This Row],[PREVISTO]]),""),"")</f>
        <v>15</v>
      </c>
      <c r="K236" s="15">
        <f>IFERROR(IF(T_PROD[[#This Row],[PRODUÇÃO]]&gt;0,(T_PROD[[#This Row],[PRODUÇÃO]]/T_PROD[[#This Row],[EFETIVO]]),""),"")</f>
        <v>11.333333333333334</v>
      </c>
    </row>
    <row r="237" spans="1:11" s="6" customFormat="1" x14ac:dyDescent="0.3">
      <c r="A237" s="11">
        <v>46063</v>
      </c>
      <c r="B237" s="12" t="str">
        <f t="shared" ref="B237:B244" si="25">UPPER(TEXT(A237,"MMMM"))</f>
        <v>FEVEREIRO</v>
      </c>
      <c r="C237" s="12" t="s">
        <v>16</v>
      </c>
      <c r="D237" s="12" t="s">
        <v>12</v>
      </c>
      <c r="E237" s="13">
        <v>204</v>
      </c>
      <c r="F237" s="13">
        <v>168</v>
      </c>
      <c r="G237" s="12">
        <v>6</v>
      </c>
      <c r="H237" s="14">
        <v>7</v>
      </c>
      <c r="I237" s="12">
        <f>IFERROR(IF(T_PROD[[#This Row],[PREVISTO]]-T_PROD[[#This Row],[EFETIVO]]&lt; 0,0,T_PROD[[#This Row],[PREVISTO]]-T_PROD[[#This Row],[EFETIVO]] ),"")</f>
        <v>0</v>
      </c>
      <c r="J237" s="15">
        <f>IFERROR(IF(T_PROD[[#This Row],[META]]&gt;0,(T_PROD[[#This Row],[META]]/T_PROD[[#This Row],[PREVISTO]]),""),"")</f>
        <v>34</v>
      </c>
      <c r="K237" s="15">
        <f>IFERROR(IF(T_PROD[[#This Row],[PRODUÇÃO]]&gt;0,(T_PROD[[#This Row],[PRODUÇÃO]]/T_PROD[[#This Row],[EFETIVO]]),""),"")</f>
        <v>24</v>
      </c>
    </row>
    <row r="238" spans="1:11" s="6" customFormat="1" x14ac:dyDescent="0.3">
      <c r="A238" s="11">
        <v>46063</v>
      </c>
      <c r="B238" s="12" t="str">
        <f t="shared" si="25"/>
        <v>FEVEREIRO</v>
      </c>
      <c r="C238" s="12" t="s">
        <v>17</v>
      </c>
      <c r="D238" s="12" t="s">
        <v>12</v>
      </c>
      <c r="E238" s="13">
        <v>96</v>
      </c>
      <c r="F238" s="13">
        <v>67</v>
      </c>
      <c r="G238" s="12">
        <v>6</v>
      </c>
      <c r="H238" s="14">
        <v>6</v>
      </c>
      <c r="I238" s="12">
        <f>IFERROR(IF(T_PROD[[#This Row],[PREVISTO]]-T_PROD[[#This Row],[EFETIVO]]&lt; 0,0,T_PROD[[#This Row],[PREVISTO]]-T_PROD[[#This Row],[EFETIVO]] ),"")</f>
        <v>0</v>
      </c>
      <c r="J238" s="15">
        <f>IFERROR(IF(T_PROD[[#This Row],[META]]&gt;0,(T_PROD[[#This Row],[META]]/T_PROD[[#This Row],[PREVISTO]]),""),"")</f>
        <v>16</v>
      </c>
      <c r="K238" s="15">
        <f>IFERROR(IF(T_PROD[[#This Row],[PRODUÇÃO]]&gt;0,(T_PROD[[#This Row],[PRODUÇÃO]]/T_PROD[[#This Row],[EFETIVO]]),""),"")</f>
        <v>11.166666666666666</v>
      </c>
    </row>
    <row r="239" spans="1:11" s="6" customFormat="1" x14ac:dyDescent="0.3">
      <c r="A239" s="11">
        <v>46063</v>
      </c>
      <c r="B239" s="12" t="str">
        <f t="shared" si="25"/>
        <v>FEVEREIRO</v>
      </c>
      <c r="C239" s="12" t="s">
        <v>18</v>
      </c>
      <c r="D239" s="12" t="s">
        <v>12</v>
      </c>
      <c r="E239" s="13">
        <v>100</v>
      </c>
      <c r="F239" s="13">
        <v>0</v>
      </c>
      <c r="G239" s="12">
        <v>3</v>
      </c>
      <c r="H239" s="14">
        <v>0</v>
      </c>
      <c r="I239" s="12">
        <f>IFERROR(IF(T_PROD[[#This Row],[PREVISTO]]-T_PROD[[#This Row],[EFETIVO]]&lt; 0,0,T_PROD[[#This Row],[PREVISTO]]-T_PROD[[#This Row],[EFETIVO]] ),"")</f>
        <v>3</v>
      </c>
      <c r="J239" s="15">
        <f>IFERROR(IF(T_PROD[[#This Row],[META]]&gt;0,(T_PROD[[#This Row],[META]]/T_PROD[[#This Row],[PREVISTO]]),""),"")</f>
        <v>33.333333333333336</v>
      </c>
      <c r="K239" s="15" t="str">
        <f>IFERROR(IF(T_PROD[[#This Row],[PRODUÇÃO]]&gt;0,(T_PROD[[#This Row],[PRODUÇÃO]]/T_PROD[[#This Row],[EFETIVO]]),""),"")</f>
        <v/>
      </c>
    </row>
    <row r="240" spans="1:11" s="6" customFormat="1" x14ac:dyDescent="0.3">
      <c r="A240" s="11">
        <v>46063</v>
      </c>
      <c r="B240" s="12" t="str">
        <f t="shared" si="25"/>
        <v>FEVEREIRO</v>
      </c>
      <c r="C240" s="12" t="s">
        <v>19</v>
      </c>
      <c r="D240" s="12" t="s">
        <v>12</v>
      </c>
      <c r="E240" s="13">
        <v>100</v>
      </c>
      <c r="F240" s="13">
        <v>22</v>
      </c>
      <c r="G240" s="12">
        <v>11</v>
      </c>
      <c r="H240" s="14">
        <v>11</v>
      </c>
      <c r="I240" s="12">
        <f>IFERROR(IF(T_PROD[[#This Row],[PREVISTO]]-T_PROD[[#This Row],[EFETIVO]]&lt; 0,0,T_PROD[[#This Row],[PREVISTO]]-T_PROD[[#This Row],[EFETIVO]] ),"")</f>
        <v>0</v>
      </c>
      <c r="J240" s="15">
        <f>IFERROR(IF(T_PROD[[#This Row],[META]]&gt;0,(T_PROD[[#This Row],[META]]/T_PROD[[#This Row],[PREVISTO]]),""),"")</f>
        <v>9.0909090909090917</v>
      </c>
      <c r="K240" s="15">
        <f>IFERROR(IF(T_PROD[[#This Row],[PRODUÇÃO]]&gt;0,(T_PROD[[#This Row],[PRODUÇÃO]]/T_PROD[[#This Row],[EFETIVO]]),""),"")</f>
        <v>2</v>
      </c>
    </row>
    <row r="241" spans="1:11" s="6" customFormat="1" x14ac:dyDescent="0.3">
      <c r="A241" s="11">
        <v>46063</v>
      </c>
      <c r="B241" s="12" t="str">
        <f t="shared" si="25"/>
        <v>FEVEREIRO</v>
      </c>
      <c r="C241" s="12" t="s">
        <v>20</v>
      </c>
      <c r="D241" s="12" t="s">
        <v>12</v>
      </c>
      <c r="E241" s="13">
        <v>486</v>
      </c>
      <c r="F241" s="13">
        <v>291</v>
      </c>
      <c r="G241" s="12">
        <v>90</v>
      </c>
      <c r="H241" s="14">
        <v>90</v>
      </c>
      <c r="I241" s="12">
        <f>IFERROR(IF(T_PROD[[#This Row],[PREVISTO]]-T_PROD[[#This Row],[EFETIVO]]&lt; 0,0,T_PROD[[#This Row],[PREVISTO]]-T_PROD[[#This Row],[EFETIVO]] ),"")</f>
        <v>0</v>
      </c>
      <c r="J241" s="15">
        <f>IFERROR(IF(T_PROD[[#This Row],[META]]&gt;0,(T_PROD[[#This Row],[META]]/T_PROD[[#This Row],[PREVISTO]]),""),"")</f>
        <v>5.4</v>
      </c>
      <c r="K241" s="15">
        <f>IFERROR(IF(T_PROD[[#This Row],[PRODUÇÃO]]&gt;0,(T_PROD[[#This Row],[PRODUÇÃO]]/T_PROD[[#This Row],[EFETIVO]]),""),"")</f>
        <v>3.2333333333333334</v>
      </c>
    </row>
    <row r="242" spans="1:11" s="6" customFormat="1" x14ac:dyDescent="0.3">
      <c r="A242" s="11">
        <v>46063</v>
      </c>
      <c r="B242" s="12" t="str">
        <f t="shared" si="25"/>
        <v>FEVEREIRO</v>
      </c>
      <c r="C242" s="12" t="s">
        <v>11</v>
      </c>
      <c r="D242" s="12" t="s">
        <v>12</v>
      </c>
      <c r="E242" s="13">
        <v>600</v>
      </c>
      <c r="F242" s="13">
        <v>545</v>
      </c>
      <c r="G242" s="12">
        <v>33</v>
      </c>
      <c r="H242" s="14">
        <v>27</v>
      </c>
      <c r="I242" s="12">
        <f>IFERROR(IF(T_PROD[[#This Row],[PREVISTO]]-T_PROD[[#This Row],[EFETIVO]]&lt; 0,0,T_PROD[[#This Row],[PREVISTO]]-T_PROD[[#This Row],[EFETIVO]] ),"")</f>
        <v>6</v>
      </c>
      <c r="J242" s="15">
        <v>18</v>
      </c>
      <c r="K242" s="15">
        <f>IFERROR(IF(T_PROD[[#This Row],[PRODUÇÃO]]&gt;0,(T_PROD[[#This Row],[PRODUÇÃO]]/T_PROD[[#This Row],[EFETIVO]]),""),"")</f>
        <v>20.185185185185187</v>
      </c>
    </row>
    <row r="243" spans="1:11" s="6" customFormat="1" x14ac:dyDescent="0.3">
      <c r="A243" s="11">
        <v>46063</v>
      </c>
      <c r="B243" s="12" t="str">
        <f t="shared" si="25"/>
        <v>FEVEREIRO</v>
      </c>
      <c r="C243" s="12" t="s">
        <v>13</v>
      </c>
      <c r="D243" s="12" t="s">
        <v>12</v>
      </c>
      <c r="E243" s="13">
        <v>150</v>
      </c>
      <c r="F243" s="13">
        <v>130</v>
      </c>
      <c r="G243" s="12">
        <v>10</v>
      </c>
      <c r="H243" s="14">
        <v>8</v>
      </c>
      <c r="I243" s="12">
        <f>IFERROR(IF(T_PROD[[#This Row],[PREVISTO]]-T_PROD[[#This Row],[EFETIVO]]&lt; 0,0,T_PROD[[#This Row],[PREVISTO]]-T_PROD[[#This Row],[EFETIVO]] ),"")</f>
        <v>2</v>
      </c>
      <c r="J243" s="15">
        <f>IFERROR(IF(T_PROD[[#This Row],[META]]&gt;0,(T_PROD[[#This Row],[META]]/T_PROD[[#This Row],[PREVISTO]]),""),"")</f>
        <v>15</v>
      </c>
      <c r="K243" s="15">
        <f>IFERROR(IF(T_PROD[[#This Row],[PRODUÇÃO]]&gt;0,(T_PROD[[#This Row],[PRODUÇÃO]]/T_PROD[[#This Row],[EFETIVO]]),""),"")</f>
        <v>16.25</v>
      </c>
    </row>
    <row r="244" spans="1:11" s="6" customFormat="1" x14ac:dyDescent="0.3">
      <c r="A244" s="11">
        <v>46063</v>
      </c>
      <c r="B244" s="12" t="str">
        <f t="shared" si="25"/>
        <v>FEVEREIRO</v>
      </c>
      <c r="C244" s="12" t="s">
        <v>14</v>
      </c>
      <c r="D244" s="12" t="s">
        <v>12</v>
      </c>
      <c r="E244" s="13">
        <v>750</v>
      </c>
      <c r="F244" s="13">
        <v>675</v>
      </c>
      <c r="G244" s="12">
        <v>89</v>
      </c>
      <c r="H244" s="14">
        <v>83</v>
      </c>
      <c r="I244" s="12">
        <f>IFERROR(IF(T_PROD[[#This Row],[PREVISTO]]-T_PROD[[#This Row],[EFETIVO]]&lt; 0,0,T_PROD[[#This Row],[PREVISTO]]-T_PROD[[#This Row],[EFETIVO]] ),"")</f>
        <v>6</v>
      </c>
      <c r="J244" s="15">
        <v>8.1999999999999993</v>
      </c>
      <c r="K244" s="15">
        <f>IFERROR(IF(T_PROD[[#This Row],[PRODUÇÃO]]&gt;0,(T_PROD[[#This Row],[PRODUÇÃO]]/T_PROD[[#This Row],[EFETIVO]]),""),"")</f>
        <v>8.1325301204819276</v>
      </c>
    </row>
    <row r="245" spans="1:11" s="6" customFormat="1" x14ac:dyDescent="0.3">
      <c r="A245" s="11">
        <v>46064</v>
      </c>
      <c r="B245" s="12" t="str">
        <f>UPPER(TEXT(A245,"MMMM"))</f>
        <v>FEVEREIRO</v>
      </c>
      <c r="C245" s="12" t="s">
        <v>15</v>
      </c>
      <c r="D245" s="12" t="s">
        <v>12</v>
      </c>
      <c r="E245" s="13">
        <v>60</v>
      </c>
      <c r="F245" s="13">
        <v>49</v>
      </c>
      <c r="G245" s="12">
        <v>4</v>
      </c>
      <c r="H245" s="14">
        <v>4</v>
      </c>
      <c r="I245" s="12">
        <f>IFERROR(IF(T_PROD[[#This Row],[PREVISTO]]-T_PROD[[#This Row],[EFETIVO]]&lt; 0,0,T_PROD[[#This Row],[PREVISTO]]-T_PROD[[#This Row],[EFETIVO]] ),"")</f>
        <v>0</v>
      </c>
      <c r="J245" s="15">
        <f>IFERROR(IF(T_PROD[[#This Row],[META]]&gt;0,(T_PROD[[#This Row],[META]]/T_PROD[[#This Row],[PREVISTO]]),""),"")</f>
        <v>15</v>
      </c>
      <c r="K245" s="15">
        <f>IFERROR(IF(T_PROD[[#This Row],[PRODUÇÃO]]&gt;0,(T_PROD[[#This Row],[PRODUÇÃO]]/T_PROD[[#This Row],[EFETIVO]]),""),"")</f>
        <v>12.25</v>
      </c>
    </row>
    <row r="246" spans="1:11" s="6" customFormat="1" x14ac:dyDescent="0.3">
      <c r="A246" s="11">
        <v>46064</v>
      </c>
      <c r="B246" s="12" t="str">
        <f t="shared" ref="B246:B253" si="26">UPPER(TEXT(A246,"MMMM"))</f>
        <v>FEVEREIRO</v>
      </c>
      <c r="C246" s="12" t="s">
        <v>16</v>
      </c>
      <c r="D246" s="12" t="s">
        <v>12</v>
      </c>
      <c r="E246" s="13">
        <v>204</v>
      </c>
      <c r="F246" s="13">
        <v>161</v>
      </c>
      <c r="G246" s="12">
        <v>6</v>
      </c>
      <c r="H246" s="14">
        <v>7</v>
      </c>
      <c r="I246" s="12">
        <f>IFERROR(IF(T_PROD[[#This Row],[PREVISTO]]-T_PROD[[#This Row],[EFETIVO]]&lt; 0,0,T_PROD[[#This Row],[PREVISTO]]-T_PROD[[#This Row],[EFETIVO]] ),"")</f>
        <v>0</v>
      </c>
      <c r="J246" s="15">
        <f>IFERROR(IF(T_PROD[[#This Row],[META]]&gt;0,(T_PROD[[#This Row],[META]]/T_PROD[[#This Row],[PREVISTO]]),""),"")</f>
        <v>34</v>
      </c>
      <c r="K246" s="15">
        <f>IFERROR(IF(T_PROD[[#This Row],[PRODUÇÃO]]&gt;0,(T_PROD[[#This Row],[PRODUÇÃO]]/T_PROD[[#This Row],[EFETIVO]]),""),"")</f>
        <v>23</v>
      </c>
    </row>
    <row r="247" spans="1:11" s="6" customFormat="1" x14ac:dyDescent="0.3">
      <c r="A247" s="11">
        <v>46064</v>
      </c>
      <c r="B247" s="12" t="str">
        <f t="shared" si="26"/>
        <v>FEVEREIRO</v>
      </c>
      <c r="C247" s="12" t="s">
        <v>17</v>
      </c>
      <c r="D247" s="12" t="s">
        <v>12</v>
      </c>
      <c r="E247" s="13">
        <v>96</v>
      </c>
      <c r="F247" s="13">
        <v>59</v>
      </c>
      <c r="G247" s="12">
        <v>6</v>
      </c>
      <c r="H247" s="14">
        <v>6</v>
      </c>
      <c r="I247" s="12">
        <f>IFERROR(IF(T_PROD[[#This Row],[PREVISTO]]-T_PROD[[#This Row],[EFETIVO]]&lt; 0,0,T_PROD[[#This Row],[PREVISTO]]-T_PROD[[#This Row],[EFETIVO]] ),"")</f>
        <v>0</v>
      </c>
      <c r="J247" s="15">
        <f>IFERROR(IF(T_PROD[[#This Row],[META]]&gt;0,(T_PROD[[#This Row],[META]]/T_PROD[[#This Row],[PREVISTO]]),""),"")</f>
        <v>16</v>
      </c>
      <c r="K247" s="15">
        <f>IFERROR(IF(T_PROD[[#This Row],[PRODUÇÃO]]&gt;0,(T_PROD[[#This Row],[PRODUÇÃO]]/T_PROD[[#This Row],[EFETIVO]]),""),"")</f>
        <v>9.8333333333333339</v>
      </c>
    </row>
    <row r="248" spans="1:11" s="6" customFormat="1" x14ac:dyDescent="0.3">
      <c r="A248" s="11">
        <v>46064</v>
      </c>
      <c r="B248" s="12" t="str">
        <f t="shared" si="26"/>
        <v>FEVEREIRO</v>
      </c>
      <c r="C248" s="12" t="s">
        <v>18</v>
      </c>
      <c r="D248" s="12" t="s">
        <v>12</v>
      </c>
      <c r="E248" s="13">
        <v>100</v>
      </c>
      <c r="F248" s="13">
        <v>0</v>
      </c>
      <c r="G248" s="12">
        <v>3</v>
      </c>
      <c r="H248" s="14">
        <v>0</v>
      </c>
      <c r="I248" s="12">
        <f>IFERROR(IF(T_PROD[[#This Row],[PREVISTO]]-T_PROD[[#This Row],[EFETIVO]]&lt; 0,0,T_PROD[[#This Row],[PREVISTO]]-T_PROD[[#This Row],[EFETIVO]] ),"")</f>
        <v>3</v>
      </c>
      <c r="J248" s="15">
        <f>IFERROR(IF(T_PROD[[#This Row],[META]]&gt;0,(T_PROD[[#This Row],[META]]/T_PROD[[#This Row],[PREVISTO]]),""),"")</f>
        <v>33.333333333333336</v>
      </c>
      <c r="K248" s="15" t="str">
        <f>IFERROR(IF(T_PROD[[#This Row],[PRODUÇÃO]]&gt;0,(T_PROD[[#This Row],[PRODUÇÃO]]/T_PROD[[#This Row],[EFETIVO]]),""),"")</f>
        <v/>
      </c>
    </row>
    <row r="249" spans="1:11" s="6" customFormat="1" x14ac:dyDescent="0.3">
      <c r="A249" s="11">
        <v>46064</v>
      </c>
      <c r="B249" s="12" t="str">
        <f t="shared" si="26"/>
        <v>FEVEREIRO</v>
      </c>
      <c r="C249" s="12" t="s">
        <v>19</v>
      </c>
      <c r="D249" s="12" t="s">
        <v>12</v>
      </c>
      <c r="E249" s="13">
        <v>100</v>
      </c>
      <c r="F249" s="13">
        <v>63</v>
      </c>
      <c r="G249" s="12">
        <v>11</v>
      </c>
      <c r="H249" s="14">
        <v>11</v>
      </c>
      <c r="I249" s="12">
        <f>IFERROR(IF(T_PROD[[#This Row],[PREVISTO]]-T_PROD[[#This Row],[EFETIVO]]&lt; 0,0,T_PROD[[#This Row],[PREVISTO]]-T_PROD[[#This Row],[EFETIVO]] ),"")</f>
        <v>0</v>
      </c>
      <c r="J249" s="15">
        <f>IFERROR(IF(T_PROD[[#This Row],[META]]&gt;0,(T_PROD[[#This Row],[META]]/T_PROD[[#This Row],[PREVISTO]]),""),"")</f>
        <v>9.0909090909090917</v>
      </c>
      <c r="K249" s="15">
        <f>IFERROR(IF(T_PROD[[#This Row],[PRODUÇÃO]]&gt;0,(T_PROD[[#This Row],[PRODUÇÃO]]/T_PROD[[#This Row],[EFETIVO]]),""),"")</f>
        <v>5.7272727272727275</v>
      </c>
    </row>
    <row r="250" spans="1:11" s="6" customFormat="1" x14ac:dyDescent="0.3">
      <c r="A250" s="11">
        <v>46064</v>
      </c>
      <c r="B250" s="12" t="str">
        <f t="shared" si="26"/>
        <v>FEVEREIRO</v>
      </c>
      <c r="C250" s="12" t="s">
        <v>20</v>
      </c>
      <c r="D250" s="12" t="s">
        <v>12</v>
      </c>
      <c r="E250" s="13">
        <v>486</v>
      </c>
      <c r="F250" s="13">
        <v>332</v>
      </c>
      <c r="G250" s="12">
        <v>90</v>
      </c>
      <c r="H250" s="14">
        <v>90</v>
      </c>
      <c r="I250" s="12">
        <f>IFERROR(IF(T_PROD[[#This Row],[PREVISTO]]-T_PROD[[#This Row],[EFETIVO]]&lt; 0,0,T_PROD[[#This Row],[PREVISTO]]-T_PROD[[#This Row],[EFETIVO]] ),"")</f>
        <v>0</v>
      </c>
      <c r="J250" s="15">
        <f>IFERROR(IF(T_PROD[[#This Row],[META]]&gt;0,(T_PROD[[#This Row],[META]]/T_PROD[[#This Row],[PREVISTO]]),""),"")</f>
        <v>5.4</v>
      </c>
      <c r="K250" s="15">
        <f>IFERROR(IF(T_PROD[[#This Row],[PRODUÇÃO]]&gt;0,(T_PROD[[#This Row],[PRODUÇÃO]]/T_PROD[[#This Row],[EFETIVO]]),""),"")</f>
        <v>3.6888888888888891</v>
      </c>
    </row>
    <row r="251" spans="1:11" s="6" customFormat="1" x14ac:dyDescent="0.3">
      <c r="A251" s="11">
        <v>46064</v>
      </c>
      <c r="B251" s="12" t="str">
        <f t="shared" si="26"/>
        <v>FEVEREIRO</v>
      </c>
      <c r="C251" s="12" t="s">
        <v>11</v>
      </c>
      <c r="D251" s="12" t="s">
        <v>12</v>
      </c>
      <c r="E251" s="13">
        <v>600</v>
      </c>
      <c r="F251" s="13">
        <v>610</v>
      </c>
      <c r="G251" s="12">
        <v>33</v>
      </c>
      <c r="H251" s="14">
        <v>30</v>
      </c>
      <c r="I251" s="12">
        <f>IFERROR(IF(T_PROD[[#This Row],[PREVISTO]]-T_PROD[[#This Row],[EFETIVO]]&lt; 0,0,T_PROD[[#This Row],[PREVISTO]]-T_PROD[[#This Row],[EFETIVO]] ),"")</f>
        <v>3</v>
      </c>
      <c r="J251" s="15">
        <v>18</v>
      </c>
      <c r="K251" s="15">
        <f>IFERROR(IF(T_PROD[[#This Row],[PRODUÇÃO]]&gt;0,(T_PROD[[#This Row],[PRODUÇÃO]]/T_PROD[[#This Row],[EFETIVO]]),""),"")</f>
        <v>20.333333333333332</v>
      </c>
    </row>
    <row r="252" spans="1:11" s="6" customFormat="1" x14ac:dyDescent="0.3">
      <c r="A252" s="11">
        <v>46064</v>
      </c>
      <c r="B252" s="12" t="str">
        <f t="shared" si="26"/>
        <v>FEVEREIRO</v>
      </c>
      <c r="C252" s="12" t="s">
        <v>13</v>
      </c>
      <c r="D252" s="12" t="s">
        <v>12</v>
      </c>
      <c r="E252" s="13">
        <v>150</v>
      </c>
      <c r="F252" s="13">
        <v>68</v>
      </c>
      <c r="G252" s="12">
        <v>10</v>
      </c>
      <c r="H252" s="14">
        <v>5</v>
      </c>
      <c r="I252" s="12">
        <f>IFERROR(IF(T_PROD[[#This Row],[PREVISTO]]-T_PROD[[#This Row],[EFETIVO]]&lt; 0,0,T_PROD[[#This Row],[PREVISTO]]-T_PROD[[#This Row],[EFETIVO]] ),"")</f>
        <v>5</v>
      </c>
      <c r="J252" s="15">
        <f>IFERROR(IF(T_PROD[[#This Row],[META]]&gt;0,(T_PROD[[#This Row],[META]]/T_PROD[[#This Row],[PREVISTO]]),""),"")</f>
        <v>15</v>
      </c>
      <c r="K252" s="15">
        <f>IFERROR(IF(T_PROD[[#This Row],[PRODUÇÃO]]&gt;0,(T_PROD[[#This Row],[PRODUÇÃO]]/T_PROD[[#This Row],[EFETIVO]]),""),"")</f>
        <v>13.6</v>
      </c>
    </row>
    <row r="253" spans="1:11" s="6" customFormat="1" x14ac:dyDescent="0.3">
      <c r="A253" s="11">
        <v>46064</v>
      </c>
      <c r="B253" s="12" t="str">
        <f t="shared" si="26"/>
        <v>FEVEREIRO</v>
      </c>
      <c r="C253" s="12" t="s">
        <v>14</v>
      </c>
      <c r="D253" s="12" t="s">
        <v>12</v>
      </c>
      <c r="E253" s="13">
        <v>750</v>
      </c>
      <c r="F253" s="13">
        <v>678</v>
      </c>
      <c r="G253" s="12">
        <v>89</v>
      </c>
      <c r="H253" s="14">
        <v>83</v>
      </c>
      <c r="I253" s="12">
        <f>IFERROR(IF(T_PROD[[#This Row],[PREVISTO]]-T_PROD[[#This Row],[EFETIVO]]&lt; 0,0,T_PROD[[#This Row],[PREVISTO]]-T_PROD[[#This Row],[EFETIVO]] ),"")</f>
        <v>6</v>
      </c>
      <c r="J253" s="15">
        <v>8.1999999999999993</v>
      </c>
      <c r="K253" s="15">
        <f>IFERROR(IF(T_PROD[[#This Row],[PRODUÇÃO]]&gt;0,(T_PROD[[#This Row],[PRODUÇÃO]]/T_PROD[[#This Row],[EFETIVO]]),""),"")</f>
        <v>8.168674698795181</v>
      </c>
    </row>
    <row r="254" spans="1:11" s="6" customFormat="1" x14ac:dyDescent="0.3">
      <c r="A254" s="11">
        <v>46065</v>
      </c>
      <c r="B254" s="12" t="str">
        <f>UPPER(TEXT(A254,"MMMM"))</f>
        <v>FEVEREIRO</v>
      </c>
      <c r="C254" s="12" t="s">
        <v>15</v>
      </c>
      <c r="D254" s="12" t="s">
        <v>12</v>
      </c>
      <c r="E254" s="13">
        <v>60</v>
      </c>
      <c r="F254" s="13">
        <v>38</v>
      </c>
      <c r="G254" s="12">
        <v>4</v>
      </c>
      <c r="H254" s="14">
        <v>4</v>
      </c>
      <c r="I254" s="12">
        <f>IFERROR(IF(T_PROD[[#This Row],[PREVISTO]]-T_PROD[[#This Row],[EFETIVO]]&lt; 0,0,T_PROD[[#This Row],[PREVISTO]]-T_PROD[[#This Row],[EFETIVO]] ),"")</f>
        <v>0</v>
      </c>
      <c r="J254" s="15">
        <f>IFERROR(IF(T_PROD[[#This Row],[META]]&gt;0,(T_PROD[[#This Row],[META]]/T_PROD[[#This Row],[PREVISTO]]),""),"")</f>
        <v>15</v>
      </c>
      <c r="K254" s="15">
        <f>IFERROR(IF(T_PROD[[#This Row],[PRODUÇÃO]]&gt;0,(T_PROD[[#This Row],[PRODUÇÃO]]/T_PROD[[#This Row],[EFETIVO]]),""),"")</f>
        <v>9.5</v>
      </c>
    </row>
    <row r="255" spans="1:11" s="6" customFormat="1" x14ac:dyDescent="0.3">
      <c r="A255" s="11">
        <v>46065</v>
      </c>
      <c r="B255" s="12" t="str">
        <f t="shared" ref="B255:B262" si="27">UPPER(TEXT(A255,"MMMM"))</f>
        <v>FEVEREIRO</v>
      </c>
      <c r="C255" s="12" t="s">
        <v>16</v>
      </c>
      <c r="D255" s="12" t="s">
        <v>12</v>
      </c>
      <c r="E255" s="13">
        <v>204</v>
      </c>
      <c r="F255" s="13">
        <v>158</v>
      </c>
      <c r="G255" s="12">
        <v>6</v>
      </c>
      <c r="H255" s="14">
        <v>6</v>
      </c>
      <c r="I255" s="12">
        <f>IFERROR(IF(T_PROD[[#This Row],[PREVISTO]]-T_PROD[[#This Row],[EFETIVO]]&lt; 0,0,T_PROD[[#This Row],[PREVISTO]]-T_PROD[[#This Row],[EFETIVO]] ),"")</f>
        <v>0</v>
      </c>
      <c r="J255" s="15">
        <f>IFERROR(IF(T_PROD[[#This Row],[META]]&gt;0,(T_PROD[[#This Row],[META]]/T_PROD[[#This Row],[PREVISTO]]),""),"")</f>
        <v>34</v>
      </c>
      <c r="K255" s="15">
        <f>IFERROR(IF(T_PROD[[#This Row],[PRODUÇÃO]]&gt;0,(T_PROD[[#This Row],[PRODUÇÃO]]/T_PROD[[#This Row],[EFETIVO]]),""),"")</f>
        <v>26.333333333333332</v>
      </c>
    </row>
    <row r="256" spans="1:11" s="6" customFormat="1" x14ac:dyDescent="0.3">
      <c r="A256" s="11">
        <v>46065</v>
      </c>
      <c r="B256" s="12" t="str">
        <f t="shared" si="27"/>
        <v>FEVEREIRO</v>
      </c>
      <c r="C256" s="12" t="s">
        <v>17</v>
      </c>
      <c r="D256" s="12" t="s">
        <v>12</v>
      </c>
      <c r="E256" s="13">
        <v>128</v>
      </c>
      <c r="F256" s="13">
        <v>124</v>
      </c>
      <c r="G256" s="12">
        <v>8</v>
      </c>
      <c r="H256" s="14">
        <v>8</v>
      </c>
      <c r="I256" s="12">
        <f>IFERROR(IF(T_PROD[[#This Row],[PREVISTO]]-T_PROD[[#This Row],[EFETIVO]]&lt; 0,0,T_PROD[[#This Row],[PREVISTO]]-T_PROD[[#This Row],[EFETIVO]] ),"")</f>
        <v>0</v>
      </c>
      <c r="J256" s="15">
        <f>IFERROR(IF(T_PROD[[#This Row],[META]]&gt;0,(T_PROD[[#This Row],[META]]/T_PROD[[#This Row],[PREVISTO]]),""),"")</f>
        <v>16</v>
      </c>
      <c r="K256" s="15">
        <f>IFERROR(IF(T_PROD[[#This Row],[PRODUÇÃO]]&gt;0,(T_PROD[[#This Row],[PRODUÇÃO]]/T_PROD[[#This Row],[EFETIVO]]),""),"")</f>
        <v>15.5</v>
      </c>
    </row>
    <row r="257" spans="1:11" s="6" customFormat="1" x14ac:dyDescent="0.3">
      <c r="A257" s="11">
        <v>46065</v>
      </c>
      <c r="B257" s="12" t="str">
        <f t="shared" si="27"/>
        <v>FEVEREIRO</v>
      </c>
      <c r="C257" s="12" t="s">
        <v>18</v>
      </c>
      <c r="D257" s="12" t="s">
        <v>12</v>
      </c>
      <c r="E257" s="13">
        <v>100</v>
      </c>
      <c r="F257" s="13">
        <v>0</v>
      </c>
      <c r="G257" s="12">
        <v>3</v>
      </c>
      <c r="H257" s="14">
        <v>0</v>
      </c>
      <c r="I257" s="12">
        <f>IFERROR(IF(T_PROD[[#This Row],[PREVISTO]]-T_PROD[[#This Row],[EFETIVO]]&lt; 0,0,T_PROD[[#This Row],[PREVISTO]]-T_PROD[[#This Row],[EFETIVO]] ),"")</f>
        <v>3</v>
      </c>
      <c r="J257" s="15">
        <f>IFERROR(IF(T_PROD[[#This Row],[META]]&gt;0,(T_PROD[[#This Row],[META]]/T_PROD[[#This Row],[PREVISTO]]),""),"")</f>
        <v>33.333333333333336</v>
      </c>
      <c r="K257" s="15" t="str">
        <f>IFERROR(IF(T_PROD[[#This Row],[PRODUÇÃO]]&gt;0,(T_PROD[[#This Row],[PRODUÇÃO]]/T_PROD[[#This Row],[EFETIVO]]),""),"")</f>
        <v/>
      </c>
    </row>
    <row r="258" spans="1:11" s="6" customFormat="1" x14ac:dyDescent="0.3">
      <c r="A258" s="11">
        <v>46065</v>
      </c>
      <c r="B258" s="12" t="str">
        <f t="shared" si="27"/>
        <v>FEVEREIRO</v>
      </c>
      <c r="C258" s="12" t="s">
        <v>19</v>
      </c>
      <c r="D258" s="12" t="s">
        <v>12</v>
      </c>
      <c r="E258" s="13">
        <v>100</v>
      </c>
      <c r="F258" s="13">
        <v>78</v>
      </c>
      <c r="G258" s="12">
        <v>11</v>
      </c>
      <c r="H258" s="14">
        <v>11</v>
      </c>
      <c r="I258" s="12">
        <f>IFERROR(IF(T_PROD[[#This Row],[PREVISTO]]-T_PROD[[#This Row],[EFETIVO]]&lt; 0,0,T_PROD[[#This Row],[PREVISTO]]-T_PROD[[#This Row],[EFETIVO]] ),"")</f>
        <v>0</v>
      </c>
      <c r="J258" s="15">
        <f>IFERROR(IF(T_PROD[[#This Row],[META]]&gt;0,(T_PROD[[#This Row],[META]]/T_PROD[[#This Row],[PREVISTO]]),""),"")</f>
        <v>9.0909090909090917</v>
      </c>
      <c r="K258" s="15">
        <f>IFERROR(IF(T_PROD[[#This Row],[PRODUÇÃO]]&gt;0,(T_PROD[[#This Row],[PRODUÇÃO]]/T_PROD[[#This Row],[EFETIVO]]),""),"")</f>
        <v>7.0909090909090908</v>
      </c>
    </row>
    <row r="259" spans="1:11" s="6" customFormat="1" x14ac:dyDescent="0.3">
      <c r="A259" s="11">
        <v>46065</v>
      </c>
      <c r="B259" s="12" t="str">
        <f t="shared" si="27"/>
        <v>FEVEREIRO</v>
      </c>
      <c r="C259" s="12" t="s">
        <v>20</v>
      </c>
      <c r="D259" s="12" t="s">
        <v>12</v>
      </c>
      <c r="E259" s="13">
        <v>486</v>
      </c>
      <c r="F259" s="13">
        <v>398</v>
      </c>
      <c r="G259" s="12">
        <v>90</v>
      </c>
      <c r="H259" s="14">
        <v>90</v>
      </c>
      <c r="I259" s="12">
        <f>IFERROR(IF(T_PROD[[#This Row],[PREVISTO]]-T_PROD[[#This Row],[EFETIVO]]&lt; 0,0,T_PROD[[#This Row],[PREVISTO]]-T_PROD[[#This Row],[EFETIVO]] ),"")</f>
        <v>0</v>
      </c>
      <c r="J259" s="15">
        <f>IFERROR(IF(T_PROD[[#This Row],[META]]&gt;0,(T_PROD[[#This Row],[META]]/T_PROD[[#This Row],[PREVISTO]]),""),"")</f>
        <v>5.4</v>
      </c>
      <c r="K259" s="15">
        <f>IFERROR(IF(T_PROD[[#This Row],[PRODUÇÃO]]&gt;0,(T_PROD[[#This Row],[PRODUÇÃO]]/T_PROD[[#This Row],[EFETIVO]]),""),"")</f>
        <v>4.4222222222222225</v>
      </c>
    </row>
    <row r="260" spans="1:11" s="6" customFormat="1" x14ac:dyDescent="0.3">
      <c r="A260" s="11">
        <v>46065</v>
      </c>
      <c r="B260" s="12" t="str">
        <f t="shared" si="27"/>
        <v>FEVEREIRO</v>
      </c>
      <c r="C260" s="12" t="s">
        <v>11</v>
      </c>
      <c r="D260" s="12" t="s">
        <v>12</v>
      </c>
      <c r="E260" s="13">
        <v>600</v>
      </c>
      <c r="F260" s="13">
        <v>584</v>
      </c>
      <c r="G260" s="12">
        <v>33</v>
      </c>
      <c r="H260" s="14">
        <v>30</v>
      </c>
      <c r="I260" s="12">
        <f>IFERROR(IF(T_PROD[[#This Row],[PREVISTO]]-T_PROD[[#This Row],[EFETIVO]]&lt; 0,0,T_PROD[[#This Row],[PREVISTO]]-T_PROD[[#This Row],[EFETIVO]] ),"")</f>
        <v>3</v>
      </c>
      <c r="J260" s="15">
        <v>18</v>
      </c>
      <c r="K260" s="15">
        <f>IFERROR(IF(T_PROD[[#This Row],[PRODUÇÃO]]&gt;0,(T_PROD[[#This Row],[PRODUÇÃO]]/T_PROD[[#This Row],[EFETIVO]]),""),"")</f>
        <v>19.466666666666665</v>
      </c>
    </row>
    <row r="261" spans="1:11" s="6" customFormat="1" x14ac:dyDescent="0.3">
      <c r="A261" s="11">
        <v>46065</v>
      </c>
      <c r="B261" s="12" t="str">
        <f t="shared" si="27"/>
        <v>FEVEREIRO</v>
      </c>
      <c r="C261" s="12" t="s">
        <v>13</v>
      </c>
      <c r="D261" s="12" t="s">
        <v>12</v>
      </c>
      <c r="E261" s="13">
        <v>150</v>
      </c>
      <c r="F261" s="13">
        <v>0</v>
      </c>
      <c r="G261" s="12">
        <v>0</v>
      </c>
      <c r="H261" s="14">
        <v>0</v>
      </c>
      <c r="I261" s="12">
        <f>IFERROR(IF(T_PROD[[#This Row],[PREVISTO]]-T_PROD[[#This Row],[EFETIVO]]&lt; 0,0,T_PROD[[#This Row],[PREVISTO]]-T_PROD[[#This Row],[EFETIVO]] ),"")</f>
        <v>0</v>
      </c>
      <c r="J261" s="15" t="str">
        <f>IFERROR(IF(T_PROD[[#This Row],[META]]&gt;0,(T_PROD[[#This Row],[META]]/T_PROD[[#This Row],[PREVISTO]]),""),"")</f>
        <v/>
      </c>
      <c r="K261" s="15" t="str">
        <f>IFERROR(IF(T_PROD[[#This Row],[PRODUÇÃO]]&gt;0,(T_PROD[[#This Row],[PRODUÇÃO]]/T_PROD[[#This Row],[EFETIVO]]),""),"")</f>
        <v/>
      </c>
    </row>
    <row r="262" spans="1:11" s="6" customFormat="1" x14ac:dyDescent="0.3">
      <c r="A262" s="11">
        <v>46065</v>
      </c>
      <c r="B262" s="12" t="str">
        <f t="shared" si="27"/>
        <v>FEVEREIRO</v>
      </c>
      <c r="C262" s="12" t="s">
        <v>14</v>
      </c>
      <c r="D262" s="12" t="s">
        <v>12</v>
      </c>
      <c r="E262" s="13">
        <v>750</v>
      </c>
      <c r="F262" s="13">
        <v>584</v>
      </c>
      <c r="G262" s="12">
        <v>89</v>
      </c>
      <c r="H262" s="14">
        <v>80</v>
      </c>
      <c r="I262" s="12">
        <f>IFERROR(IF(T_PROD[[#This Row],[PREVISTO]]-T_PROD[[#This Row],[EFETIVO]]&lt; 0,0,T_PROD[[#This Row],[PREVISTO]]-T_PROD[[#This Row],[EFETIVO]] ),"")</f>
        <v>9</v>
      </c>
      <c r="J262" s="15">
        <v>8.1999999999999993</v>
      </c>
      <c r="K262" s="15">
        <f>IFERROR(IF(T_PROD[[#This Row],[PRODUÇÃO]]&gt;0,(T_PROD[[#This Row],[PRODUÇÃO]]/T_PROD[[#This Row],[EFETIVO]]),""),"")</f>
        <v>7.3</v>
      </c>
    </row>
    <row r="263" spans="1:11" s="6" customFormat="1" x14ac:dyDescent="0.3">
      <c r="A263" s="11">
        <v>46066</v>
      </c>
      <c r="B263" s="12" t="str">
        <f>UPPER(TEXT(A263,"MMMM"))</f>
        <v>FEVEREIRO</v>
      </c>
      <c r="C263" s="12" t="s">
        <v>15</v>
      </c>
      <c r="D263" s="12" t="s">
        <v>12</v>
      </c>
      <c r="E263" s="13">
        <v>60</v>
      </c>
      <c r="F263" s="13">
        <v>50</v>
      </c>
      <c r="G263" s="12">
        <v>4</v>
      </c>
      <c r="H263" s="14">
        <v>4</v>
      </c>
      <c r="I263" s="12">
        <f>IFERROR(IF(T_PROD[[#This Row],[PREVISTO]]-T_PROD[[#This Row],[EFETIVO]]&lt; 0,0,T_PROD[[#This Row],[PREVISTO]]-T_PROD[[#This Row],[EFETIVO]] ),"")</f>
        <v>0</v>
      </c>
      <c r="J263" s="15">
        <f>IFERROR(IF(T_PROD[[#This Row],[META]]&gt;0,(T_PROD[[#This Row],[META]]/T_PROD[[#This Row],[PREVISTO]]),""),"")</f>
        <v>15</v>
      </c>
      <c r="K263" s="15">
        <f>IFERROR(IF(T_PROD[[#This Row],[PRODUÇÃO]]&gt;0,(T_PROD[[#This Row],[PRODUÇÃO]]/T_PROD[[#This Row],[EFETIVO]]),""),"")</f>
        <v>12.5</v>
      </c>
    </row>
    <row r="264" spans="1:11" s="6" customFormat="1" x14ac:dyDescent="0.3">
      <c r="A264" s="11">
        <v>46066</v>
      </c>
      <c r="B264" s="12" t="str">
        <f t="shared" ref="B264:B271" si="28">UPPER(TEXT(A264,"MMMM"))</f>
        <v>FEVEREIRO</v>
      </c>
      <c r="C264" s="12" t="s">
        <v>16</v>
      </c>
      <c r="D264" s="12" t="s">
        <v>12</v>
      </c>
      <c r="E264" s="13">
        <v>204</v>
      </c>
      <c r="F264" s="13">
        <v>164</v>
      </c>
      <c r="G264" s="12">
        <v>6</v>
      </c>
      <c r="H264" s="14">
        <v>6</v>
      </c>
      <c r="I264" s="12">
        <f>IFERROR(IF(T_PROD[[#This Row],[PREVISTO]]-T_PROD[[#This Row],[EFETIVO]]&lt; 0,0,T_PROD[[#This Row],[PREVISTO]]-T_PROD[[#This Row],[EFETIVO]] ),"")</f>
        <v>0</v>
      </c>
      <c r="J264" s="15">
        <f>IFERROR(IF(T_PROD[[#This Row],[META]]&gt;0,(T_PROD[[#This Row],[META]]/T_PROD[[#This Row],[PREVISTO]]),""),"")</f>
        <v>34</v>
      </c>
      <c r="K264" s="15">
        <f>IFERROR(IF(T_PROD[[#This Row],[PRODUÇÃO]]&gt;0,(T_PROD[[#This Row],[PRODUÇÃO]]/T_PROD[[#This Row],[EFETIVO]]),""),"")</f>
        <v>27.333333333333332</v>
      </c>
    </row>
    <row r="265" spans="1:11" s="6" customFormat="1" x14ac:dyDescent="0.3">
      <c r="A265" s="11">
        <v>46066</v>
      </c>
      <c r="B265" s="12" t="str">
        <f t="shared" si="28"/>
        <v>FEVEREIRO</v>
      </c>
      <c r="C265" s="12" t="s">
        <v>17</v>
      </c>
      <c r="D265" s="12" t="s">
        <v>12</v>
      </c>
      <c r="E265" s="13">
        <v>128</v>
      </c>
      <c r="F265" s="13">
        <v>90</v>
      </c>
      <c r="G265" s="12">
        <v>8</v>
      </c>
      <c r="H265" s="14">
        <v>8</v>
      </c>
      <c r="I265" s="12">
        <f>IFERROR(IF(T_PROD[[#This Row],[PREVISTO]]-T_PROD[[#This Row],[EFETIVO]]&lt; 0,0,T_PROD[[#This Row],[PREVISTO]]-T_PROD[[#This Row],[EFETIVO]] ),"")</f>
        <v>0</v>
      </c>
      <c r="J265" s="15">
        <f>IFERROR(IF(T_PROD[[#This Row],[META]]&gt;0,(T_PROD[[#This Row],[META]]/T_PROD[[#This Row],[PREVISTO]]),""),"")</f>
        <v>16</v>
      </c>
      <c r="K265" s="15">
        <f>IFERROR(IF(T_PROD[[#This Row],[PRODUÇÃO]]&gt;0,(T_PROD[[#This Row],[PRODUÇÃO]]/T_PROD[[#This Row],[EFETIVO]]),""),"")</f>
        <v>11.25</v>
      </c>
    </row>
    <row r="266" spans="1:11" s="6" customFormat="1" x14ac:dyDescent="0.3">
      <c r="A266" s="11">
        <v>46066</v>
      </c>
      <c r="B266" s="12" t="str">
        <f t="shared" si="28"/>
        <v>FEVEREIRO</v>
      </c>
      <c r="C266" s="12" t="s">
        <v>18</v>
      </c>
      <c r="D266" s="12" t="s">
        <v>12</v>
      </c>
      <c r="E266" s="13">
        <v>100</v>
      </c>
      <c r="F266" s="13">
        <v>0</v>
      </c>
      <c r="G266" s="12">
        <v>3</v>
      </c>
      <c r="H266" s="14">
        <v>3</v>
      </c>
      <c r="I266" s="12">
        <f>IFERROR(IF(T_PROD[[#This Row],[PREVISTO]]-T_PROD[[#This Row],[EFETIVO]]&lt; 0,0,T_PROD[[#This Row],[PREVISTO]]-T_PROD[[#This Row],[EFETIVO]] ),"")</f>
        <v>0</v>
      </c>
      <c r="J266" s="15">
        <f>IFERROR(IF(T_PROD[[#This Row],[META]]&gt;0,(T_PROD[[#This Row],[META]]/T_PROD[[#This Row],[PREVISTO]]),""),"")</f>
        <v>33.333333333333336</v>
      </c>
      <c r="K266" s="15" t="str">
        <f>IFERROR(IF(T_PROD[[#This Row],[PRODUÇÃO]]&gt;0,(T_PROD[[#This Row],[PRODUÇÃO]]/T_PROD[[#This Row],[EFETIVO]]),""),"")</f>
        <v/>
      </c>
    </row>
    <row r="267" spans="1:11" s="6" customFormat="1" x14ac:dyDescent="0.3">
      <c r="A267" s="11">
        <v>46066</v>
      </c>
      <c r="B267" s="12" t="str">
        <f t="shared" si="28"/>
        <v>FEVEREIRO</v>
      </c>
      <c r="C267" s="12" t="s">
        <v>19</v>
      </c>
      <c r="D267" s="12" t="s">
        <v>12</v>
      </c>
      <c r="E267" s="13">
        <v>100</v>
      </c>
      <c r="F267" s="13">
        <v>34</v>
      </c>
      <c r="G267" s="12">
        <v>11</v>
      </c>
      <c r="H267" s="14">
        <v>11</v>
      </c>
      <c r="I267" s="12">
        <f>IFERROR(IF(T_PROD[[#This Row],[PREVISTO]]-T_PROD[[#This Row],[EFETIVO]]&lt; 0,0,T_PROD[[#This Row],[PREVISTO]]-T_PROD[[#This Row],[EFETIVO]] ),"")</f>
        <v>0</v>
      </c>
      <c r="J267" s="15">
        <f>IFERROR(IF(T_PROD[[#This Row],[META]]&gt;0,(T_PROD[[#This Row],[META]]/T_PROD[[#This Row],[PREVISTO]]),""),"")</f>
        <v>9.0909090909090917</v>
      </c>
      <c r="K267" s="15">
        <f>IFERROR(IF(T_PROD[[#This Row],[PRODUÇÃO]]&gt;0,(T_PROD[[#This Row],[PRODUÇÃO]]/T_PROD[[#This Row],[EFETIVO]]),""),"")</f>
        <v>3.0909090909090908</v>
      </c>
    </row>
    <row r="268" spans="1:11" s="6" customFormat="1" x14ac:dyDescent="0.3">
      <c r="A268" s="11">
        <v>46066</v>
      </c>
      <c r="B268" s="12" t="str">
        <f t="shared" si="28"/>
        <v>FEVEREIRO</v>
      </c>
      <c r="C268" s="12" t="s">
        <v>20</v>
      </c>
      <c r="D268" s="12" t="s">
        <v>12</v>
      </c>
      <c r="E268" s="13">
        <v>486</v>
      </c>
      <c r="F268" s="13">
        <v>338</v>
      </c>
      <c r="G268" s="12">
        <v>90</v>
      </c>
      <c r="H268" s="14">
        <v>90</v>
      </c>
      <c r="I268" s="12">
        <f>IFERROR(IF(T_PROD[[#This Row],[PREVISTO]]-T_PROD[[#This Row],[EFETIVO]]&lt; 0,0,T_PROD[[#This Row],[PREVISTO]]-T_PROD[[#This Row],[EFETIVO]] ),"")</f>
        <v>0</v>
      </c>
      <c r="J268" s="15">
        <f>IFERROR(IF(T_PROD[[#This Row],[META]]&gt;0,(T_PROD[[#This Row],[META]]/T_PROD[[#This Row],[PREVISTO]]),""),"")</f>
        <v>5.4</v>
      </c>
      <c r="K268" s="15">
        <f>IFERROR(IF(T_PROD[[#This Row],[PRODUÇÃO]]&gt;0,(T_PROD[[#This Row],[PRODUÇÃO]]/T_PROD[[#This Row],[EFETIVO]]),""),"")</f>
        <v>3.7555555555555555</v>
      </c>
    </row>
    <row r="269" spans="1:11" s="6" customFormat="1" x14ac:dyDescent="0.3">
      <c r="A269" s="11">
        <v>46066</v>
      </c>
      <c r="B269" s="12" t="str">
        <f t="shared" si="28"/>
        <v>FEVEREIRO</v>
      </c>
      <c r="C269" s="12" t="s">
        <v>11</v>
      </c>
      <c r="D269" s="12" t="s">
        <v>12</v>
      </c>
      <c r="E269" s="13">
        <v>460</v>
      </c>
      <c r="F269" s="13">
        <v>460</v>
      </c>
      <c r="G269" s="12">
        <v>33</v>
      </c>
      <c r="H269" s="14">
        <v>29</v>
      </c>
      <c r="I269" s="12">
        <f>IFERROR(IF(T_PROD[[#This Row],[PREVISTO]]-T_PROD[[#This Row],[EFETIVO]]&lt; 0,0,T_PROD[[#This Row],[PREVISTO]]-T_PROD[[#This Row],[EFETIVO]] ),"")</f>
        <v>4</v>
      </c>
      <c r="J269" s="15">
        <v>18</v>
      </c>
      <c r="K269" s="15">
        <f>IFERROR(IF(T_PROD[[#This Row],[PRODUÇÃO]]&gt;0,(T_PROD[[#This Row],[PRODUÇÃO]]/T_PROD[[#This Row],[EFETIVO]]),""),"")</f>
        <v>15.862068965517242</v>
      </c>
    </row>
    <row r="270" spans="1:11" s="6" customFormat="1" x14ac:dyDescent="0.3">
      <c r="A270" s="11">
        <v>46066</v>
      </c>
      <c r="B270" s="12" t="str">
        <f t="shared" si="28"/>
        <v>FEVEREIRO</v>
      </c>
      <c r="C270" s="12" t="s">
        <v>13</v>
      </c>
      <c r="D270" s="12" t="s">
        <v>12</v>
      </c>
      <c r="E270" s="13">
        <v>0</v>
      </c>
      <c r="F270" s="13">
        <v>0</v>
      </c>
      <c r="G270" s="12">
        <v>0</v>
      </c>
      <c r="H270" s="14">
        <v>0</v>
      </c>
      <c r="I270" s="12">
        <f>IFERROR(IF(T_PROD[[#This Row],[PREVISTO]]-T_PROD[[#This Row],[EFETIVO]]&lt; 0,0,T_PROD[[#This Row],[PREVISTO]]-T_PROD[[#This Row],[EFETIVO]] ),"")</f>
        <v>0</v>
      </c>
      <c r="J270" s="15" t="str">
        <f>IFERROR(IF(T_PROD[[#This Row],[META]]&gt;0,(T_PROD[[#This Row],[META]]/T_PROD[[#This Row],[PREVISTO]]),""),"")</f>
        <v/>
      </c>
      <c r="K270" s="15" t="str">
        <f>IFERROR(IF(T_PROD[[#This Row],[PRODUÇÃO]]&gt;0,(T_PROD[[#This Row],[PRODUÇÃO]]/T_PROD[[#This Row],[EFETIVO]]),""),"")</f>
        <v/>
      </c>
    </row>
    <row r="271" spans="1:11" s="6" customFormat="1" x14ac:dyDescent="0.3">
      <c r="A271" s="11">
        <v>46066</v>
      </c>
      <c r="B271" s="12" t="str">
        <f t="shared" si="28"/>
        <v>FEVEREIRO</v>
      </c>
      <c r="C271" s="12" t="s">
        <v>14</v>
      </c>
      <c r="D271" s="12" t="s">
        <v>12</v>
      </c>
      <c r="E271" s="13">
        <v>460</v>
      </c>
      <c r="F271" s="13">
        <v>460</v>
      </c>
      <c r="G271" s="12">
        <v>89</v>
      </c>
      <c r="H271" s="14">
        <v>82</v>
      </c>
      <c r="I271" s="12">
        <f>IFERROR(IF(T_PROD[[#This Row],[PREVISTO]]-T_PROD[[#This Row],[EFETIVO]]&lt; 0,0,T_PROD[[#This Row],[PREVISTO]]-T_PROD[[#This Row],[EFETIVO]] ),"")</f>
        <v>7</v>
      </c>
      <c r="J271" s="15">
        <v>8.1999999999999993</v>
      </c>
      <c r="K271" s="15">
        <f>IFERROR(IF(T_PROD[[#This Row],[PRODUÇÃO]]&gt;0,(T_PROD[[#This Row],[PRODUÇÃO]]/T_PROD[[#This Row],[EFETIVO]]),""),"")</f>
        <v>5.6097560975609753</v>
      </c>
    </row>
    <row r="272" spans="1:11" s="6" customFormat="1" x14ac:dyDescent="0.3">
      <c r="A272" s="11">
        <v>46069</v>
      </c>
      <c r="B272" s="12" t="str">
        <f>UPPER(TEXT(A272,"MMMM"))</f>
        <v>FEVEREIRO</v>
      </c>
      <c r="C272" s="12" t="s">
        <v>15</v>
      </c>
      <c r="D272" s="12" t="s">
        <v>12</v>
      </c>
      <c r="E272" s="13">
        <v>60</v>
      </c>
      <c r="F272" s="13">
        <v>53</v>
      </c>
      <c r="G272" s="12">
        <v>4</v>
      </c>
      <c r="H272" s="12">
        <v>4</v>
      </c>
      <c r="I272" s="12">
        <f>IFERROR(IF(T_PROD[[#This Row],[PREVISTO]]-T_PROD[[#This Row],[EFETIVO]]&lt; 0,0,T_PROD[[#This Row],[PREVISTO]]-T_PROD[[#This Row],[EFETIVO]] ),"")</f>
        <v>0</v>
      </c>
      <c r="J272" s="15">
        <f>IFERROR(IF(T_PROD[[#This Row],[META]]&gt;0,(T_PROD[[#This Row],[META]]/T_PROD[[#This Row],[PREVISTO]]),""),"")</f>
        <v>15</v>
      </c>
      <c r="K272" s="15">
        <f>IFERROR(IF(T_PROD[[#This Row],[PRODUÇÃO]]&gt;0,(T_PROD[[#This Row],[PRODUÇÃO]]/T_PROD[[#This Row],[EFETIVO]]),""),"")</f>
        <v>13.25</v>
      </c>
    </row>
    <row r="273" spans="1:11" s="6" customFormat="1" x14ac:dyDescent="0.3">
      <c r="A273" s="11">
        <v>46069</v>
      </c>
      <c r="B273" s="12" t="str">
        <f t="shared" ref="B273:B280" si="29">UPPER(TEXT(A273,"MMMM"))</f>
        <v>FEVEREIRO</v>
      </c>
      <c r="C273" s="12" t="s">
        <v>16</v>
      </c>
      <c r="D273" s="12" t="s">
        <v>12</v>
      </c>
      <c r="E273" s="13">
        <v>204</v>
      </c>
      <c r="F273" s="13">
        <v>146</v>
      </c>
      <c r="G273" s="12">
        <v>6</v>
      </c>
      <c r="H273" s="12">
        <v>7</v>
      </c>
      <c r="I273" s="12">
        <f>IFERROR(IF(T_PROD[[#This Row],[PREVISTO]]-T_PROD[[#This Row],[EFETIVO]]&lt; 0,0,T_PROD[[#This Row],[PREVISTO]]-T_PROD[[#This Row],[EFETIVO]] ),"")</f>
        <v>0</v>
      </c>
      <c r="J273" s="15">
        <f>IFERROR(IF(T_PROD[[#This Row],[META]]&gt;0,(T_PROD[[#This Row],[META]]/T_PROD[[#This Row],[PREVISTO]]),""),"")</f>
        <v>34</v>
      </c>
      <c r="K273" s="15">
        <f>IFERROR(IF(T_PROD[[#This Row],[PRODUÇÃO]]&gt;0,(T_PROD[[#This Row],[PRODUÇÃO]]/T_PROD[[#This Row],[EFETIVO]]),""),"")</f>
        <v>20.857142857142858</v>
      </c>
    </row>
    <row r="274" spans="1:11" s="6" customFormat="1" x14ac:dyDescent="0.3">
      <c r="A274" s="11">
        <v>46069</v>
      </c>
      <c r="B274" s="12" t="str">
        <f t="shared" si="29"/>
        <v>FEVEREIRO</v>
      </c>
      <c r="C274" s="12" t="s">
        <v>17</v>
      </c>
      <c r="D274" s="12" t="s">
        <v>12</v>
      </c>
      <c r="E274" s="13">
        <v>128</v>
      </c>
      <c r="F274" s="13">
        <v>100</v>
      </c>
      <c r="G274" s="12">
        <v>8</v>
      </c>
      <c r="H274" s="12">
        <v>8</v>
      </c>
      <c r="I274" s="12">
        <f>IFERROR(IF(T_PROD[[#This Row],[PREVISTO]]-T_PROD[[#This Row],[EFETIVO]]&lt; 0,0,T_PROD[[#This Row],[PREVISTO]]-T_PROD[[#This Row],[EFETIVO]] ),"")</f>
        <v>0</v>
      </c>
      <c r="J274" s="15">
        <f>IFERROR(IF(T_PROD[[#This Row],[META]]&gt;0,(T_PROD[[#This Row],[META]]/T_PROD[[#This Row],[PREVISTO]]),""),"")</f>
        <v>16</v>
      </c>
      <c r="K274" s="15">
        <f>IFERROR(IF(T_PROD[[#This Row],[PRODUÇÃO]]&gt;0,(T_PROD[[#This Row],[PRODUÇÃO]]/T_PROD[[#This Row],[EFETIVO]]),""),"")</f>
        <v>12.5</v>
      </c>
    </row>
    <row r="275" spans="1:11" s="6" customFormat="1" x14ac:dyDescent="0.3">
      <c r="A275" s="11">
        <v>46069</v>
      </c>
      <c r="B275" s="12" t="str">
        <f t="shared" si="29"/>
        <v>FEVEREIRO</v>
      </c>
      <c r="C275" s="12" t="s">
        <v>18</v>
      </c>
      <c r="D275" s="12" t="s">
        <v>12</v>
      </c>
      <c r="E275" s="13">
        <v>100</v>
      </c>
      <c r="F275" s="13">
        <v>0</v>
      </c>
      <c r="G275" s="12">
        <v>3</v>
      </c>
      <c r="H275" s="12">
        <v>3</v>
      </c>
      <c r="I275" s="12">
        <f>IFERROR(IF(T_PROD[[#This Row],[PREVISTO]]-T_PROD[[#This Row],[EFETIVO]]&lt; 0,0,T_PROD[[#This Row],[PREVISTO]]-T_PROD[[#This Row],[EFETIVO]] ),"")</f>
        <v>0</v>
      </c>
      <c r="J275" s="15">
        <f>IFERROR(IF(T_PROD[[#This Row],[META]]&gt;0,(T_PROD[[#This Row],[META]]/T_PROD[[#This Row],[PREVISTO]]),""),"")</f>
        <v>33.333333333333336</v>
      </c>
      <c r="K275" s="15" t="str">
        <f>IFERROR(IF(T_PROD[[#This Row],[PRODUÇÃO]]&gt;0,(T_PROD[[#This Row],[PRODUÇÃO]]/T_PROD[[#This Row],[EFETIVO]]),""),"")</f>
        <v/>
      </c>
    </row>
    <row r="276" spans="1:11" s="6" customFormat="1" x14ac:dyDescent="0.3">
      <c r="A276" s="11">
        <v>46069</v>
      </c>
      <c r="B276" s="12" t="str">
        <f t="shared" si="29"/>
        <v>FEVEREIRO</v>
      </c>
      <c r="C276" s="12" t="s">
        <v>19</v>
      </c>
      <c r="D276" s="12" t="s">
        <v>12</v>
      </c>
      <c r="E276" s="13">
        <v>100</v>
      </c>
      <c r="F276" s="13">
        <v>81</v>
      </c>
      <c r="G276" s="12">
        <v>11</v>
      </c>
      <c r="H276" s="12">
        <v>15</v>
      </c>
      <c r="I276" s="12">
        <f>IFERROR(IF(T_PROD[[#This Row],[PREVISTO]]-T_PROD[[#This Row],[EFETIVO]]&lt; 0,0,T_PROD[[#This Row],[PREVISTO]]-T_PROD[[#This Row],[EFETIVO]] ),"")</f>
        <v>0</v>
      </c>
      <c r="J276" s="15">
        <f>IFERROR(IF(T_PROD[[#This Row],[META]]&gt;0,(T_PROD[[#This Row],[META]]/T_PROD[[#This Row],[PREVISTO]]),""),"")</f>
        <v>9.0909090909090917</v>
      </c>
      <c r="K276" s="15">
        <f>IFERROR(IF(T_PROD[[#This Row],[PRODUÇÃO]]&gt;0,(T_PROD[[#This Row],[PRODUÇÃO]]/T_PROD[[#This Row],[EFETIVO]]),""),"")</f>
        <v>5.4</v>
      </c>
    </row>
    <row r="277" spans="1:11" s="6" customFormat="1" x14ac:dyDescent="0.3">
      <c r="A277" s="11">
        <v>46069</v>
      </c>
      <c r="B277" s="12" t="str">
        <f t="shared" si="29"/>
        <v>FEVEREIRO</v>
      </c>
      <c r="C277" s="12" t="s">
        <v>20</v>
      </c>
      <c r="D277" s="12" t="s">
        <v>12</v>
      </c>
      <c r="E277" s="13">
        <v>486</v>
      </c>
      <c r="F277" s="13">
        <v>380</v>
      </c>
      <c r="G277" s="12">
        <v>90</v>
      </c>
      <c r="H277" s="12">
        <v>90</v>
      </c>
      <c r="I277" s="12">
        <f>IFERROR(IF(T_PROD[[#This Row],[PREVISTO]]-T_PROD[[#This Row],[EFETIVO]]&lt; 0,0,T_PROD[[#This Row],[PREVISTO]]-T_PROD[[#This Row],[EFETIVO]] ),"")</f>
        <v>0</v>
      </c>
      <c r="J277" s="15">
        <f>IFERROR(IF(T_PROD[[#This Row],[META]]&gt;0,(T_PROD[[#This Row],[META]]/T_PROD[[#This Row],[PREVISTO]]),""),"")</f>
        <v>5.4</v>
      </c>
      <c r="K277" s="15">
        <f>IFERROR(IF(T_PROD[[#This Row],[PRODUÇÃO]]&gt;0,(T_PROD[[#This Row],[PRODUÇÃO]]/T_PROD[[#This Row],[EFETIVO]]),""),"")</f>
        <v>4.2222222222222223</v>
      </c>
    </row>
    <row r="278" spans="1:11" s="6" customFormat="1" x14ac:dyDescent="0.3">
      <c r="A278" s="11">
        <v>46069</v>
      </c>
      <c r="B278" s="12" t="str">
        <f t="shared" si="29"/>
        <v>FEVEREIRO</v>
      </c>
      <c r="C278" s="12" t="s">
        <v>11</v>
      </c>
      <c r="D278" s="12" t="s">
        <v>12</v>
      </c>
      <c r="E278" s="13">
        <v>600</v>
      </c>
      <c r="F278" s="13">
        <v>390</v>
      </c>
      <c r="G278" s="12">
        <v>33</v>
      </c>
      <c r="H278" s="12">
        <v>33</v>
      </c>
      <c r="I278" s="12">
        <f>IFERROR(IF(T_PROD[[#This Row],[PREVISTO]]-T_PROD[[#This Row],[EFETIVO]]&lt; 0,0,T_PROD[[#This Row],[PREVISTO]]-T_PROD[[#This Row],[EFETIVO]] ),"")</f>
        <v>0</v>
      </c>
      <c r="J278" s="15">
        <v>18</v>
      </c>
      <c r="K278" s="15">
        <f>IFERROR(IF(T_PROD[[#This Row],[PRODUÇÃO]]&gt;0,(T_PROD[[#This Row],[PRODUÇÃO]]/T_PROD[[#This Row],[EFETIVO]]),""),"")</f>
        <v>11.818181818181818</v>
      </c>
    </row>
    <row r="279" spans="1:11" s="6" customFormat="1" x14ac:dyDescent="0.3">
      <c r="A279" s="11">
        <v>46069</v>
      </c>
      <c r="B279" s="12" t="str">
        <f t="shared" si="29"/>
        <v>FEVEREIRO</v>
      </c>
      <c r="C279" s="12" t="s">
        <v>13</v>
      </c>
      <c r="D279" s="12" t="s">
        <v>12</v>
      </c>
      <c r="E279" s="13">
        <v>0</v>
      </c>
      <c r="F279" s="13">
        <v>0</v>
      </c>
      <c r="G279" s="12">
        <v>0</v>
      </c>
      <c r="H279" s="12">
        <v>0</v>
      </c>
      <c r="I279" s="12">
        <f>IFERROR(IF(T_PROD[[#This Row],[PREVISTO]]-T_PROD[[#This Row],[EFETIVO]]&lt; 0,0,T_PROD[[#This Row],[PREVISTO]]-T_PROD[[#This Row],[EFETIVO]] ),"")</f>
        <v>0</v>
      </c>
      <c r="J279" s="15" t="str">
        <f>IFERROR(IF(T_PROD[[#This Row],[META]]&gt;0,(T_PROD[[#This Row],[META]]/T_PROD[[#This Row],[PREVISTO]]),""),"")</f>
        <v/>
      </c>
      <c r="K279" s="15" t="str">
        <f>IFERROR(IF(T_PROD[[#This Row],[PRODUÇÃO]]&gt;0,(T_PROD[[#This Row],[PRODUÇÃO]]/T_PROD[[#This Row],[EFETIVO]]),""),"")</f>
        <v/>
      </c>
    </row>
    <row r="280" spans="1:11" s="6" customFormat="1" x14ac:dyDescent="0.3">
      <c r="A280" s="11">
        <v>46069</v>
      </c>
      <c r="B280" s="12" t="str">
        <f t="shared" si="29"/>
        <v>FEVEREIRO</v>
      </c>
      <c r="C280" s="12" t="s">
        <v>14</v>
      </c>
      <c r="D280" s="12" t="s">
        <v>12</v>
      </c>
      <c r="E280" s="13">
        <v>600</v>
      </c>
      <c r="F280" s="13">
        <v>390</v>
      </c>
      <c r="G280" s="12">
        <v>89</v>
      </c>
      <c r="H280" s="12">
        <v>89</v>
      </c>
      <c r="I280" s="12">
        <f>IFERROR(IF(T_PROD[[#This Row],[PREVISTO]]-T_PROD[[#This Row],[EFETIVO]]&lt; 0,0,T_PROD[[#This Row],[PREVISTO]]-T_PROD[[#This Row],[EFETIVO]] ),"")</f>
        <v>0</v>
      </c>
      <c r="J280" s="15">
        <v>8.1999999999999993</v>
      </c>
      <c r="K280" s="15">
        <f>IFERROR(IF(T_PROD[[#This Row],[PRODUÇÃO]]&gt;0,(T_PROD[[#This Row],[PRODUÇÃO]]/T_PROD[[#This Row],[EFETIVO]]),""),"")</f>
        <v>4.382022471910112</v>
      </c>
    </row>
    <row r="281" spans="1:11" s="6" customFormat="1" x14ac:dyDescent="0.3">
      <c r="A281" s="11">
        <v>46070</v>
      </c>
      <c r="B281" s="12" t="str">
        <f>UPPER(TEXT(A281,"MMMM"))</f>
        <v>FEVEREIRO</v>
      </c>
      <c r="C281" s="12" t="s">
        <v>15</v>
      </c>
      <c r="D281" s="12" t="s">
        <v>12</v>
      </c>
      <c r="E281" s="13">
        <v>60</v>
      </c>
      <c r="F281" s="13">
        <v>3</v>
      </c>
      <c r="G281" s="12">
        <v>4</v>
      </c>
      <c r="H281" s="12">
        <v>4</v>
      </c>
      <c r="I281" s="12">
        <f>IFERROR(IF(T_PROD[[#This Row],[PREVISTO]]-T_PROD[[#This Row],[EFETIVO]]&lt; 0,0,T_PROD[[#This Row],[PREVISTO]]-T_PROD[[#This Row],[EFETIVO]] ),"")</f>
        <v>0</v>
      </c>
      <c r="J281" s="15">
        <f>IFERROR(IF(T_PROD[[#This Row],[META]]&gt;0,(T_PROD[[#This Row],[META]]/T_PROD[[#This Row],[PREVISTO]]),""),"")</f>
        <v>15</v>
      </c>
      <c r="K281" s="15">
        <f>IFERROR(IF(T_PROD[[#This Row],[PRODUÇÃO]]&gt;0,(T_PROD[[#This Row],[PRODUÇÃO]]/T_PROD[[#This Row],[EFETIVO]]),""),"")</f>
        <v>0.75</v>
      </c>
    </row>
    <row r="282" spans="1:11" s="6" customFormat="1" x14ac:dyDescent="0.3">
      <c r="A282" s="11">
        <v>46070</v>
      </c>
      <c r="B282" s="12" t="str">
        <f t="shared" ref="B282:B289" si="30">UPPER(TEXT(A282,"MMMM"))</f>
        <v>FEVEREIRO</v>
      </c>
      <c r="C282" s="12" t="s">
        <v>16</v>
      </c>
      <c r="D282" s="12" t="s">
        <v>12</v>
      </c>
      <c r="E282" s="13">
        <v>204</v>
      </c>
      <c r="F282" s="13">
        <v>139</v>
      </c>
      <c r="G282" s="12">
        <v>6</v>
      </c>
      <c r="H282" s="12">
        <v>6</v>
      </c>
      <c r="I282" s="12">
        <f>IFERROR(IF(T_PROD[[#This Row],[PREVISTO]]-T_PROD[[#This Row],[EFETIVO]]&lt; 0,0,T_PROD[[#This Row],[PREVISTO]]-T_PROD[[#This Row],[EFETIVO]] ),"")</f>
        <v>0</v>
      </c>
      <c r="J282" s="15">
        <f>IFERROR(IF(T_PROD[[#This Row],[META]]&gt;0,(T_PROD[[#This Row],[META]]/T_PROD[[#This Row],[PREVISTO]]),""),"")</f>
        <v>34</v>
      </c>
      <c r="K282" s="15">
        <f>IFERROR(IF(T_PROD[[#This Row],[PRODUÇÃO]]&gt;0,(T_PROD[[#This Row],[PRODUÇÃO]]/T_PROD[[#This Row],[EFETIVO]]),""),"")</f>
        <v>23.166666666666668</v>
      </c>
    </row>
    <row r="283" spans="1:11" s="6" customFormat="1" x14ac:dyDescent="0.3">
      <c r="A283" s="11">
        <v>46070</v>
      </c>
      <c r="B283" s="12" t="str">
        <f t="shared" si="30"/>
        <v>FEVEREIRO</v>
      </c>
      <c r="C283" s="12" t="s">
        <v>17</v>
      </c>
      <c r="D283" s="12" t="s">
        <v>12</v>
      </c>
      <c r="E283" s="13">
        <v>128</v>
      </c>
      <c r="F283" s="13">
        <v>86</v>
      </c>
      <c r="G283" s="12">
        <v>8</v>
      </c>
      <c r="H283" s="12">
        <v>8</v>
      </c>
      <c r="I283" s="12">
        <f>IFERROR(IF(T_PROD[[#This Row],[PREVISTO]]-T_PROD[[#This Row],[EFETIVO]]&lt; 0,0,T_PROD[[#This Row],[PREVISTO]]-T_PROD[[#This Row],[EFETIVO]] ),"")</f>
        <v>0</v>
      </c>
      <c r="J283" s="15">
        <f>IFERROR(IF(T_PROD[[#This Row],[META]]&gt;0,(T_PROD[[#This Row],[META]]/T_PROD[[#This Row],[PREVISTO]]),""),"")</f>
        <v>16</v>
      </c>
      <c r="K283" s="15">
        <f>IFERROR(IF(T_PROD[[#This Row],[PRODUÇÃO]]&gt;0,(T_PROD[[#This Row],[PRODUÇÃO]]/T_PROD[[#This Row],[EFETIVO]]),""),"")</f>
        <v>10.75</v>
      </c>
    </row>
    <row r="284" spans="1:11" s="6" customFormat="1" x14ac:dyDescent="0.3">
      <c r="A284" s="11">
        <v>46070</v>
      </c>
      <c r="B284" s="12" t="str">
        <f t="shared" si="30"/>
        <v>FEVEREIRO</v>
      </c>
      <c r="C284" s="12" t="s">
        <v>18</v>
      </c>
      <c r="D284" s="12" t="s">
        <v>12</v>
      </c>
      <c r="E284" s="13">
        <v>100</v>
      </c>
      <c r="F284" s="13">
        <v>0</v>
      </c>
      <c r="G284" s="12">
        <v>3</v>
      </c>
      <c r="H284" s="12">
        <v>3</v>
      </c>
      <c r="I284" s="12">
        <f>IFERROR(IF(T_PROD[[#This Row],[PREVISTO]]-T_PROD[[#This Row],[EFETIVO]]&lt; 0,0,T_PROD[[#This Row],[PREVISTO]]-T_PROD[[#This Row],[EFETIVO]] ),"")</f>
        <v>0</v>
      </c>
      <c r="J284" s="15">
        <f>IFERROR(IF(T_PROD[[#This Row],[META]]&gt;0,(T_PROD[[#This Row],[META]]/T_PROD[[#This Row],[PREVISTO]]),""),"")</f>
        <v>33.333333333333336</v>
      </c>
      <c r="K284" s="15" t="str">
        <f>IFERROR(IF(T_PROD[[#This Row],[PRODUÇÃO]]&gt;0,(T_PROD[[#This Row],[PRODUÇÃO]]/T_PROD[[#This Row],[EFETIVO]]),""),"")</f>
        <v/>
      </c>
    </row>
    <row r="285" spans="1:11" s="6" customFormat="1" x14ac:dyDescent="0.3">
      <c r="A285" s="11">
        <v>46070</v>
      </c>
      <c r="B285" s="12" t="str">
        <f t="shared" si="30"/>
        <v>FEVEREIRO</v>
      </c>
      <c r="C285" s="12" t="s">
        <v>19</v>
      </c>
      <c r="D285" s="12" t="s">
        <v>12</v>
      </c>
      <c r="E285" s="13">
        <v>100</v>
      </c>
      <c r="F285" s="13">
        <v>75</v>
      </c>
      <c r="G285" s="12">
        <v>11</v>
      </c>
      <c r="H285" s="12">
        <v>11</v>
      </c>
      <c r="I285" s="12">
        <f>IFERROR(IF(T_PROD[[#This Row],[PREVISTO]]-T_PROD[[#This Row],[EFETIVO]]&lt; 0,0,T_PROD[[#This Row],[PREVISTO]]-T_PROD[[#This Row],[EFETIVO]] ),"")</f>
        <v>0</v>
      </c>
      <c r="J285" s="15">
        <f>IFERROR(IF(T_PROD[[#This Row],[META]]&gt;0,(T_PROD[[#This Row],[META]]/T_PROD[[#This Row],[PREVISTO]]),""),"")</f>
        <v>9.0909090909090917</v>
      </c>
      <c r="K285" s="15">
        <f>IFERROR(IF(T_PROD[[#This Row],[PRODUÇÃO]]&gt;0,(T_PROD[[#This Row],[PRODUÇÃO]]/T_PROD[[#This Row],[EFETIVO]]),""),"")</f>
        <v>6.8181818181818183</v>
      </c>
    </row>
    <row r="286" spans="1:11" s="6" customFormat="1" x14ac:dyDescent="0.3">
      <c r="A286" s="11">
        <v>46070</v>
      </c>
      <c r="B286" s="12" t="str">
        <f t="shared" si="30"/>
        <v>FEVEREIRO</v>
      </c>
      <c r="C286" s="12" t="s">
        <v>20</v>
      </c>
      <c r="D286" s="12" t="s">
        <v>12</v>
      </c>
      <c r="E286" s="13">
        <v>486</v>
      </c>
      <c r="F286" s="13">
        <v>303</v>
      </c>
      <c r="G286" s="12">
        <v>90</v>
      </c>
      <c r="H286" s="12">
        <v>90</v>
      </c>
      <c r="I286" s="12">
        <f>IFERROR(IF(T_PROD[[#This Row],[PREVISTO]]-T_PROD[[#This Row],[EFETIVO]]&lt; 0,0,T_PROD[[#This Row],[PREVISTO]]-T_PROD[[#This Row],[EFETIVO]] ),"")</f>
        <v>0</v>
      </c>
      <c r="J286" s="15">
        <f>IFERROR(IF(T_PROD[[#This Row],[META]]&gt;0,(T_PROD[[#This Row],[META]]/T_PROD[[#This Row],[PREVISTO]]),""),"")</f>
        <v>5.4</v>
      </c>
      <c r="K286" s="15">
        <f>IFERROR(IF(T_PROD[[#This Row],[PRODUÇÃO]]&gt;0,(T_PROD[[#This Row],[PRODUÇÃO]]/T_PROD[[#This Row],[EFETIVO]]),""),"")</f>
        <v>3.3666666666666667</v>
      </c>
    </row>
    <row r="287" spans="1:11" s="6" customFormat="1" x14ac:dyDescent="0.3">
      <c r="A287" s="11">
        <v>46070</v>
      </c>
      <c r="B287" s="12" t="str">
        <f t="shared" si="30"/>
        <v>FEVEREIRO</v>
      </c>
      <c r="C287" s="12" t="s">
        <v>11</v>
      </c>
      <c r="D287" s="12" t="s">
        <v>12</v>
      </c>
      <c r="E287" s="13">
        <v>600</v>
      </c>
      <c r="F287" s="13">
        <v>601</v>
      </c>
      <c r="G287" s="12">
        <v>33</v>
      </c>
      <c r="H287" s="12">
        <v>30</v>
      </c>
      <c r="I287" s="12">
        <f>IFERROR(IF(T_PROD[[#This Row],[PREVISTO]]-T_PROD[[#This Row],[EFETIVO]]&lt; 0,0,T_PROD[[#This Row],[PREVISTO]]-T_PROD[[#This Row],[EFETIVO]] ),"")</f>
        <v>3</v>
      </c>
      <c r="J287" s="15">
        <v>18</v>
      </c>
      <c r="K287" s="15">
        <f>IFERROR(IF(T_PROD[[#This Row],[PRODUÇÃO]]&gt;0,(T_PROD[[#This Row],[PRODUÇÃO]]/T_PROD[[#This Row],[EFETIVO]]),""),"")</f>
        <v>20.033333333333335</v>
      </c>
    </row>
    <row r="288" spans="1:11" s="6" customFormat="1" x14ac:dyDescent="0.3">
      <c r="A288" s="11">
        <v>46070</v>
      </c>
      <c r="B288" s="12" t="str">
        <f t="shared" si="30"/>
        <v>FEVEREIRO</v>
      </c>
      <c r="C288" s="12" t="s">
        <v>13</v>
      </c>
      <c r="D288" s="12" t="s">
        <v>12</v>
      </c>
      <c r="E288" s="13">
        <v>0</v>
      </c>
      <c r="F288" s="13">
        <v>0</v>
      </c>
      <c r="G288" s="12">
        <v>0</v>
      </c>
      <c r="H288" s="12">
        <v>0</v>
      </c>
      <c r="I288" s="12">
        <f>IFERROR(IF(T_PROD[[#This Row],[PREVISTO]]-T_PROD[[#This Row],[EFETIVO]]&lt; 0,0,T_PROD[[#This Row],[PREVISTO]]-T_PROD[[#This Row],[EFETIVO]] ),"")</f>
        <v>0</v>
      </c>
      <c r="J288" s="15" t="str">
        <f>IFERROR(IF(T_PROD[[#This Row],[META]]&gt;0,(T_PROD[[#This Row],[META]]/T_PROD[[#This Row],[PREVISTO]]),""),"")</f>
        <v/>
      </c>
      <c r="K288" s="15" t="str">
        <f>IFERROR(IF(T_PROD[[#This Row],[PRODUÇÃO]]&gt;0,(T_PROD[[#This Row],[PRODUÇÃO]]/T_PROD[[#This Row],[EFETIVO]]),""),"")</f>
        <v/>
      </c>
    </row>
    <row r="289" spans="1:11" s="6" customFormat="1" x14ac:dyDescent="0.3">
      <c r="A289" s="11">
        <v>46070</v>
      </c>
      <c r="B289" s="12" t="str">
        <f t="shared" si="30"/>
        <v>FEVEREIRO</v>
      </c>
      <c r="C289" s="12" t="s">
        <v>14</v>
      </c>
      <c r="D289" s="12" t="s">
        <v>12</v>
      </c>
      <c r="E289" s="13">
        <v>600</v>
      </c>
      <c r="F289" s="13">
        <v>601</v>
      </c>
      <c r="G289" s="12">
        <v>89</v>
      </c>
      <c r="H289" s="12">
        <v>84</v>
      </c>
      <c r="I289" s="12">
        <f>IFERROR(IF(T_PROD[[#This Row],[PREVISTO]]-T_PROD[[#This Row],[EFETIVO]]&lt; 0,0,T_PROD[[#This Row],[PREVISTO]]-T_PROD[[#This Row],[EFETIVO]] ),"")</f>
        <v>5</v>
      </c>
      <c r="J289" s="15">
        <v>8.1999999999999993</v>
      </c>
      <c r="K289" s="15">
        <f>IFERROR(IF(T_PROD[[#This Row],[PRODUÇÃO]]&gt;0,(T_PROD[[#This Row],[PRODUÇÃO]]/T_PROD[[#This Row],[EFETIVO]]),""),"")</f>
        <v>7.1547619047619051</v>
      </c>
    </row>
    <row r="290" spans="1:11" s="6" customFormat="1" x14ac:dyDescent="0.3">
      <c r="A290" s="11">
        <v>46071</v>
      </c>
      <c r="B290" s="12" t="str">
        <f>UPPER(TEXT(A290,"MMMM"))</f>
        <v>FEVEREIRO</v>
      </c>
      <c r="C290" s="12" t="s">
        <v>15</v>
      </c>
      <c r="D290" s="12" t="s">
        <v>12</v>
      </c>
      <c r="E290" s="13">
        <v>60</v>
      </c>
      <c r="F290" s="13">
        <v>0</v>
      </c>
      <c r="G290" s="12">
        <v>4</v>
      </c>
      <c r="H290" s="14">
        <v>0</v>
      </c>
      <c r="I290" s="12">
        <f>IFERROR(IF(T_PROD[[#This Row],[PREVISTO]]-T_PROD[[#This Row],[EFETIVO]]&lt; 0,0,T_PROD[[#This Row],[PREVISTO]]-T_PROD[[#This Row],[EFETIVO]] ),"")</f>
        <v>4</v>
      </c>
      <c r="J290" s="15">
        <f>IFERROR(IF(T_PROD[[#This Row],[META]]&gt;0,(T_PROD[[#This Row],[META]]/T_PROD[[#This Row],[PREVISTO]]),""),"")</f>
        <v>15</v>
      </c>
      <c r="K290" s="15" t="str">
        <f>IFERROR(IF(T_PROD[[#This Row],[PRODUÇÃO]]&gt;0,(T_PROD[[#This Row],[PRODUÇÃO]]/T_PROD[[#This Row],[EFETIVO]]),""),"")</f>
        <v/>
      </c>
    </row>
    <row r="291" spans="1:11" s="6" customFormat="1" x14ac:dyDescent="0.3">
      <c r="A291" s="11">
        <v>46071</v>
      </c>
      <c r="B291" s="12" t="str">
        <f t="shared" ref="B291:B298" si="31">UPPER(TEXT(A291,"MMMM"))</f>
        <v>FEVEREIRO</v>
      </c>
      <c r="C291" s="12" t="s">
        <v>16</v>
      </c>
      <c r="D291" s="12" t="s">
        <v>12</v>
      </c>
      <c r="E291" s="13">
        <v>204</v>
      </c>
      <c r="F291" s="13">
        <v>131</v>
      </c>
      <c r="G291" s="12">
        <v>6</v>
      </c>
      <c r="H291" s="14">
        <v>6</v>
      </c>
      <c r="I291" s="12">
        <f>IFERROR(IF(T_PROD[[#This Row],[PREVISTO]]-T_PROD[[#This Row],[EFETIVO]]&lt; 0,0,T_PROD[[#This Row],[PREVISTO]]-T_PROD[[#This Row],[EFETIVO]] ),"")</f>
        <v>0</v>
      </c>
      <c r="J291" s="15">
        <f>IFERROR(IF(T_PROD[[#This Row],[META]]&gt;0,(T_PROD[[#This Row],[META]]/T_PROD[[#This Row],[PREVISTO]]),""),"")</f>
        <v>34</v>
      </c>
      <c r="K291" s="15">
        <f>IFERROR(IF(T_PROD[[#This Row],[PRODUÇÃO]]&gt;0,(T_PROD[[#This Row],[PRODUÇÃO]]/T_PROD[[#This Row],[EFETIVO]]),""),"")</f>
        <v>21.833333333333332</v>
      </c>
    </row>
    <row r="292" spans="1:11" s="6" customFormat="1" x14ac:dyDescent="0.3">
      <c r="A292" s="11">
        <v>46071</v>
      </c>
      <c r="B292" s="12" t="str">
        <f t="shared" si="31"/>
        <v>FEVEREIRO</v>
      </c>
      <c r="C292" s="12" t="s">
        <v>17</v>
      </c>
      <c r="D292" s="12" t="s">
        <v>12</v>
      </c>
      <c r="E292" s="13">
        <v>128</v>
      </c>
      <c r="F292" s="13">
        <v>61</v>
      </c>
      <c r="G292" s="12">
        <v>8</v>
      </c>
      <c r="H292" s="14">
        <v>8</v>
      </c>
      <c r="I292" s="12">
        <f>IFERROR(IF(T_PROD[[#This Row],[PREVISTO]]-T_PROD[[#This Row],[EFETIVO]]&lt; 0,0,T_PROD[[#This Row],[PREVISTO]]-T_PROD[[#This Row],[EFETIVO]] ),"")</f>
        <v>0</v>
      </c>
      <c r="J292" s="15">
        <f>IFERROR(IF(T_PROD[[#This Row],[META]]&gt;0,(T_PROD[[#This Row],[META]]/T_PROD[[#This Row],[PREVISTO]]),""),"")</f>
        <v>16</v>
      </c>
      <c r="K292" s="15">
        <f>IFERROR(IF(T_PROD[[#This Row],[PRODUÇÃO]]&gt;0,(T_PROD[[#This Row],[PRODUÇÃO]]/T_PROD[[#This Row],[EFETIVO]]),""),"")</f>
        <v>7.625</v>
      </c>
    </row>
    <row r="293" spans="1:11" s="6" customFormat="1" x14ac:dyDescent="0.3">
      <c r="A293" s="11">
        <v>46071</v>
      </c>
      <c r="B293" s="12" t="str">
        <f t="shared" si="31"/>
        <v>FEVEREIRO</v>
      </c>
      <c r="C293" s="12" t="s">
        <v>18</v>
      </c>
      <c r="D293" s="12" t="s">
        <v>12</v>
      </c>
      <c r="E293" s="13">
        <v>100</v>
      </c>
      <c r="F293" s="13">
        <v>0</v>
      </c>
      <c r="G293" s="12">
        <v>4</v>
      </c>
      <c r="H293" s="14">
        <v>0</v>
      </c>
      <c r="I293" s="12">
        <f>IFERROR(IF(T_PROD[[#This Row],[PREVISTO]]-T_PROD[[#This Row],[EFETIVO]]&lt; 0,0,T_PROD[[#This Row],[PREVISTO]]-T_PROD[[#This Row],[EFETIVO]] ),"")</f>
        <v>4</v>
      </c>
      <c r="J293" s="15">
        <f>IFERROR(IF(T_PROD[[#This Row],[META]]&gt;0,(T_PROD[[#This Row],[META]]/T_PROD[[#This Row],[PREVISTO]]),""),"")</f>
        <v>25</v>
      </c>
      <c r="K293" s="15" t="str">
        <f>IFERROR(IF(T_PROD[[#This Row],[PRODUÇÃO]]&gt;0,(T_PROD[[#This Row],[PRODUÇÃO]]/T_PROD[[#This Row],[EFETIVO]]),""),"")</f>
        <v/>
      </c>
    </row>
    <row r="294" spans="1:11" s="6" customFormat="1" x14ac:dyDescent="0.3">
      <c r="A294" s="11">
        <v>46071</v>
      </c>
      <c r="B294" s="12" t="str">
        <f t="shared" si="31"/>
        <v>FEVEREIRO</v>
      </c>
      <c r="C294" s="12" t="s">
        <v>19</v>
      </c>
      <c r="D294" s="12" t="s">
        <v>12</v>
      </c>
      <c r="E294" s="13">
        <v>100</v>
      </c>
      <c r="F294" s="13">
        <v>60</v>
      </c>
      <c r="G294" s="12">
        <v>11</v>
      </c>
      <c r="H294" s="14">
        <v>10</v>
      </c>
      <c r="I294" s="12">
        <f>IFERROR(IF(T_PROD[[#This Row],[PREVISTO]]-T_PROD[[#This Row],[EFETIVO]]&lt; 0,0,T_PROD[[#This Row],[PREVISTO]]-T_PROD[[#This Row],[EFETIVO]] ),"")</f>
        <v>1</v>
      </c>
      <c r="J294" s="15">
        <f>IFERROR(IF(T_PROD[[#This Row],[META]]&gt;0,(T_PROD[[#This Row],[META]]/T_PROD[[#This Row],[PREVISTO]]),""),"")</f>
        <v>9.0909090909090917</v>
      </c>
      <c r="K294" s="15">
        <f>IFERROR(IF(T_PROD[[#This Row],[PRODUÇÃO]]&gt;0,(T_PROD[[#This Row],[PRODUÇÃO]]/T_PROD[[#This Row],[EFETIVO]]),""),"")</f>
        <v>6</v>
      </c>
    </row>
    <row r="295" spans="1:11" s="6" customFormat="1" x14ac:dyDescent="0.3">
      <c r="A295" s="11">
        <v>46071</v>
      </c>
      <c r="B295" s="12" t="str">
        <f t="shared" si="31"/>
        <v>FEVEREIRO</v>
      </c>
      <c r="C295" s="12" t="s">
        <v>20</v>
      </c>
      <c r="D295" s="12" t="s">
        <v>12</v>
      </c>
      <c r="E295" s="13">
        <v>486</v>
      </c>
      <c r="F295" s="13">
        <v>252</v>
      </c>
      <c r="G295" s="12">
        <v>92</v>
      </c>
      <c r="H295" s="14">
        <v>88</v>
      </c>
      <c r="I295" s="12">
        <f>IFERROR(IF(T_PROD[[#This Row],[PREVISTO]]-T_PROD[[#This Row],[EFETIVO]]&lt; 0,0,T_PROD[[#This Row],[PREVISTO]]-T_PROD[[#This Row],[EFETIVO]] ),"")</f>
        <v>4</v>
      </c>
      <c r="J295" s="15">
        <f>IFERROR(IF(T_PROD[[#This Row],[META]]&gt;0,(T_PROD[[#This Row],[META]]/T_PROD[[#This Row],[PREVISTO]]),""),"")</f>
        <v>5.2826086956521738</v>
      </c>
      <c r="K295" s="15">
        <f>IFERROR(IF(T_PROD[[#This Row],[PRODUÇÃO]]&gt;0,(T_PROD[[#This Row],[PRODUÇÃO]]/T_PROD[[#This Row],[EFETIVO]]),""),"")</f>
        <v>2.8636363636363638</v>
      </c>
    </row>
    <row r="296" spans="1:11" s="6" customFormat="1" x14ac:dyDescent="0.3">
      <c r="A296" s="11">
        <v>46071</v>
      </c>
      <c r="B296" s="12" t="str">
        <f t="shared" si="31"/>
        <v>FEVEREIRO</v>
      </c>
      <c r="C296" s="12" t="s">
        <v>11</v>
      </c>
      <c r="D296" s="12" t="s">
        <v>12</v>
      </c>
      <c r="E296" s="13">
        <v>600</v>
      </c>
      <c r="F296" s="13">
        <v>534</v>
      </c>
      <c r="G296" s="12">
        <v>33</v>
      </c>
      <c r="H296" s="14">
        <v>30</v>
      </c>
      <c r="I296" s="12">
        <f>IFERROR(IF(T_PROD[[#This Row],[PREVISTO]]-T_PROD[[#This Row],[EFETIVO]]&lt; 0,0,T_PROD[[#This Row],[PREVISTO]]-T_PROD[[#This Row],[EFETIVO]] ),"")</f>
        <v>3</v>
      </c>
      <c r="J296" s="15">
        <v>18</v>
      </c>
      <c r="K296" s="15">
        <f>IFERROR(IF(T_PROD[[#This Row],[PRODUÇÃO]]&gt;0,(T_PROD[[#This Row],[PRODUÇÃO]]/T_PROD[[#This Row],[EFETIVO]]),""),"")</f>
        <v>17.8</v>
      </c>
    </row>
    <row r="297" spans="1:11" s="6" customFormat="1" x14ac:dyDescent="0.3">
      <c r="A297" s="11">
        <v>46071</v>
      </c>
      <c r="B297" s="12" t="str">
        <f t="shared" si="31"/>
        <v>FEVEREIRO</v>
      </c>
      <c r="C297" s="12" t="s">
        <v>13</v>
      </c>
      <c r="D297" s="12" t="s">
        <v>12</v>
      </c>
      <c r="E297" s="13">
        <v>0</v>
      </c>
      <c r="F297" s="13">
        <v>0</v>
      </c>
      <c r="G297" s="12">
        <v>0</v>
      </c>
      <c r="H297" s="14">
        <v>0</v>
      </c>
      <c r="I297" s="12">
        <f>IFERROR(IF(T_PROD[[#This Row],[PREVISTO]]-T_PROD[[#This Row],[EFETIVO]]&lt; 0,0,T_PROD[[#This Row],[PREVISTO]]-T_PROD[[#This Row],[EFETIVO]] ),"")</f>
        <v>0</v>
      </c>
      <c r="J297" s="15" t="str">
        <f>IFERROR(IF(T_PROD[[#This Row],[META]]&gt;0,(T_PROD[[#This Row],[META]]/T_PROD[[#This Row],[PREVISTO]]),""),"")</f>
        <v/>
      </c>
      <c r="K297" s="15" t="str">
        <f>IFERROR(IF(T_PROD[[#This Row],[PRODUÇÃO]]&gt;0,(T_PROD[[#This Row],[PRODUÇÃO]]/T_PROD[[#This Row],[EFETIVO]]),""),"")</f>
        <v/>
      </c>
    </row>
    <row r="298" spans="1:11" s="6" customFormat="1" x14ac:dyDescent="0.3">
      <c r="A298" s="11">
        <v>46071</v>
      </c>
      <c r="B298" s="12" t="str">
        <f t="shared" si="31"/>
        <v>FEVEREIRO</v>
      </c>
      <c r="C298" s="12" t="s">
        <v>14</v>
      </c>
      <c r="D298" s="12" t="s">
        <v>12</v>
      </c>
      <c r="E298" s="13">
        <v>600</v>
      </c>
      <c r="F298" s="13">
        <v>534</v>
      </c>
      <c r="G298" s="12">
        <v>89</v>
      </c>
      <c r="H298" s="14">
        <v>80</v>
      </c>
      <c r="I298" s="12">
        <f>IFERROR(IF(T_PROD[[#This Row],[PREVISTO]]-T_PROD[[#This Row],[EFETIVO]]&lt; 0,0,T_PROD[[#This Row],[PREVISTO]]-T_PROD[[#This Row],[EFETIVO]] ),"")</f>
        <v>9</v>
      </c>
      <c r="J298" s="15">
        <v>8.1999999999999993</v>
      </c>
      <c r="K298" s="15">
        <f>IFERROR(IF(T_PROD[[#This Row],[PRODUÇÃO]]&gt;0,(T_PROD[[#This Row],[PRODUÇÃO]]/T_PROD[[#This Row],[EFETIVO]]),""),"")</f>
        <v>6.6749999999999998</v>
      </c>
    </row>
    <row r="299" spans="1:11" s="6" customFormat="1" x14ac:dyDescent="0.3">
      <c r="A299" s="11">
        <v>46072</v>
      </c>
      <c r="B299" s="12" t="str">
        <f>UPPER(TEXT(A299,"MMMM"))</f>
        <v>FEVEREIRO</v>
      </c>
      <c r="C299" s="12" t="s">
        <v>15</v>
      </c>
      <c r="D299" s="12" t="s">
        <v>12</v>
      </c>
      <c r="E299" s="13">
        <v>60</v>
      </c>
      <c r="F299" s="13">
        <v>0</v>
      </c>
      <c r="G299" s="12">
        <v>4</v>
      </c>
      <c r="H299" s="14">
        <v>0</v>
      </c>
      <c r="I299" s="12">
        <f>IFERROR(IF(T_PROD[[#This Row],[PREVISTO]]-T_PROD[[#This Row],[EFETIVO]]&lt; 0,0,T_PROD[[#This Row],[PREVISTO]]-T_PROD[[#This Row],[EFETIVO]] ),"")</f>
        <v>4</v>
      </c>
      <c r="J299" s="15">
        <f>IFERROR(IF(T_PROD[[#This Row],[META]]&gt;0,(T_PROD[[#This Row],[META]]/T_PROD[[#This Row],[PREVISTO]]),""),"")</f>
        <v>15</v>
      </c>
      <c r="K299" s="15" t="str">
        <f>IFERROR(IF(T_PROD[[#This Row],[PRODUÇÃO]]&gt;0,(T_PROD[[#This Row],[PRODUÇÃO]]/T_PROD[[#This Row],[EFETIVO]]),""),"")</f>
        <v/>
      </c>
    </row>
    <row r="300" spans="1:11" s="6" customFormat="1" x14ac:dyDescent="0.3">
      <c r="A300" s="11">
        <v>46072</v>
      </c>
      <c r="B300" s="12" t="str">
        <f>UPPER(TEXT(A300,"MMMM"))</f>
        <v>FEVEREIRO</v>
      </c>
      <c r="C300" s="12" t="s">
        <v>16</v>
      </c>
      <c r="D300" s="12" t="s">
        <v>12</v>
      </c>
      <c r="E300" s="13">
        <v>204</v>
      </c>
      <c r="F300" s="13">
        <v>140</v>
      </c>
      <c r="G300" s="12">
        <v>6</v>
      </c>
      <c r="H300" s="14">
        <v>8</v>
      </c>
      <c r="I300" s="12">
        <f>IFERROR(IF(T_PROD[[#This Row],[PREVISTO]]-T_PROD[[#This Row],[EFETIVO]]&lt; 0,0,T_PROD[[#This Row],[PREVISTO]]-T_PROD[[#This Row],[EFETIVO]] ),"")</f>
        <v>0</v>
      </c>
      <c r="J300" s="15">
        <f>IFERROR(IF(T_PROD[[#This Row],[META]]&gt;0,(T_PROD[[#This Row],[META]]/T_PROD[[#This Row],[PREVISTO]]),""),"")</f>
        <v>34</v>
      </c>
      <c r="K300" s="15">
        <f>IFERROR(IF(T_PROD[[#This Row],[PRODUÇÃO]]&gt;0,(T_PROD[[#This Row],[PRODUÇÃO]]/T_PROD[[#This Row],[EFETIVO]]),""),"")</f>
        <v>17.5</v>
      </c>
    </row>
    <row r="301" spans="1:11" s="6" customFormat="1" x14ac:dyDescent="0.3">
      <c r="A301" s="11">
        <v>46072</v>
      </c>
      <c r="B301" s="12" t="str">
        <f t="shared" ref="B301:B307" si="32">UPPER(TEXT(A301,"MMMM"))</f>
        <v>FEVEREIRO</v>
      </c>
      <c r="C301" s="12" t="s">
        <v>17</v>
      </c>
      <c r="D301" s="12" t="s">
        <v>12</v>
      </c>
      <c r="E301" s="13">
        <v>128</v>
      </c>
      <c r="F301" s="13">
        <v>53</v>
      </c>
      <c r="G301" s="12">
        <v>8</v>
      </c>
      <c r="H301" s="14">
        <v>8</v>
      </c>
      <c r="I301" s="12">
        <f>IFERROR(IF(T_PROD[[#This Row],[PREVISTO]]-T_PROD[[#This Row],[EFETIVO]]&lt; 0,0,T_PROD[[#This Row],[PREVISTO]]-T_PROD[[#This Row],[EFETIVO]] ),"")</f>
        <v>0</v>
      </c>
      <c r="J301" s="15">
        <f>IFERROR(IF(T_PROD[[#This Row],[META]]&gt;0,(T_PROD[[#This Row],[META]]/T_PROD[[#This Row],[PREVISTO]]),""),"")</f>
        <v>16</v>
      </c>
      <c r="K301" s="15">
        <f>IFERROR(IF(T_PROD[[#This Row],[PRODUÇÃO]]&gt;0,(T_PROD[[#This Row],[PRODUÇÃO]]/T_PROD[[#This Row],[EFETIVO]]),""),"")</f>
        <v>6.625</v>
      </c>
    </row>
    <row r="302" spans="1:11" s="6" customFormat="1" x14ac:dyDescent="0.3">
      <c r="A302" s="11">
        <v>46072</v>
      </c>
      <c r="B302" s="12" t="str">
        <f t="shared" si="32"/>
        <v>FEVEREIRO</v>
      </c>
      <c r="C302" s="12" t="s">
        <v>18</v>
      </c>
      <c r="D302" s="12" t="s">
        <v>12</v>
      </c>
      <c r="E302" s="13">
        <v>100</v>
      </c>
      <c r="F302" s="13">
        <v>0</v>
      </c>
      <c r="G302" s="12">
        <v>4</v>
      </c>
      <c r="H302" s="14">
        <v>0</v>
      </c>
      <c r="I302" s="12">
        <f>IFERROR(IF(T_PROD[[#This Row],[PREVISTO]]-T_PROD[[#This Row],[EFETIVO]]&lt; 0,0,T_PROD[[#This Row],[PREVISTO]]-T_PROD[[#This Row],[EFETIVO]] ),"")</f>
        <v>4</v>
      </c>
      <c r="J302" s="15">
        <f>IFERROR(IF(T_PROD[[#This Row],[META]]&gt;0,(T_PROD[[#This Row],[META]]/T_PROD[[#This Row],[PREVISTO]]),""),"")</f>
        <v>25</v>
      </c>
      <c r="K302" s="15" t="str">
        <f>IFERROR(IF(T_PROD[[#This Row],[PRODUÇÃO]]&gt;0,(T_PROD[[#This Row],[PRODUÇÃO]]/T_PROD[[#This Row],[EFETIVO]]),""),"")</f>
        <v/>
      </c>
    </row>
    <row r="303" spans="1:11" s="6" customFormat="1" x14ac:dyDescent="0.3">
      <c r="A303" s="11">
        <v>46072</v>
      </c>
      <c r="B303" s="12" t="str">
        <f t="shared" si="32"/>
        <v>FEVEREIRO</v>
      </c>
      <c r="C303" s="12" t="s">
        <v>19</v>
      </c>
      <c r="D303" s="12" t="s">
        <v>12</v>
      </c>
      <c r="E303" s="13">
        <v>100</v>
      </c>
      <c r="F303" s="13">
        <v>63</v>
      </c>
      <c r="G303" s="12">
        <v>11</v>
      </c>
      <c r="H303" s="14">
        <v>13</v>
      </c>
      <c r="I303" s="12">
        <f>IFERROR(IF(T_PROD[[#This Row],[PREVISTO]]-T_PROD[[#This Row],[EFETIVO]]&lt; 0,0,T_PROD[[#This Row],[PREVISTO]]-T_PROD[[#This Row],[EFETIVO]] ),"")</f>
        <v>0</v>
      </c>
      <c r="J303" s="15">
        <f>IFERROR(IF(T_PROD[[#This Row],[META]]&gt;0,(T_PROD[[#This Row],[META]]/T_PROD[[#This Row],[PREVISTO]]),""),"")</f>
        <v>9.0909090909090917</v>
      </c>
      <c r="K303" s="15">
        <f>IFERROR(IF(T_PROD[[#This Row],[PRODUÇÃO]]&gt;0,(T_PROD[[#This Row],[PRODUÇÃO]]/T_PROD[[#This Row],[EFETIVO]]),""),"")</f>
        <v>4.8461538461538458</v>
      </c>
    </row>
    <row r="304" spans="1:11" s="6" customFormat="1" x14ac:dyDescent="0.3">
      <c r="A304" s="11">
        <v>46072</v>
      </c>
      <c r="B304" s="12" t="str">
        <f t="shared" si="32"/>
        <v>FEVEREIRO</v>
      </c>
      <c r="C304" s="12" t="s">
        <v>20</v>
      </c>
      <c r="D304" s="12" t="s">
        <v>12</v>
      </c>
      <c r="E304" s="13">
        <v>486</v>
      </c>
      <c r="F304" s="13">
        <v>256</v>
      </c>
      <c r="G304" s="12">
        <v>92</v>
      </c>
      <c r="H304" s="14">
        <v>85</v>
      </c>
      <c r="I304" s="12">
        <f>IFERROR(IF(T_PROD[[#This Row],[PREVISTO]]-T_PROD[[#This Row],[EFETIVO]]&lt; 0,0,T_PROD[[#This Row],[PREVISTO]]-T_PROD[[#This Row],[EFETIVO]] ),"")</f>
        <v>7</v>
      </c>
      <c r="J304" s="15">
        <f>IFERROR(IF(T_PROD[[#This Row],[META]]&gt;0,(T_PROD[[#This Row],[META]]/T_PROD[[#This Row],[PREVISTO]]),""),"")</f>
        <v>5.2826086956521738</v>
      </c>
      <c r="K304" s="15">
        <f>IFERROR(IF(T_PROD[[#This Row],[PRODUÇÃO]]&gt;0,(T_PROD[[#This Row],[PRODUÇÃO]]/T_PROD[[#This Row],[EFETIVO]]),""),"")</f>
        <v>3.0117647058823529</v>
      </c>
    </row>
    <row r="305" spans="1:11" s="6" customFormat="1" x14ac:dyDescent="0.3">
      <c r="A305" s="11">
        <v>46072</v>
      </c>
      <c r="B305" s="12" t="str">
        <f t="shared" si="32"/>
        <v>FEVEREIRO</v>
      </c>
      <c r="C305" s="12" t="s">
        <v>11</v>
      </c>
      <c r="D305" s="12" t="s">
        <v>12</v>
      </c>
      <c r="E305" s="13">
        <v>600</v>
      </c>
      <c r="F305" s="13">
        <v>346</v>
      </c>
      <c r="G305" s="12">
        <v>33</v>
      </c>
      <c r="H305" s="14">
        <v>25</v>
      </c>
      <c r="I305" s="12">
        <f>IFERROR(IF(T_PROD[[#This Row],[PREVISTO]]-T_PROD[[#This Row],[EFETIVO]]&lt; 0,0,T_PROD[[#This Row],[PREVISTO]]-T_PROD[[#This Row],[EFETIVO]] ),"")</f>
        <v>8</v>
      </c>
      <c r="J305" s="15">
        <v>18</v>
      </c>
      <c r="K305" s="15">
        <f>IFERROR(IF(T_PROD[[#This Row],[PRODUÇÃO]]&gt;0,(T_PROD[[#This Row],[PRODUÇÃO]]/T_PROD[[#This Row],[EFETIVO]]),""),"")</f>
        <v>13.84</v>
      </c>
    </row>
    <row r="306" spans="1:11" s="6" customFormat="1" x14ac:dyDescent="0.3">
      <c r="A306" s="11">
        <v>46072</v>
      </c>
      <c r="B306" s="12" t="str">
        <f t="shared" si="32"/>
        <v>FEVEREIRO</v>
      </c>
      <c r="C306" s="6" t="s">
        <v>32</v>
      </c>
      <c r="D306" s="12" t="s">
        <v>12</v>
      </c>
      <c r="E306" s="13">
        <v>80</v>
      </c>
      <c r="F306" s="13">
        <v>60</v>
      </c>
      <c r="G306" s="12">
        <v>8</v>
      </c>
      <c r="H306" s="14">
        <v>7</v>
      </c>
      <c r="I306" s="12">
        <f>IFERROR(IF(T_PROD[[#This Row],[PREVISTO]]-T_PROD[[#This Row],[EFETIVO]]&lt; 0,0,T_PROD[[#This Row],[PREVISTO]]-T_PROD[[#This Row],[EFETIVO]] ),"")</f>
        <v>1</v>
      </c>
      <c r="J306" s="15">
        <f>IFERROR(IF(T_PROD[[#This Row],[META]]&gt;0,(T_PROD[[#This Row],[META]]/T_PROD[[#This Row],[PREVISTO]]),""),"")</f>
        <v>10</v>
      </c>
      <c r="K306" s="15">
        <f>IFERROR(IF(T_PROD[[#This Row],[PRODUÇÃO]]&gt;0,(T_PROD[[#This Row],[PRODUÇÃO]]/T_PROD[[#This Row],[EFETIVO]]),""),"")</f>
        <v>8.5714285714285712</v>
      </c>
    </row>
    <row r="307" spans="1:11" s="6" customFormat="1" x14ac:dyDescent="0.3">
      <c r="A307" s="11">
        <v>46072</v>
      </c>
      <c r="B307" s="12" t="str">
        <f t="shared" si="32"/>
        <v>FEVEREIRO</v>
      </c>
      <c r="C307" s="12" t="s">
        <v>14</v>
      </c>
      <c r="D307" s="12" t="s">
        <v>12</v>
      </c>
      <c r="E307" s="13">
        <v>600</v>
      </c>
      <c r="F307" s="13">
        <v>346</v>
      </c>
      <c r="G307" s="12">
        <v>89</v>
      </c>
      <c r="H307" s="14">
        <v>80</v>
      </c>
      <c r="I307" s="12">
        <f>IFERROR(IF(T_PROD[[#This Row],[PREVISTO]]-T_PROD[[#This Row],[EFETIVO]]&lt; 0,0,T_PROD[[#This Row],[PREVISTO]]-T_PROD[[#This Row],[EFETIVO]] ),"")</f>
        <v>9</v>
      </c>
      <c r="J307" s="15">
        <v>8.1999999999999993</v>
      </c>
      <c r="K307" s="15">
        <f>IFERROR(IF(T_PROD[[#This Row],[PRODUÇÃO]]&gt;0,(T_PROD[[#This Row],[PRODUÇÃO]]/T_PROD[[#This Row],[EFETIVO]]),""),"")</f>
        <v>4.3250000000000002</v>
      </c>
    </row>
    <row r="308" spans="1:11" s="6" customFormat="1" x14ac:dyDescent="0.3">
      <c r="A308" s="11">
        <v>46073</v>
      </c>
      <c r="B308" s="12" t="str">
        <f>UPPER(TEXT(A308,"MMMM"))</f>
        <v>FEVEREIRO</v>
      </c>
      <c r="C308" s="12" t="s">
        <v>15</v>
      </c>
      <c r="D308" s="12" t="s">
        <v>12</v>
      </c>
      <c r="E308" s="13">
        <v>60</v>
      </c>
      <c r="F308" s="13">
        <v>54</v>
      </c>
      <c r="G308" s="12">
        <v>4</v>
      </c>
      <c r="H308" s="14">
        <v>2</v>
      </c>
      <c r="I308" s="12">
        <f>IFERROR(IF(T_PROD[[#This Row],[PREVISTO]]-T_PROD[[#This Row],[EFETIVO]]&lt; 0,0,T_PROD[[#This Row],[PREVISTO]]-T_PROD[[#This Row],[EFETIVO]] ),"")</f>
        <v>2</v>
      </c>
      <c r="J308" s="15">
        <f>IFERROR(IF(T_PROD[[#This Row],[META]]&gt;0,(T_PROD[[#This Row],[META]]/T_PROD[[#This Row],[PREVISTO]]),""),"")</f>
        <v>15</v>
      </c>
      <c r="K308" s="15">
        <f>IFERROR(IF(T_PROD[[#This Row],[PRODUÇÃO]]&gt;0,(T_PROD[[#This Row],[PRODUÇÃO]]/T_PROD[[#This Row],[EFETIVO]]),""),"")</f>
        <v>27</v>
      </c>
    </row>
    <row r="309" spans="1:11" s="6" customFormat="1" x14ac:dyDescent="0.3">
      <c r="A309" s="11">
        <v>46073</v>
      </c>
      <c r="B309" s="12" t="str">
        <f t="shared" ref="B309:B316" si="33">UPPER(TEXT(A309,"MMMM"))</f>
        <v>FEVEREIRO</v>
      </c>
      <c r="C309" s="12" t="s">
        <v>16</v>
      </c>
      <c r="D309" s="12" t="s">
        <v>12</v>
      </c>
      <c r="E309" s="13">
        <v>204</v>
      </c>
      <c r="F309" s="13">
        <v>163</v>
      </c>
      <c r="G309" s="12">
        <v>6</v>
      </c>
      <c r="H309" s="14">
        <v>6</v>
      </c>
      <c r="I309" s="12">
        <f>IFERROR(IF(T_PROD[[#This Row],[PREVISTO]]-T_PROD[[#This Row],[EFETIVO]]&lt; 0,0,T_PROD[[#This Row],[PREVISTO]]-T_PROD[[#This Row],[EFETIVO]] ),"")</f>
        <v>0</v>
      </c>
      <c r="J309" s="15">
        <f>IFERROR(IF(T_PROD[[#This Row],[META]]&gt;0,(T_PROD[[#This Row],[META]]/T_PROD[[#This Row],[PREVISTO]]),""),"")</f>
        <v>34</v>
      </c>
      <c r="K309" s="15">
        <f>IFERROR(IF(T_PROD[[#This Row],[PRODUÇÃO]]&gt;0,(T_PROD[[#This Row],[PRODUÇÃO]]/T_PROD[[#This Row],[EFETIVO]]),""),"")</f>
        <v>27.166666666666668</v>
      </c>
    </row>
    <row r="310" spans="1:11" s="6" customFormat="1" x14ac:dyDescent="0.3">
      <c r="A310" s="11">
        <v>46073</v>
      </c>
      <c r="B310" s="12" t="str">
        <f t="shared" si="33"/>
        <v>FEVEREIRO</v>
      </c>
      <c r="C310" s="12" t="s">
        <v>17</v>
      </c>
      <c r="D310" s="12" t="s">
        <v>12</v>
      </c>
      <c r="E310" s="13">
        <v>128</v>
      </c>
      <c r="F310" s="13">
        <v>2</v>
      </c>
      <c r="G310" s="12">
        <v>8</v>
      </c>
      <c r="H310" s="14">
        <v>8</v>
      </c>
      <c r="I310" s="12">
        <f>IFERROR(IF(T_PROD[[#This Row],[PREVISTO]]-T_PROD[[#This Row],[EFETIVO]]&lt; 0,0,T_PROD[[#This Row],[PREVISTO]]-T_PROD[[#This Row],[EFETIVO]] ),"")</f>
        <v>0</v>
      </c>
      <c r="J310" s="15">
        <f>IFERROR(IF(T_PROD[[#This Row],[META]]&gt;0,(T_PROD[[#This Row],[META]]/T_PROD[[#This Row],[PREVISTO]]),""),"")</f>
        <v>16</v>
      </c>
      <c r="K310" s="15">
        <f>IFERROR(IF(T_PROD[[#This Row],[PRODUÇÃO]]&gt;0,(T_PROD[[#This Row],[PRODUÇÃO]]/T_PROD[[#This Row],[EFETIVO]]),""),"")</f>
        <v>0.25</v>
      </c>
    </row>
    <row r="311" spans="1:11" s="6" customFormat="1" x14ac:dyDescent="0.3">
      <c r="A311" s="11">
        <v>46073</v>
      </c>
      <c r="B311" s="12" t="str">
        <f t="shared" si="33"/>
        <v>FEVEREIRO</v>
      </c>
      <c r="C311" s="12" t="s">
        <v>18</v>
      </c>
      <c r="D311" s="12" t="s">
        <v>12</v>
      </c>
      <c r="E311" s="13">
        <v>100</v>
      </c>
      <c r="F311" s="13">
        <v>0</v>
      </c>
      <c r="G311" s="12">
        <v>4</v>
      </c>
      <c r="H311" s="14">
        <v>0</v>
      </c>
      <c r="I311" s="12">
        <f>IFERROR(IF(T_PROD[[#This Row],[PREVISTO]]-T_PROD[[#This Row],[EFETIVO]]&lt; 0,0,T_PROD[[#This Row],[PREVISTO]]-T_PROD[[#This Row],[EFETIVO]] ),"")</f>
        <v>4</v>
      </c>
      <c r="J311" s="15">
        <f>IFERROR(IF(T_PROD[[#This Row],[META]]&gt;0,(T_PROD[[#This Row],[META]]/T_PROD[[#This Row],[PREVISTO]]),""),"")</f>
        <v>25</v>
      </c>
      <c r="K311" s="15" t="str">
        <f>IFERROR(IF(T_PROD[[#This Row],[PRODUÇÃO]]&gt;0,(T_PROD[[#This Row],[PRODUÇÃO]]/T_PROD[[#This Row],[EFETIVO]]),""),"")</f>
        <v/>
      </c>
    </row>
    <row r="312" spans="1:11" s="6" customFormat="1" x14ac:dyDescent="0.3">
      <c r="A312" s="11">
        <v>46073</v>
      </c>
      <c r="B312" s="12" t="str">
        <f t="shared" si="33"/>
        <v>FEVEREIRO</v>
      </c>
      <c r="C312" s="12" t="s">
        <v>19</v>
      </c>
      <c r="D312" s="12" t="s">
        <v>12</v>
      </c>
      <c r="E312" s="13">
        <v>100</v>
      </c>
      <c r="F312" s="13">
        <v>26</v>
      </c>
      <c r="G312" s="12">
        <v>11</v>
      </c>
      <c r="H312" s="14">
        <v>7</v>
      </c>
      <c r="I312" s="12">
        <f>IFERROR(IF(T_PROD[[#This Row],[PREVISTO]]-T_PROD[[#This Row],[EFETIVO]]&lt; 0,0,T_PROD[[#This Row],[PREVISTO]]-T_PROD[[#This Row],[EFETIVO]] ),"")</f>
        <v>4</v>
      </c>
      <c r="J312" s="15">
        <f>IFERROR(IF(T_PROD[[#This Row],[META]]&gt;0,(T_PROD[[#This Row],[META]]/T_PROD[[#This Row],[PREVISTO]]),""),"")</f>
        <v>9.0909090909090917</v>
      </c>
      <c r="K312" s="15">
        <f>IFERROR(IF(T_PROD[[#This Row],[PRODUÇÃO]]&gt;0,(T_PROD[[#This Row],[PRODUÇÃO]]/T_PROD[[#This Row],[EFETIVO]]),""),"")</f>
        <v>3.7142857142857144</v>
      </c>
    </row>
    <row r="313" spans="1:11" s="6" customFormat="1" x14ac:dyDescent="0.3">
      <c r="A313" s="11">
        <v>46073</v>
      </c>
      <c r="B313" s="12" t="str">
        <f t="shared" si="33"/>
        <v>FEVEREIRO</v>
      </c>
      <c r="C313" s="12" t="s">
        <v>20</v>
      </c>
      <c r="D313" s="12" t="s">
        <v>12</v>
      </c>
      <c r="E313" s="13">
        <v>486</v>
      </c>
      <c r="F313" s="13">
        <v>245</v>
      </c>
      <c r="G313" s="12">
        <v>92</v>
      </c>
      <c r="H313" s="14">
        <v>92</v>
      </c>
      <c r="I313" s="12">
        <f>IFERROR(IF(T_PROD[[#This Row],[PREVISTO]]-T_PROD[[#This Row],[EFETIVO]]&lt; 0,0,T_PROD[[#This Row],[PREVISTO]]-T_PROD[[#This Row],[EFETIVO]] ),"")</f>
        <v>0</v>
      </c>
      <c r="J313" s="15">
        <f>IFERROR(IF(T_PROD[[#This Row],[META]]&gt;0,(T_PROD[[#This Row],[META]]/T_PROD[[#This Row],[PREVISTO]]),""),"")</f>
        <v>5.2826086956521738</v>
      </c>
      <c r="K313" s="15">
        <f>IFERROR(IF(T_PROD[[#This Row],[PRODUÇÃO]]&gt;0,(T_PROD[[#This Row],[PRODUÇÃO]]/T_PROD[[#This Row],[EFETIVO]]),""),"")</f>
        <v>2.6630434782608696</v>
      </c>
    </row>
    <row r="314" spans="1:11" s="6" customFormat="1" x14ac:dyDescent="0.3">
      <c r="A314" s="11">
        <v>46073</v>
      </c>
      <c r="B314" s="12" t="str">
        <f t="shared" si="33"/>
        <v>FEVEREIRO</v>
      </c>
      <c r="C314" s="12" t="s">
        <v>11</v>
      </c>
      <c r="D314" s="12" t="s">
        <v>12</v>
      </c>
      <c r="E314" s="13">
        <v>600</v>
      </c>
      <c r="F314" s="13">
        <v>422</v>
      </c>
      <c r="G314" s="12">
        <v>33</v>
      </c>
      <c r="H314" s="14">
        <v>23</v>
      </c>
      <c r="I314" s="12">
        <f>IFERROR(IF(T_PROD[[#This Row],[PREVISTO]]-T_PROD[[#This Row],[EFETIVO]]&lt; 0,0,T_PROD[[#This Row],[PREVISTO]]-T_PROD[[#This Row],[EFETIVO]] ),"")</f>
        <v>10</v>
      </c>
      <c r="J314" s="15">
        <v>18</v>
      </c>
      <c r="K314" s="15">
        <f>IFERROR(IF(T_PROD[[#This Row],[PRODUÇÃO]]&gt;0,(T_PROD[[#This Row],[PRODUÇÃO]]/T_PROD[[#This Row],[EFETIVO]]),""),"")</f>
        <v>18.347826086956523</v>
      </c>
    </row>
    <row r="315" spans="1:11" s="6" customFormat="1" x14ac:dyDescent="0.3">
      <c r="A315" s="11">
        <v>46073</v>
      </c>
      <c r="B315" s="12" t="str">
        <f t="shared" si="33"/>
        <v>FEVEREIRO</v>
      </c>
      <c r="C315" s="6" t="s">
        <v>32</v>
      </c>
      <c r="D315" s="12" t="s">
        <v>12</v>
      </c>
      <c r="E315" s="13">
        <v>80</v>
      </c>
      <c r="F315" s="13">
        <v>56</v>
      </c>
      <c r="G315" s="12">
        <v>8</v>
      </c>
      <c r="H315" s="14">
        <v>7</v>
      </c>
      <c r="I315" s="12">
        <f>IFERROR(IF(T_PROD[[#This Row],[PREVISTO]]-T_PROD[[#This Row],[EFETIVO]]&lt; 0,0,T_PROD[[#This Row],[PREVISTO]]-T_PROD[[#This Row],[EFETIVO]] ),"")</f>
        <v>1</v>
      </c>
      <c r="J315" s="15">
        <f>IFERROR(IF(T_PROD[[#This Row],[META]]&gt;0,(T_PROD[[#This Row],[META]]/T_PROD[[#This Row],[PREVISTO]]),""),"")</f>
        <v>10</v>
      </c>
      <c r="K315" s="15">
        <f>IFERROR(IF(T_PROD[[#This Row],[PRODUÇÃO]]&gt;0,(T_PROD[[#This Row],[PRODUÇÃO]]/T_PROD[[#This Row],[EFETIVO]]),""),"")</f>
        <v>8</v>
      </c>
    </row>
    <row r="316" spans="1:11" s="6" customFormat="1" x14ac:dyDescent="0.3">
      <c r="A316" s="11">
        <v>46073</v>
      </c>
      <c r="B316" s="12" t="str">
        <f t="shared" si="33"/>
        <v>FEVEREIRO</v>
      </c>
      <c r="C316" s="12" t="s">
        <v>14</v>
      </c>
      <c r="D316" s="12" t="s">
        <v>12</v>
      </c>
      <c r="E316" s="13">
        <v>660</v>
      </c>
      <c r="F316" s="13">
        <v>478</v>
      </c>
      <c r="G316" s="12">
        <v>89</v>
      </c>
      <c r="H316" s="14">
        <v>80</v>
      </c>
      <c r="I316" s="12">
        <f>IFERROR(IF(T_PROD[[#This Row],[PREVISTO]]-T_PROD[[#This Row],[EFETIVO]]&lt; 0,0,T_PROD[[#This Row],[PREVISTO]]-T_PROD[[#This Row],[EFETIVO]] ),"")</f>
        <v>9</v>
      </c>
      <c r="J316" s="15">
        <v>8.1999999999999993</v>
      </c>
      <c r="K316" s="15">
        <f>IFERROR(IF(T_PROD[[#This Row],[PRODUÇÃO]]&gt;0,(T_PROD[[#This Row],[PRODUÇÃO]]/T_PROD[[#This Row],[EFETIVO]]),""),"")</f>
        <v>5.9749999999999996</v>
      </c>
    </row>
    <row r="317" spans="1:11" s="6" customFormat="1" x14ac:dyDescent="0.3">
      <c r="A317" s="11">
        <v>46076</v>
      </c>
      <c r="B317" s="12" t="str">
        <f>UPPER(TEXT(A317,"MMMM"))</f>
        <v>FEVEREIRO</v>
      </c>
      <c r="C317" s="12" t="s">
        <v>15</v>
      </c>
      <c r="D317" s="12" t="s">
        <v>12</v>
      </c>
      <c r="E317" s="13">
        <v>60</v>
      </c>
      <c r="F317" s="13">
        <v>52</v>
      </c>
      <c r="G317" s="12">
        <v>4</v>
      </c>
      <c r="H317" s="14">
        <v>3</v>
      </c>
      <c r="I317" s="12">
        <f>IFERROR(IF(T_PROD[[#This Row],[PREVISTO]]-T_PROD[[#This Row],[EFETIVO]]&lt; 0,0,T_PROD[[#This Row],[PREVISTO]]-T_PROD[[#This Row],[EFETIVO]] ),"")</f>
        <v>1</v>
      </c>
      <c r="J317" s="15">
        <f>IFERROR(IF(T_PROD[[#This Row],[META]]&gt;0,(T_PROD[[#This Row],[META]]/T_PROD[[#This Row],[PREVISTO]]),""),"")</f>
        <v>15</v>
      </c>
      <c r="K317" s="15">
        <f>IFERROR(IF(T_PROD[[#This Row],[PRODUÇÃO]]&gt;0,(T_PROD[[#This Row],[PRODUÇÃO]]/T_PROD[[#This Row],[EFETIVO]]),""),"")</f>
        <v>17.333333333333332</v>
      </c>
    </row>
    <row r="318" spans="1:11" s="6" customFormat="1" x14ac:dyDescent="0.3">
      <c r="A318" s="11">
        <v>46076</v>
      </c>
      <c r="B318" s="12" t="str">
        <f t="shared" ref="B318:B325" si="34">UPPER(TEXT(A318,"MMMM"))</f>
        <v>FEVEREIRO</v>
      </c>
      <c r="C318" s="12" t="s">
        <v>16</v>
      </c>
      <c r="D318" s="12" t="s">
        <v>12</v>
      </c>
      <c r="E318" s="13">
        <v>204</v>
      </c>
      <c r="F318" s="13">
        <v>209</v>
      </c>
      <c r="G318" s="12">
        <v>6</v>
      </c>
      <c r="H318" s="14">
        <v>6</v>
      </c>
      <c r="I318" s="12">
        <f>IFERROR(IF(T_PROD[[#This Row],[PREVISTO]]-T_PROD[[#This Row],[EFETIVO]]&lt; 0,0,T_PROD[[#This Row],[PREVISTO]]-T_PROD[[#This Row],[EFETIVO]] ),"")</f>
        <v>0</v>
      </c>
      <c r="J318" s="15">
        <f>IFERROR(IF(T_PROD[[#This Row],[META]]&gt;0,(T_PROD[[#This Row],[META]]/T_PROD[[#This Row],[PREVISTO]]),""),"")</f>
        <v>34</v>
      </c>
      <c r="K318" s="15">
        <f>IFERROR(IF(T_PROD[[#This Row],[PRODUÇÃO]]&gt;0,(T_PROD[[#This Row],[PRODUÇÃO]]/T_PROD[[#This Row],[EFETIVO]]),""),"")</f>
        <v>34.833333333333336</v>
      </c>
    </row>
    <row r="319" spans="1:11" s="6" customFormat="1" x14ac:dyDescent="0.3">
      <c r="A319" s="11">
        <v>46076</v>
      </c>
      <c r="B319" s="12" t="str">
        <f t="shared" si="34"/>
        <v>FEVEREIRO</v>
      </c>
      <c r="C319" s="12" t="s">
        <v>17</v>
      </c>
      <c r="D319" s="12" t="s">
        <v>12</v>
      </c>
      <c r="E319" s="13">
        <v>128</v>
      </c>
      <c r="F319" s="13">
        <v>96</v>
      </c>
      <c r="G319" s="12">
        <v>8</v>
      </c>
      <c r="H319" s="14">
        <v>6</v>
      </c>
      <c r="I319" s="12">
        <f>IFERROR(IF(T_PROD[[#This Row],[PREVISTO]]-T_PROD[[#This Row],[EFETIVO]]&lt; 0,0,T_PROD[[#This Row],[PREVISTO]]-T_PROD[[#This Row],[EFETIVO]] ),"")</f>
        <v>2</v>
      </c>
      <c r="J319" s="15">
        <f>IFERROR(IF(T_PROD[[#This Row],[META]]&gt;0,(T_PROD[[#This Row],[META]]/T_PROD[[#This Row],[PREVISTO]]),""),"")</f>
        <v>16</v>
      </c>
      <c r="K319" s="15">
        <f>IFERROR(IF(T_PROD[[#This Row],[PRODUÇÃO]]&gt;0,(T_PROD[[#This Row],[PRODUÇÃO]]/T_PROD[[#This Row],[EFETIVO]]),""),"")</f>
        <v>16</v>
      </c>
    </row>
    <row r="320" spans="1:11" s="6" customFormat="1" x14ac:dyDescent="0.3">
      <c r="A320" s="11">
        <v>46076</v>
      </c>
      <c r="B320" s="12" t="str">
        <f t="shared" si="34"/>
        <v>FEVEREIRO</v>
      </c>
      <c r="C320" s="12" t="s">
        <v>18</v>
      </c>
      <c r="D320" s="12" t="s">
        <v>12</v>
      </c>
      <c r="E320" s="13">
        <v>100</v>
      </c>
      <c r="F320" s="13">
        <v>0</v>
      </c>
      <c r="G320" s="12">
        <v>4</v>
      </c>
      <c r="H320" s="14">
        <v>0</v>
      </c>
      <c r="I320" s="12">
        <f>IFERROR(IF(T_PROD[[#This Row],[PREVISTO]]-T_PROD[[#This Row],[EFETIVO]]&lt; 0,0,T_PROD[[#This Row],[PREVISTO]]-T_PROD[[#This Row],[EFETIVO]] ),"")</f>
        <v>4</v>
      </c>
      <c r="J320" s="15">
        <f>IFERROR(IF(T_PROD[[#This Row],[META]]&gt;0,(T_PROD[[#This Row],[META]]/T_PROD[[#This Row],[PREVISTO]]),""),"")</f>
        <v>25</v>
      </c>
      <c r="K320" s="15" t="str">
        <f>IFERROR(IF(T_PROD[[#This Row],[PRODUÇÃO]]&gt;0,(T_PROD[[#This Row],[PRODUÇÃO]]/T_PROD[[#This Row],[EFETIVO]]),""),"")</f>
        <v/>
      </c>
    </row>
    <row r="321" spans="1:11" s="6" customFormat="1" x14ac:dyDescent="0.3">
      <c r="A321" s="11">
        <v>46076</v>
      </c>
      <c r="B321" s="12" t="str">
        <f t="shared" si="34"/>
        <v>FEVEREIRO</v>
      </c>
      <c r="C321" s="12" t="s">
        <v>19</v>
      </c>
      <c r="D321" s="12" t="s">
        <v>12</v>
      </c>
      <c r="E321" s="13">
        <v>100</v>
      </c>
      <c r="F321" s="13">
        <v>82</v>
      </c>
      <c r="G321" s="12">
        <v>11</v>
      </c>
      <c r="H321" s="14">
        <v>14</v>
      </c>
      <c r="I321" s="12">
        <f>IFERROR(IF(T_PROD[[#This Row],[PREVISTO]]-T_PROD[[#This Row],[EFETIVO]]&lt; 0,0,T_PROD[[#This Row],[PREVISTO]]-T_PROD[[#This Row],[EFETIVO]] ),"")</f>
        <v>0</v>
      </c>
      <c r="J321" s="15">
        <f>IFERROR(IF(T_PROD[[#This Row],[META]]&gt;0,(T_PROD[[#This Row],[META]]/T_PROD[[#This Row],[PREVISTO]]),""),"")</f>
        <v>9.0909090909090917</v>
      </c>
      <c r="K321" s="15">
        <f>IFERROR(IF(T_PROD[[#This Row],[PRODUÇÃO]]&gt;0,(T_PROD[[#This Row],[PRODUÇÃO]]/T_PROD[[#This Row],[EFETIVO]]),""),"")</f>
        <v>5.8571428571428568</v>
      </c>
    </row>
    <row r="322" spans="1:11" s="6" customFormat="1" x14ac:dyDescent="0.3">
      <c r="A322" s="11">
        <v>46076</v>
      </c>
      <c r="B322" s="12" t="str">
        <f t="shared" si="34"/>
        <v>FEVEREIRO</v>
      </c>
      <c r="C322" s="12" t="s">
        <v>20</v>
      </c>
      <c r="D322" s="12" t="s">
        <v>12</v>
      </c>
      <c r="E322" s="13">
        <v>486</v>
      </c>
      <c r="F322" s="13">
        <v>439</v>
      </c>
      <c r="G322" s="12">
        <v>92</v>
      </c>
      <c r="H322" s="14">
        <v>90</v>
      </c>
      <c r="I322" s="12">
        <f>IFERROR(IF(T_PROD[[#This Row],[PREVISTO]]-T_PROD[[#This Row],[EFETIVO]]&lt; 0,0,T_PROD[[#This Row],[PREVISTO]]-T_PROD[[#This Row],[EFETIVO]] ),"")</f>
        <v>2</v>
      </c>
      <c r="J322" s="15">
        <f>IFERROR(IF(T_PROD[[#This Row],[META]]&gt;0,(T_PROD[[#This Row],[META]]/T_PROD[[#This Row],[PREVISTO]]),""),"")</f>
        <v>5.2826086956521738</v>
      </c>
      <c r="K322" s="15">
        <f>IFERROR(IF(T_PROD[[#This Row],[PRODUÇÃO]]&gt;0,(T_PROD[[#This Row],[PRODUÇÃO]]/T_PROD[[#This Row],[EFETIVO]]),""),"")</f>
        <v>4.8777777777777782</v>
      </c>
    </row>
    <row r="323" spans="1:11" s="6" customFormat="1" x14ac:dyDescent="0.3">
      <c r="A323" s="11">
        <v>46076</v>
      </c>
      <c r="B323" s="12" t="str">
        <f t="shared" si="34"/>
        <v>FEVEREIRO</v>
      </c>
      <c r="C323" s="12" t="s">
        <v>11</v>
      </c>
      <c r="D323" s="12" t="s">
        <v>12</v>
      </c>
      <c r="E323" s="13">
        <v>600</v>
      </c>
      <c r="F323" s="13">
        <v>404</v>
      </c>
      <c r="G323" s="12">
        <v>33</v>
      </c>
      <c r="H323" s="14">
        <v>25</v>
      </c>
      <c r="I323" s="12">
        <f>IFERROR(IF(T_PROD[[#This Row],[PREVISTO]]-T_PROD[[#This Row],[EFETIVO]]&lt; 0,0,T_PROD[[#This Row],[PREVISTO]]-T_PROD[[#This Row],[EFETIVO]] ),"")</f>
        <v>8</v>
      </c>
      <c r="J323" s="15">
        <v>18</v>
      </c>
      <c r="K323" s="15">
        <f>IFERROR(IF(T_PROD[[#This Row],[PRODUÇÃO]]&gt;0,(T_PROD[[#This Row],[PRODUÇÃO]]/T_PROD[[#This Row],[EFETIVO]]),""),"")</f>
        <v>16.16</v>
      </c>
    </row>
    <row r="324" spans="1:11" s="6" customFormat="1" x14ac:dyDescent="0.3">
      <c r="A324" s="11">
        <v>46076</v>
      </c>
      <c r="B324" s="12" t="str">
        <f t="shared" si="34"/>
        <v>FEVEREIRO</v>
      </c>
      <c r="C324" s="6" t="s">
        <v>32</v>
      </c>
      <c r="D324" s="12" t="s">
        <v>12</v>
      </c>
      <c r="E324" s="13">
        <v>80</v>
      </c>
      <c r="F324" s="13">
        <v>72</v>
      </c>
      <c r="G324" s="12">
        <v>8</v>
      </c>
      <c r="H324" s="14">
        <v>8</v>
      </c>
      <c r="I324" s="12">
        <f>IFERROR(IF(T_PROD[[#This Row],[PREVISTO]]-T_PROD[[#This Row],[EFETIVO]]&lt; 0,0,T_PROD[[#This Row],[PREVISTO]]-T_PROD[[#This Row],[EFETIVO]] ),"")</f>
        <v>0</v>
      </c>
      <c r="J324" s="15">
        <f>IFERROR(IF(T_PROD[[#This Row],[META]]&gt;0,(T_PROD[[#This Row],[META]]/T_PROD[[#This Row],[PREVISTO]]),""),"")</f>
        <v>10</v>
      </c>
      <c r="K324" s="15">
        <f>IFERROR(IF(T_PROD[[#This Row],[PRODUÇÃO]]&gt;0,(T_PROD[[#This Row],[PRODUÇÃO]]/T_PROD[[#This Row],[EFETIVO]]),""),"")</f>
        <v>9</v>
      </c>
    </row>
    <row r="325" spans="1:11" s="6" customFormat="1" x14ac:dyDescent="0.3">
      <c r="A325" s="11">
        <v>46076</v>
      </c>
      <c r="B325" s="12" t="str">
        <f t="shared" si="34"/>
        <v>FEVEREIRO</v>
      </c>
      <c r="C325" s="12" t="s">
        <v>14</v>
      </c>
      <c r="D325" s="12" t="s">
        <v>12</v>
      </c>
      <c r="E325" s="13">
        <v>660</v>
      </c>
      <c r="F325" s="13">
        <v>476</v>
      </c>
      <c r="G325" s="12">
        <v>89</v>
      </c>
      <c r="H325" s="14">
        <v>78</v>
      </c>
      <c r="I325" s="12">
        <f>IFERROR(IF(T_PROD[[#This Row],[PREVISTO]]-T_PROD[[#This Row],[EFETIVO]]&lt; 0,0,T_PROD[[#This Row],[PREVISTO]]-T_PROD[[#This Row],[EFETIVO]] ),"")</f>
        <v>11</v>
      </c>
      <c r="J325" s="15">
        <v>8.1999999999999993</v>
      </c>
      <c r="K325" s="15">
        <f>IFERROR(IF(T_PROD[[#This Row],[PRODUÇÃO]]&gt;0,(T_PROD[[#This Row],[PRODUÇÃO]]/T_PROD[[#This Row],[EFETIVO]]),""),"")</f>
        <v>6.1025641025641022</v>
      </c>
    </row>
    <row r="326" spans="1:11" s="6" customFormat="1" x14ac:dyDescent="0.3">
      <c r="A326" s="11">
        <v>46077</v>
      </c>
      <c r="B326" s="12" t="str">
        <f>UPPER(TEXT(A326,"MMMM"))</f>
        <v>FEVEREIRO</v>
      </c>
      <c r="C326" s="12" t="s">
        <v>15</v>
      </c>
      <c r="D326" s="12" t="s">
        <v>12</v>
      </c>
      <c r="E326" s="13">
        <v>60</v>
      </c>
      <c r="F326" s="13">
        <v>63</v>
      </c>
      <c r="G326" s="12">
        <v>4</v>
      </c>
      <c r="H326" s="14">
        <v>4</v>
      </c>
      <c r="I326" s="12">
        <f>IFERROR(IF(T_PROD[[#This Row],[PREVISTO]]-T_PROD[[#This Row],[EFETIVO]]&lt; 0,0,T_PROD[[#This Row],[PREVISTO]]-T_PROD[[#This Row],[EFETIVO]] ),"")</f>
        <v>0</v>
      </c>
      <c r="J326" s="15">
        <f>IFERROR(IF(T_PROD[[#This Row],[META]]&gt;0,(T_PROD[[#This Row],[META]]/T_PROD[[#This Row],[PREVISTO]]),""),"")</f>
        <v>15</v>
      </c>
      <c r="K326" s="15">
        <f>IFERROR(IF(T_PROD[[#This Row],[PRODUÇÃO]]&gt;0,(T_PROD[[#This Row],[PRODUÇÃO]]/T_PROD[[#This Row],[EFETIVO]]),""),"")</f>
        <v>15.75</v>
      </c>
    </row>
    <row r="327" spans="1:11" s="6" customFormat="1" x14ac:dyDescent="0.3">
      <c r="A327" s="11">
        <v>46077</v>
      </c>
      <c r="B327" s="12" t="str">
        <f t="shared" ref="B327:B334" si="35">UPPER(TEXT(A327,"MMMM"))</f>
        <v>FEVEREIRO</v>
      </c>
      <c r="C327" s="12" t="s">
        <v>16</v>
      </c>
      <c r="D327" s="12" t="s">
        <v>12</v>
      </c>
      <c r="E327" s="13">
        <v>204</v>
      </c>
      <c r="F327" s="13">
        <v>167</v>
      </c>
      <c r="G327" s="12">
        <v>6</v>
      </c>
      <c r="H327" s="14">
        <v>6</v>
      </c>
      <c r="I327" s="12">
        <f>IFERROR(IF(T_PROD[[#This Row],[PREVISTO]]-T_PROD[[#This Row],[EFETIVO]]&lt; 0,0,T_PROD[[#This Row],[PREVISTO]]-T_PROD[[#This Row],[EFETIVO]] ),"")</f>
        <v>0</v>
      </c>
      <c r="J327" s="15">
        <f>IFERROR(IF(T_PROD[[#This Row],[META]]&gt;0,(T_PROD[[#This Row],[META]]/T_PROD[[#This Row],[PREVISTO]]),""),"")</f>
        <v>34</v>
      </c>
      <c r="K327" s="15">
        <f>IFERROR(IF(T_PROD[[#This Row],[PRODUÇÃO]]&gt;0,(T_PROD[[#This Row],[PRODUÇÃO]]/T_PROD[[#This Row],[EFETIVO]]),""),"")</f>
        <v>27.833333333333332</v>
      </c>
    </row>
    <row r="328" spans="1:11" s="6" customFormat="1" x14ac:dyDescent="0.3">
      <c r="A328" s="11">
        <v>46077</v>
      </c>
      <c r="B328" s="12" t="str">
        <f t="shared" si="35"/>
        <v>FEVEREIRO</v>
      </c>
      <c r="C328" s="12" t="s">
        <v>17</v>
      </c>
      <c r="D328" s="12" t="s">
        <v>12</v>
      </c>
      <c r="E328" s="13">
        <v>128</v>
      </c>
      <c r="F328" s="13">
        <v>0</v>
      </c>
      <c r="G328" s="12">
        <v>8</v>
      </c>
      <c r="H328" s="14">
        <v>0</v>
      </c>
      <c r="I328" s="12">
        <f>IFERROR(IF(T_PROD[[#This Row],[PREVISTO]]-T_PROD[[#This Row],[EFETIVO]]&lt; 0,0,T_PROD[[#This Row],[PREVISTO]]-T_PROD[[#This Row],[EFETIVO]] ),"")</f>
        <v>8</v>
      </c>
      <c r="J328" s="15">
        <f>IFERROR(IF(T_PROD[[#This Row],[META]]&gt;0,(T_PROD[[#This Row],[META]]/T_PROD[[#This Row],[PREVISTO]]),""),"")</f>
        <v>16</v>
      </c>
      <c r="K328" s="15" t="str">
        <f>IFERROR(IF(T_PROD[[#This Row],[PRODUÇÃO]]&gt;0,(T_PROD[[#This Row],[PRODUÇÃO]]/T_PROD[[#This Row],[EFETIVO]]),""),"")</f>
        <v/>
      </c>
    </row>
    <row r="329" spans="1:11" s="6" customFormat="1" x14ac:dyDescent="0.3">
      <c r="A329" s="11">
        <v>46077</v>
      </c>
      <c r="B329" s="12" t="str">
        <f t="shared" si="35"/>
        <v>FEVEREIRO</v>
      </c>
      <c r="C329" s="12" t="s">
        <v>18</v>
      </c>
      <c r="D329" s="12" t="s">
        <v>12</v>
      </c>
      <c r="E329" s="13">
        <v>100</v>
      </c>
      <c r="F329" s="13">
        <v>0</v>
      </c>
      <c r="G329" s="12">
        <v>4</v>
      </c>
      <c r="H329" s="14">
        <v>0</v>
      </c>
      <c r="I329" s="12">
        <f>IFERROR(IF(T_PROD[[#This Row],[PREVISTO]]-T_PROD[[#This Row],[EFETIVO]]&lt; 0,0,T_PROD[[#This Row],[PREVISTO]]-T_PROD[[#This Row],[EFETIVO]] ),"")</f>
        <v>4</v>
      </c>
      <c r="J329" s="15">
        <f>IFERROR(IF(T_PROD[[#This Row],[META]]&gt;0,(T_PROD[[#This Row],[META]]/T_PROD[[#This Row],[PREVISTO]]),""),"")</f>
        <v>25</v>
      </c>
      <c r="K329" s="15" t="str">
        <f>IFERROR(IF(T_PROD[[#This Row],[PRODUÇÃO]]&gt;0,(T_PROD[[#This Row],[PRODUÇÃO]]/T_PROD[[#This Row],[EFETIVO]]),""),"")</f>
        <v/>
      </c>
    </row>
    <row r="330" spans="1:11" s="6" customFormat="1" x14ac:dyDescent="0.3">
      <c r="A330" s="11">
        <v>46077</v>
      </c>
      <c r="B330" s="12" t="str">
        <f t="shared" si="35"/>
        <v>FEVEREIRO</v>
      </c>
      <c r="C330" s="12" t="s">
        <v>19</v>
      </c>
      <c r="D330" s="12" t="s">
        <v>12</v>
      </c>
      <c r="E330" s="13">
        <v>100</v>
      </c>
      <c r="F330" s="13">
        <v>0</v>
      </c>
      <c r="G330" s="12">
        <v>11</v>
      </c>
      <c r="H330" s="14">
        <v>0</v>
      </c>
      <c r="I330" s="12">
        <f>IFERROR(IF(T_PROD[[#This Row],[PREVISTO]]-T_PROD[[#This Row],[EFETIVO]]&lt; 0,0,T_PROD[[#This Row],[PREVISTO]]-T_PROD[[#This Row],[EFETIVO]] ),"")</f>
        <v>11</v>
      </c>
      <c r="J330" s="15">
        <f>IFERROR(IF(T_PROD[[#This Row],[META]]&gt;0,(T_PROD[[#This Row],[META]]/T_PROD[[#This Row],[PREVISTO]]),""),"")</f>
        <v>9.0909090909090917</v>
      </c>
      <c r="K330" s="15" t="str">
        <f>IFERROR(IF(T_PROD[[#This Row],[PRODUÇÃO]]&gt;0,(T_PROD[[#This Row],[PRODUÇÃO]]/T_PROD[[#This Row],[EFETIVO]]),""),"")</f>
        <v/>
      </c>
    </row>
    <row r="331" spans="1:11" s="6" customFormat="1" x14ac:dyDescent="0.3">
      <c r="A331" s="11">
        <v>46077</v>
      </c>
      <c r="B331" s="12" t="str">
        <f t="shared" si="35"/>
        <v>FEVEREIRO</v>
      </c>
      <c r="C331" s="12" t="s">
        <v>20</v>
      </c>
      <c r="D331" s="12" t="s">
        <v>12</v>
      </c>
      <c r="E331" s="13">
        <v>486</v>
      </c>
      <c r="F331" s="13">
        <v>230</v>
      </c>
      <c r="G331" s="12">
        <v>92</v>
      </c>
      <c r="H331" s="14">
        <v>0</v>
      </c>
      <c r="I331" s="12">
        <f>IFERROR(IF(T_PROD[[#This Row],[PREVISTO]]-T_PROD[[#This Row],[EFETIVO]]&lt; 0,0,T_PROD[[#This Row],[PREVISTO]]-T_PROD[[#This Row],[EFETIVO]] ),"")</f>
        <v>92</v>
      </c>
      <c r="J331" s="15">
        <f>IFERROR(IF(T_PROD[[#This Row],[META]]&gt;0,(T_PROD[[#This Row],[META]]/T_PROD[[#This Row],[PREVISTO]]),""),"")</f>
        <v>5.2826086956521738</v>
      </c>
      <c r="K331" s="15" t="str">
        <f>IFERROR(IF(T_PROD[[#This Row],[PRODUÇÃO]]&gt;0,(T_PROD[[#This Row],[PRODUÇÃO]]/T_PROD[[#This Row],[EFETIVO]]),""),"")</f>
        <v/>
      </c>
    </row>
    <row r="332" spans="1:11" s="6" customFormat="1" x14ac:dyDescent="0.3">
      <c r="A332" s="11">
        <v>46077</v>
      </c>
      <c r="B332" s="12" t="str">
        <f t="shared" si="35"/>
        <v>FEVEREIRO</v>
      </c>
      <c r="C332" s="12" t="s">
        <v>11</v>
      </c>
      <c r="D332" s="12" t="s">
        <v>12</v>
      </c>
      <c r="E332" s="13">
        <v>600</v>
      </c>
      <c r="F332" s="13">
        <v>310</v>
      </c>
      <c r="G332" s="12">
        <v>33</v>
      </c>
      <c r="H332" s="14">
        <v>25</v>
      </c>
      <c r="I332" s="12">
        <f>IFERROR(IF(T_PROD[[#This Row],[PREVISTO]]-T_PROD[[#This Row],[EFETIVO]]&lt; 0,0,T_PROD[[#This Row],[PREVISTO]]-T_PROD[[#This Row],[EFETIVO]] ),"")</f>
        <v>8</v>
      </c>
      <c r="J332" s="15">
        <f>IFERROR(IF(T_PROD[[#This Row],[META]]&gt;0,(T_PROD[[#This Row],[META]]/T_PROD[[#This Row],[PREVISTO]]),""),"")</f>
        <v>18.181818181818183</v>
      </c>
      <c r="K332" s="15">
        <f>IFERROR(IF(T_PROD[[#This Row],[PRODUÇÃO]]&gt;0,(T_PROD[[#This Row],[PRODUÇÃO]]/T_PROD[[#This Row],[EFETIVO]]),""),"")</f>
        <v>12.4</v>
      </c>
    </row>
    <row r="333" spans="1:11" s="6" customFormat="1" x14ac:dyDescent="0.3">
      <c r="A333" s="11">
        <v>46077</v>
      </c>
      <c r="B333" s="12" t="str">
        <f t="shared" si="35"/>
        <v>FEVEREIRO</v>
      </c>
      <c r="C333" s="6" t="s">
        <v>32</v>
      </c>
      <c r="D333" s="12" t="s">
        <v>12</v>
      </c>
      <c r="E333" s="13">
        <v>80</v>
      </c>
      <c r="F333" s="13">
        <v>84</v>
      </c>
      <c r="G333" s="12">
        <v>8</v>
      </c>
      <c r="H333" s="14">
        <v>8</v>
      </c>
      <c r="I333" s="12">
        <f>IFERROR(IF(T_PROD[[#This Row],[PREVISTO]]-T_PROD[[#This Row],[EFETIVO]]&lt; 0,0,T_PROD[[#This Row],[PREVISTO]]-T_PROD[[#This Row],[EFETIVO]] ),"")</f>
        <v>0</v>
      </c>
      <c r="J333" s="15">
        <f>IFERROR(IF(T_PROD[[#This Row],[META]]&gt;0,(T_PROD[[#This Row],[META]]/T_PROD[[#This Row],[PREVISTO]]),""),"")</f>
        <v>10</v>
      </c>
      <c r="K333" s="15">
        <f>IFERROR(IF(T_PROD[[#This Row],[PRODUÇÃO]]&gt;0,(T_PROD[[#This Row],[PRODUÇÃO]]/T_PROD[[#This Row],[EFETIVO]]),""),"")</f>
        <v>10.5</v>
      </c>
    </row>
    <row r="334" spans="1:11" s="6" customFormat="1" x14ac:dyDescent="0.3">
      <c r="A334" s="11">
        <v>46077</v>
      </c>
      <c r="B334" s="12" t="str">
        <f t="shared" si="35"/>
        <v>FEVEREIRO</v>
      </c>
      <c r="C334" s="12" t="s">
        <v>14</v>
      </c>
      <c r="D334" s="12" t="s">
        <v>12</v>
      </c>
      <c r="E334" s="13">
        <v>660</v>
      </c>
      <c r="F334" s="13">
        <v>394</v>
      </c>
      <c r="G334" s="12">
        <v>89</v>
      </c>
      <c r="H334" s="14">
        <v>78</v>
      </c>
      <c r="I334" s="12">
        <f>IFERROR(IF(T_PROD[[#This Row],[PREVISTO]]-T_PROD[[#This Row],[EFETIVO]]&lt; 0,0,T_PROD[[#This Row],[PREVISTO]]-T_PROD[[#This Row],[EFETIVO]] ),"")</f>
        <v>11</v>
      </c>
      <c r="J334" s="15">
        <v>8.1999999999999993</v>
      </c>
      <c r="K334" s="15">
        <f>IFERROR(IF(T_PROD[[#This Row],[PRODUÇÃO]]&gt;0,(T_PROD[[#This Row],[PRODUÇÃO]]/T_PROD[[#This Row],[EFETIVO]]),""),"")</f>
        <v>5.0512820512820511</v>
      </c>
    </row>
    <row r="335" spans="1:11" s="6" customFormat="1" x14ac:dyDescent="0.3">
      <c r="A335" s="33">
        <v>46078</v>
      </c>
      <c r="B335" s="34" t="str">
        <f>UPPER(TEXT(A335,"MMMM"))</f>
        <v>FEVEREIRO</v>
      </c>
      <c r="C335" s="12" t="s">
        <v>15</v>
      </c>
      <c r="D335" s="12" t="s">
        <v>12</v>
      </c>
      <c r="E335" s="13">
        <v>60</v>
      </c>
      <c r="F335" s="35">
        <v>30</v>
      </c>
      <c r="G335" s="12">
        <v>4</v>
      </c>
      <c r="H335" s="36">
        <v>2</v>
      </c>
      <c r="I335" s="34">
        <f>IFERROR(IF(T_PROD[[#This Row],[PREVISTO]]-T_PROD[[#This Row],[EFETIVO]]&lt; 0,0,T_PROD[[#This Row],[PREVISTO]]-T_PROD[[#This Row],[EFETIVO]] ),"")</f>
        <v>2</v>
      </c>
      <c r="J335" s="15">
        <f>IFERROR(IF(T_PROD[[#This Row],[META]]&gt;0,(T_PROD[[#This Row],[META]]/T_PROD[[#This Row],[PREVISTO]]),""),"")</f>
        <v>15</v>
      </c>
      <c r="K335" s="15">
        <f>IFERROR(IF(T_PROD[[#This Row],[PRODUÇÃO]]&gt;0,(T_PROD[[#This Row],[PRODUÇÃO]]/T_PROD[[#This Row],[EFETIVO]]),""),"")</f>
        <v>15</v>
      </c>
    </row>
    <row r="336" spans="1:11" s="6" customFormat="1" x14ac:dyDescent="0.3">
      <c r="A336" s="33">
        <v>46078</v>
      </c>
      <c r="B336" s="34" t="str">
        <f t="shared" ref="B336:B343" si="36">UPPER(TEXT(A336,"MMMM"))</f>
        <v>FEVEREIRO</v>
      </c>
      <c r="C336" s="12" t="s">
        <v>16</v>
      </c>
      <c r="D336" s="12" t="s">
        <v>12</v>
      </c>
      <c r="E336" s="13">
        <v>204</v>
      </c>
      <c r="F336" s="35">
        <v>170</v>
      </c>
      <c r="G336" s="12">
        <v>6</v>
      </c>
      <c r="H336" s="36">
        <v>5</v>
      </c>
      <c r="I336" s="34">
        <f>IFERROR(IF(T_PROD[[#This Row],[PREVISTO]]-T_PROD[[#This Row],[EFETIVO]]&lt; 0,0,T_PROD[[#This Row],[PREVISTO]]-T_PROD[[#This Row],[EFETIVO]] ),"")</f>
        <v>1</v>
      </c>
      <c r="J336" s="15">
        <f>IFERROR(IF(T_PROD[[#This Row],[META]]&gt;0,(T_PROD[[#This Row],[META]]/T_PROD[[#This Row],[PREVISTO]]),""),"")</f>
        <v>34</v>
      </c>
      <c r="K336" s="15">
        <f>IFERROR(IF(T_PROD[[#This Row],[PRODUÇÃO]]&gt;0,(T_PROD[[#This Row],[PRODUÇÃO]]/T_PROD[[#This Row],[EFETIVO]]),""),"")</f>
        <v>34</v>
      </c>
    </row>
    <row r="337" spans="1:11" s="6" customFormat="1" x14ac:dyDescent="0.3">
      <c r="A337" s="33">
        <v>46078</v>
      </c>
      <c r="B337" s="34" t="str">
        <f t="shared" si="36"/>
        <v>FEVEREIRO</v>
      </c>
      <c r="C337" s="12" t="s">
        <v>17</v>
      </c>
      <c r="D337" s="12" t="s">
        <v>12</v>
      </c>
      <c r="E337" s="13">
        <v>128</v>
      </c>
      <c r="F337" s="35">
        <v>96</v>
      </c>
      <c r="G337" s="12">
        <v>8</v>
      </c>
      <c r="H337" s="36">
        <v>6</v>
      </c>
      <c r="I337" s="34">
        <f>IFERROR(IF(T_PROD[[#This Row],[PREVISTO]]-T_PROD[[#This Row],[EFETIVO]]&lt; 0,0,T_PROD[[#This Row],[PREVISTO]]-T_PROD[[#This Row],[EFETIVO]] ),"")</f>
        <v>2</v>
      </c>
      <c r="J337" s="15">
        <f>IFERROR(IF(T_PROD[[#This Row],[META]]&gt;0,(T_PROD[[#This Row],[META]]/T_PROD[[#This Row],[PREVISTO]]),""),"")</f>
        <v>16</v>
      </c>
      <c r="K337" s="15">
        <f>IFERROR(IF(T_PROD[[#This Row],[PRODUÇÃO]]&gt;0,(T_PROD[[#This Row],[PRODUÇÃO]]/T_PROD[[#This Row],[EFETIVO]]),""),"")</f>
        <v>16</v>
      </c>
    </row>
    <row r="338" spans="1:11" s="6" customFormat="1" x14ac:dyDescent="0.3">
      <c r="A338" s="33">
        <v>46078</v>
      </c>
      <c r="B338" s="34" t="str">
        <f t="shared" si="36"/>
        <v>FEVEREIRO</v>
      </c>
      <c r="C338" s="12" t="s">
        <v>18</v>
      </c>
      <c r="D338" s="12" t="s">
        <v>12</v>
      </c>
      <c r="E338" s="13">
        <v>110</v>
      </c>
      <c r="F338" s="35">
        <v>75</v>
      </c>
      <c r="G338" s="12">
        <v>6</v>
      </c>
      <c r="H338" s="36">
        <v>8</v>
      </c>
      <c r="I338" s="34">
        <f>IFERROR(IF(T_PROD[[#This Row],[PREVISTO]]-T_PROD[[#This Row],[EFETIVO]]&lt; 0,0,T_PROD[[#This Row],[PREVISTO]]-T_PROD[[#This Row],[EFETIVO]] ),"")</f>
        <v>0</v>
      </c>
      <c r="J338" s="15">
        <f>IFERROR(IF(T_PROD[[#This Row],[META]]&gt;0,(T_PROD[[#This Row],[META]]/T_PROD[[#This Row],[PREVISTO]]),""),"")</f>
        <v>18.333333333333332</v>
      </c>
      <c r="K338" s="15">
        <f>IFERROR(IF(T_PROD[[#This Row],[PRODUÇÃO]]&gt;0,(T_PROD[[#This Row],[PRODUÇÃO]]/T_PROD[[#This Row],[EFETIVO]]),""),"")</f>
        <v>9.375</v>
      </c>
    </row>
    <row r="339" spans="1:11" s="6" customFormat="1" x14ac:dyDescent="0.3">
      <c r="A339" s="33">
        <v>46078</v>
      </c>
      <c r="B339" s="34" t="str">
        <f t="shared" si="36"/>
        <v>FEVEREIRO</v>
      </c>
      <c r="C339" s="12" t="s">
        <v>19</v>
      </c>
      <c r="D339" s="12" t="s">
        <v>12</v>
      </c>
      <c r="E339" s="13">
        <v>100</v>
      </c>
      <c r="F339" s="35">
        <v>0</v>
      </c>
      <c r="G339" s="12">
        <v>11</v>
      </c>
      <c r="H339" s="36">
        <v>0</v>
      </c>
      <c r="I339" s="34">
        <f>IFERROR(IF(T_PROD[[#This Row],[PREVISTO]]-T_PROD[[#This Row],[EFETIVO]]&lt; 0,0,T_PROD[[#This Row],[PREVISTO]]-T_PROD[[#This Row],[EFETIVO]] ),"")</f>
        <v>11</v>
      </c>
      <c r="J339" s="15">
        <f>IFERROR(IF(T_PROD[[#This Row],[META]]&gt;0,(T_PROD[[#This Row],[META]]/T_PROD[[#This Row],[PREVISTO]]),""),"")</f>
        <v>9.0909090909090917</v>
      </c>
      <c r="K339" s="15" t="str">
        <f>IFERROR(IF(T_PROD[[#This Row],[PRODUÇÃO]]&gt;0,(T_PROD[[#This Row],[PRODUÇÃO]]/T_PROD[[#This Row],[EFETIVO]]),""),"")</f>
        <v/>
      </c>
    </row>
    <row r="340" spans="1:11" s="6" customFormat="1" x14ac:dyDescent="0.3">
      <c r="A340" s="33">
        <v>46078</v>
      </c>
      <c r="B340" s="34" t="str">
        <f t="shared" si="36"/>
        <v>FEVEREIRO</v>
      </c>
      <c r="C340" s="12" t="s">
        <v>20</v>
      </c>
      <c r="D340" s="12" t="s">
        <v>12</v>
      </c>
      <c r="E340" s="13">
        <v>486</v>
      </c>
      <c r="F340" s="35">
        <v>371</v>
      </c>
      <c r="G340" s="12">
        <v>92</v>
      </c>
      <c r="H340" s="36">
        <v>92</v>
      </c>
      <c r="I340" s="34">
        <f>IFERROR(IF(T_PROD[[#This Row],[PREVISTO]]-T_PROD[[#This Row],[EFETIVO]]&lt; 0,0,T_PROD[[#This Row],[PREVISTO]]-T_PROD[[#This Row],[EFETIVO]] ),"")</f>
        <v>0</v>
      </c>
      <c r="J340" s="15">
        <f>IFERROR(IF(T_PROD[[#This Row],[META]]&gt;0,(T_PROD[[#This Row],[META]]/T_PROD[[#This Row],[PREVISTO]]),""),"")</f>
        <v>5.2826086956521738</v>
      </c>
      <c r="K340" s="15">
        <f>IFERROR(IF(T_PROD[[#This Row],[PRODUÇÃO]]&gt;0,(T_PROD[[#This Row],[PRODUÇÃO]]/T_PROD[[#This Row],[EFETIVO]]),""),"")</f>
        <v>4.0326086956521738</v>
      </c>
    </row>
    <row r="341" spans="1:11" s="6" customFormat="1" x14ac:dyDescent="0.3">
      <c r="A341" s="33">
        <v>46078</v>
      </c>
      <c r="B341" s="34" t="str">
        <f t="shared" si="36"/>
        <v>FEVEREIRO</v>
      </c>
      <c r="C341" s="12" t="s">
        <v>11</v>
      </c>
      <c r="D341" s="12" t="s">
        <v>12</v>
      </c>
      <c r="E341" s="13">
        <v>600</v>
      </c>
      <c r="F341" s="35">
        <v>417</v>
      </c>
      <c r="G341" s="34">
        <v>33</v>
      </c>
      <c r="H341" s="36">
        <v>25</v>
      </c>
      <c r="I341" s="34">
        <f>IFERROR(IF(T_PROD[[#This Row],[PREVISTO]]-T_PROD[[#This Row],[EFETIVO]]&lt; 0,0,T_PROD[[#This Row],[PREVISTO]]-T_PROD[[#This Row],[EFETIVO]] ),"")</f>
        <v>8</v>
      </c>
      <c r="J341" s="15">
        <f>IFERROR(IF(T_PROD[[#This Row],[META]]&gt;0,(T_PROD[[#This Row],[META]]/T_PROD[[#This Row],[PREVISTO]]),""),"")</f>
        <v>18.181818181818183</v>
      </c>
      <c r="K341" s="15">
        <f>IFERROR(IF(T_PROD[[#This Row],[PRODUÇÃO]]&gt;0,(T_PROD[[#This Row],[PRODUÇÃO]]/T_PROD[[#This Row],[EFETIVO]]),""),"")</f>
        <v>16.68</v>
      </c>
    </row>
    <row r="342" spans="1:11" s="6" customFormat="1" x14ac:dyDescent="0.3">
      <c r="A342" s="33">
        <v>46078</v>
      </c>
      <c r="B342" s="34" t="str">
        <f t="shared" si="36"/>
        <v>FEVEREIRO</v>
      </c>
      <c r="C342" s="6" t="s">
        <v>32</v>
      </c>
      <c r="D342" s="12" t="s">
        <v>12</v>
      </c>
      <c r="E342" s="13">
        <v>90</v>
      </c>
      <c r="F342" s="35">
        <v>87</v>
      </c>
      <c r="G342" s="34">
        <v>9</v>
      </c>
      <c r="H342" s="36">
        <v>9</v>
      </c>
      <c r="I342" s="34">
        <f>IFERROR(IF(T_PROD[[#This Row],[PREVISTO]]-T_PROD[[#This Row],[EFETIVO]]&lt; 0,0,T_PROD[[#This Row],[PREVISTO]]-T_PROD[[#This Row],[EFETIVO]] ),"")</f>
        <v>0</v>
      </c>
      <c r="J342" s="15">
        <f>IFERROR(IF(T_PROD[[#This Row],[META]]&gt;0,(T_PROD[[#This Row],[META]]/T_PROD[[#This Row],[PREVISTO]]),""),"")</f>
        <v>10</v>
      </c>
      <c r="K342" s="15">
        <f>IFERROR(IF(T_PROD[[#This Row],[PRODUÇÃO]]&gt;0,(T_PROD[[#This Row],[PRODUÇÃO]]/T_PROD[[#This Row],[EFETIVO]]),""),"")</f>
        <v>9.6666666666666661</v>
      </c>
    </row>
    <row r="343" spans="1:11" s="6" customFormat="1" x14ac:dyDescent="0.3">
      <c r="A343" s="33">
        <v>46078</v>
      </c>
      <c r="B343" s="34" t="str">
        <f t="shared" si="36"/>
        <v>FEVEREIRO</v>
      </c>
      <c r="C343" s="12" t="s">
        <v>14</v>
      </c>
      <c r="D343" s="12" t="s">
        <v>12</v>
      </c>
      <c r="E343" s="13">
        <v>660</v>
      </c>
      <c r="F343" s="35">
        <v>504</v>
      </c>
      <c r="G343" s="34">
        <v>85</v>
      </c>
      <c r="H343" s="36">
        <v>78</v>
      </c>
      <c r="I343" s="34">
        <f>IFERROR(IF(T_PROD[[#This Row],[PREVISTO]]-T_PROD[[#This Row],[EFETIVO]]&lt; 0,0,T_PROD[[#This Row],[PREVISTO]]-T_PROD[[#This Row],[EFETIVO]] ),"")</f>
        <v>7</v>
      </c>
      <c r="J343" s="15">
        <v>8.1999999999999993</v>
      </c>
      <c r="K343" s="15">
        <f>IFERROR(IF(T_PROD[[#This Row],[PRODUÇÃO]]&gt;0,(T_PROD[[#This Row],[PRODUÇÃO]]/T_PROD[[#This Row],[EFETIVO]]),""),"")</f>
        <v>6.4615384615384617</v>
      </c>
    </row>
    <row r="344" spans="1:11" s="6" customFormat="1" x14ac:dyDescent="0.3">
      <c r="A344" s="33">
        <v>46079</v>
      </c>
      <c r="B344" s="34" t="str">
        <f>UPPER(TEXT(A344,"MMMM"))</f>
        <v>FEVEREIRO</v>
      </c>
      <c r="C344" s="12" t="s">
        <v>15</v>
      </c>
      <c r="D344" s="12" t="s">
        <v>12</v>
      </c>
      <c r="E344" s="13">
        <v>60</v>
      </c>
      <c r="F344" s="35">
        <v>45</v>
      </c>
      <c r="G344" s="12">
        <v>4</v>
      </c>
      <c r="H344" s="36">
        <v>4</v>
      </c>
      <c r="I344" s="34">
        <f>IFERROR(IF(T_PROD[[#This Row],[PREVISTO]]-T_PROD[[#This Row],[EFETIVO]]&lt; 0,0,T_PROD[[#This Row],[PREVISTO]]-T_PROD[[#This Row],[EFETIVO]] ),"")</f>
        <v>0</v>
      </c>
      <c r="J344" s="15">
        <f>IFERROR(IF(T_PROD[[#This Row],[META]]&gt;0,(T_PROD[[#This Row],[META]]/T_PROD[[#This Row],[PREVISTO]]),""),"")</f>
        <v>15</v>
      </c>
      <c r="K344" s="15">
        <f>IFERROR(IF(T_PROD[[#This Row],[PRODUÇÃO]]&gt;0,(T_PROD[[#This Row],[PRODUÇÃO]]/T_PROD[[#This Row],[EFETIVO]]),""),"")</f>
        <v>11.25</v>
      </c>
    </row>
    <row r="345" spans="1:11" s="6" customFormat="1" x14ac:dyDescent="0.3">
      <c r="A345" s="33">
        <v>46079</v>
      </c>
      <c r="B345" s="34" t="str">
        <f t="shared" ref="B345:B352" si="37">UPPER(TEXT(A345,"MMMM"))</f>
        <v>FEVEREIRO</v>
      </c>
      <c r="C345" s="12" t="s">
        <v>16</v>
      </c>
      <c r="D345" s="12" t="s">
        <v>12</v>
      </c>
      <c r="E345" s="13">
        <v>204</v>
      </c>
      <c r="F345" s="35">
        <v>152</v>
      </c>
      <c r="G345" s="12">
        <v>6</v>
      </c>
      <c r="H345" s="36">
        <v>5</v>
      </c>
      <c r="I345" s="34">
        <f>IFERROR(IF(T_PROD[[#This Row],[PREVISTO]]-T_PROD[[#This Row],[EFETIVO]]&lt; 0,0,T_PROD[[#This Row],[PREVISTO]]-T_PROD[[#This Row],[EFETIVO]] ),"")</f>
        <v>1</v>
      </c>
      <c r="J345" s="15">
        <f>IFERROR(IF(T_PROD[[#This Row],[META]]&gt;0,(T_PROD[[#This Row],[META]]/T_PROD[[#This Row],[PREVISTO]]),""),"")</f>
        <v>34</v>
      </c>
      <c r="K345" s="15">
        <f>IFERROR(IF(T_PROD[[#This Row],[PRODUÇÃO]]&gt;0,(T_PROD[[#This Row],[PRODUÇÃO]]/T_PROD[[#This Row],[EFETIVO]]),""),"")</f>
        <v>30.4</v>
      </c>
    </row>
    <row r="346" spans="1:11" s="6" customFormat="1" x14ac:dyDescent="0.3">
      <c r="A346" s="33">
        <v>46079</v>
      </c>
      <c r="B346" s="34" t="str">
        <f t="shared" si="37"/>
        <v>FEVEREIRO</v>
      </c>
      <c r="C346" s="12" t="s">
        <v>17</v>
      </c>
      <c r="D346" s="12" t="s">
        <v>12</v>
      </c>
      <c r="E346" s="13">
        <v>128</v>
      </c>
      <c r="F346" s="35">
        <v>41</v>
      </c>
      <c r="G346" s="12">
        <v>8</v>
      </c>
      <c r="H346" s="36">
        <v>6</v>
      </c>
      <c r="I346" s="34">
        <f>IFERROR(IF(T_PROD[[#This Row],[PREVISTO]]-T_PROD[[#This Row],[EFETIVO]]&lt; 0,0,T_PROD[[#This Row],[PREVISTO]]-T_PROD[[#This Row],[EFETIVO]] ),"")</f>
        <v>2</v>
      </c>
      <c r="J346" s="15">
        <f>IFERROR(IF(T_PROD[[#This Row],[META]]&gt;0,(T_PROD[[#This Row],[META]]/T_PROD[[#This Row],[PREVISTO]]),""),"")</f>
        <v>16</v>
      </c>
      <c r="K346" s="15">
        <f>IFERROR(IF(T_PROD[[#This Row],[PRODUÇÃO]]&gt;0,(T_PROD[[#This Row],[PRODUÇÃO]]/T_PROD[[#This Row],[EFETIVO]]),""),"")</f>
        <v>6.833333333333333</v>
      </c>
    </row>
    <row r="347" spans="1:11" s="6" customFormat="1" x14ac:dyDescent="0.3">
      <c r="A347" s="33">
        <v>46079</v>
      </c>
      <c r="B347" s="34" t="str">
        <f t="shared" si="37"/>
        <v>FEVEREIRO</v>
      </c>
      <c r="C347" s="12" t="s">
        <v>18</v>
      </c>
      <c r="D347" s="12" t="s">
        <v>12</v>
      </c>
      <c r="E347" s="13">
        <v>100</v>
      </c>
      <c r="F347" s="35">
        <v>0</v>
      </c>
      <c r="G347" s="12">
        <v>4</v>
      </c>
      <c r="H347" s="36">
        <v>0</v>
      </c>
      <c r="I347" s="34">
        <f>IFERROR(IF(T_PROD[[#This Row],[PREVISTO]]-T_PROD[[#This Row],[EFETIVO]]&lt; 0,0,T_PROD[[#This Row],[PREVISTO]]-T_PROD[[#This Row],[EFETIVO]] ),"")</f>
        <v>4</v>
      </c>
      <c r="J347" s="15">
        <f>IFERROR(IF(T_PROD[[#This Row],[META]]&gt;0,(T_PROD[[#This Row],[META]]/T_PROD[[#This Row],[PREVISTO]]),""),"")</f>
        <v>25</v>
      </c>
      <c r="K347" s="15" t="str">
        <f>IFERROR(IF(T_PROD[[#This Row],[PRODUÇÃO]]&gt;0,(T_PROD[[#This Row],[PRODUÇÃO]]/T_PROD[[#This Row],[EFETIVO]]),""),"")</f>
        <v/>
      </c>
    </row>
    <row r="348" spans="1:11" s="6" customFormat="1" x14ac:dyDescent="0.3">
      <c r="A348" s="33">
        <v>46079</v>
      </c>
      <c r="B348" s="34" t="str">
        <f t="shared" si="37"/>
        <v>FEVEREIRO</v>
      </c>
      <c r="C348" s="12" t="s">
        <v>19</v>
      </c>
      <c r="D348" s="12" t="s">
        <v>12</v>
      </c>
      <c r="E348" s="13">
        <v>100</v>
      </c>
      <c r="F348" s="35">
        <v>3</v>
      </c>
      <c r="G348" s="12">
        <v>11</v>
      </c>
      <c r="H348" s="36">
        <v>3</v>
      </c>
      <c r="I348" s="34">
        <f>IFERROR(IF(T_PROD[[#This Row],[PREVISTO]]-T_PROD[[#This Row],[EFETIVO]]&lt; 0,0,T_PROD[[#This Row],[PREVISTO]]-T_PROD[[#This Row],[EFETIVO]] ),"")</f>
        <v>8</v>
      </c>
      <c r="J348" s="15">
        <f>IFERROR(IF(T_PROD[[#This Row],[META]]&gt;0,(T_PROD[[#This Row],[META]]/T_PROD[[#This Row],[PREVISTO]]),""),"")</f>
        <v>9.0909090909090917</v>
      </c>
      <c r="K348" s="15">
        <f>IFERROR(IF(T_PROD[[#This Row],[PRODUÇÃO]]&gt;0,(T_PROD[[#This Row],[PRODUÇÃO]]/T_PROD[[#This Row],[EFETIVO]]),""),"")</f>
        <v>1</v>
      </c>
    </row>
    <row r="349" spans="1:11" s="6" customFormat="1" x14ac:dyDescent="0.3">
      <c r="A349" s="33">
        <v>46079</v>
      </c>
      <c r="B349" s="34" t="str">
        <f t="shared" si="37"/>
        <v>FEVEREIRO</v>
      </c>
      <c r="C349" s="12" t="s">
        <v>20</v>
      </c>
      <c r="D349" s="12" t="s">
        <v>12</v>
      </c>
      <c r="E349" s="13">
        <v>486</v>
      </c>
      <c r="F349" s="35">
        <v>241</v>
      </c>
      <c r="G349" s="12">
        <v>92</v>
      </c>
      <c r="H349" s="36">
        <v>90</v>
      </c>
      <c r="I349" s="34">
        <f>IFERROR(IF(T_PROD[[#This Row],[PREVISTO]]-T_PROD[[#This Row],[EFETIVO]]&lt; 0,0,T_PROD[[#This Row],[PREVISTO]]-T_PROD[[#This Row],[EFETIVO]] ),"")</f>
        <v>2</v>
      </c>
      <c r="J349" s="15">
        <f>IFERROR(IF(T_PROD[[#This Row],[META]]&gt;0,(T_PROD[[#This Row],[META]]/T_PROD[[#This Row],[PREVISTO]]),""),"")</f>
        <v>5.2826086956521738</v>
      </c>
      <c r="K349" s="15">
        <f>IFERROR(IF(T_PROD[[#This Row],[PRODUÇÃO]]&gt;0,(T_PROD[[#This Row],[PRODUÇÃO]]/T_PROD[[#This Row],[EFETIVO]]),""),"")</f>
        <v>2.6777777777777776</v>
      </c>
    </row>
    <row r="350" spans="1:11" s="6" customFormat="1" x14ac:dyDescent="0.3">
      <c r="A350" s="33">
        <v>46079</v>
      </c>
      <c r="B350" s="34" t="str">
        <f t="shared" si="37"/>
        <v>FEVEREIRO</v>
      </c>
      <c r="C350" s="12" t="s">
        <v>11</v>
      </c>
      <c r="D350" s="12" t="s">
        <v>12</v>
      </c>
      <c r="E350" s="13">
        <v>0</v>
      </c>
      <c r="F350" s="35">
        <v>0</v>
      </c>
      <c r="G350" s="34">
        <v>0</v>
      </c>
      <c r="H350" s="36">
        <v>0</v>
      </c>
      <c r="I350" s="34">
        <f>IFERROR(IF(T_PROD[[#This Row],[PREVISTO]]-T_PROD[[#This Row],[EFETIVO]]&lt; 0,0,T_PROD[[#This Row],[PREVISTO]]-T_PROD[[#This Row],[EFETIVO]] ),"")</f>
        <v>0</v>
      </c>
      <c r="J350" s="15" t="str">
        <f>IFERROR(IF(T_PROD[[#This Row],[META]]&gt;0,(T_PROD[[#This Row],[META]]/T_PROD[[#This Row],[PREVISTO]]),""),"")</f>
        <v/>
      </c>
      <c r="K350" s="15" t="str">
        <f>IFERROR(IF(T_PROD[[#This Row],[PRODUÇÃO]]&gt;0,(T_PROD[[#This Row],[PRODUÇÃO]]/T_PROD[[#This Row],[EFETIVO]]),""),"")</f>
        <v/>
      </c>
    </row>
    <row r="351" spans="1:11" s="6" customFormat="1" x14ac:dyDescent="0.3">
      <c r="A351" s="33">
        <v>46079</v>
      </c>
      <c r="B351" s="34" t="str">
        <f t="shared" si="37"/>
        <v>FEVEREIRO</v>
      </c>
      <c r="C351" s="6" t="s">
        <v>32</v>
      </c>
      <c r="D351" s="12" t="s">
        <v>12</v>
      </c>
      <c r="E351" s="13">
        <v>100</v>
      </c>
      <c r="F351" s="35">
        <v>93</v>
      </c>
      <c r="G351" s="34">
        <v>10</v>
      </c>
      <c r="H351" s="36">
        <v>10</v>
      </c>
      <c r="I351" s="34">
        <f>IFERROR(IF(T_PROD[[#This Row],[PREVISTO]]-T_PROD[[#This Row],[EFETIVO]]&lt; 0,0,T_PROD[[#This Row],[PREVISTO]]-T_PROD[[#This Row],[EFETIVO]] ),"")</f>
        <v>0</v>
      </c>
      <c r="J351" s="15">
        <f>IFERROR(IF(T_PROD[[#This Row],[META]]&gt;0,(T_PROD[[#This Row],[META]]/T_PROD[[#This Row],[PREVISTO]]),""),"")</f>
        <v>10</v>
      </c>
      <c r="K351" s="15">
        <f>IFERROR(IF(T_PROD[[#This Row],[PRODUÇÃO]]&gt;0,(T_PROD[[#This Row],[PRODUÇÃO]]/T_PROD[[#This Row],[EFETIVO]]),""),"")</f>
        <v>9.3000000000000007</v>
      </c>
    </row>
    <row r="352" spans="1:11" s="6" customFormat="1" x14ac:dyDescent="0.3">
      <c r="A352" s="33">
        <v>46079</v>
      </c>
      <c r="B352" s="34" t="str">
        <f t="shared" si="37"/>
        <v>FEVEREIRO</v>
      </c>
      <c r="C352" s="12" t="s">
        <v>14</v>
      </c>
      <c r="D352" s="12" t="s">
        <v>12</v>
      </c>
      <c r="E352" s="13">
        <v>100</v>
      </c>
      <c r="F352" s="35">
        <v>93</v>
      </c>
      <c r="G352" s="34">
        <v>85</v>
      </c>
      <c r="H352" s="36">
        <v>78</v>
      </c>
      <c r="I352" s="34">
        <f>IFERROR(IF(T_PROD[[#This Row],[PREVISTO]]-T_PROD[[#This Row],[EFETIVO]]&lt; 0,0,T_PROD[[#This Row],[PREVISTO]]-T_PROD[[#This Row],[EFETIVO]] ),"")</f>
        <v>7</v>
      </c>
      <c r="J352" s="15">
        <v>8.1999999999999993</v>
      </c>
      <c r="K352" s="15">
        <f>IFERROR(IF(T_PROD[[#This Row],[PRODUÇÃO]]&gt;0,(T_PROD[[#This Row],[PRODUÇÃO]]/T_PROD[[#This Row],[EFETIVO]]),""),"")</f>
        <v>1.1923076923076923</v>
      </c>
    </row>
    <row r="353" spans="1:11" s="6" customFormat="1" x14ac:dyDescent="0.3">
      <c r="A353" s="16"/>
      <c r="B353" s="17"/>
      <c r="C353" s="17"/>
      <c r="D353" s="17"/>
      <c r="E353" s="18"/>
      <c r="F353" s="18"/>
      <c r="G353" s="17"/>
      <c r="H353" s="19"/>
      <c r="I353" s="17"/>
      <c r="J353" s="20"/>
      <c r="K353" s="20"/>
    </row>
    <row r="354" spans="1:11" s="6" customFormat="1" x14ac:dyDescent="0.3">
      <c r="A354" s="16"/>
      <c r="B354" s="17"/>
      <c r="C354" s="17"/>
      <c r="D354" s="17"/>
      <c r="E354" s="18"/>
      <c r="F354" s="18"/>
      <c r="G354" s="17"/>
      <c r="H354" s="19"/>
      <c r="I354" s="17"/>
      <c r="J354" s="20"/>
      <c r="K354" s="20"/>
    </row>
    <row r="355" spans="1:11" s="6" customFormat="1" x14ac:dyDescent="0.3">
      <c r="A355" s="16"/>
      <c r="B355" s="17"/>
      <c r="C355" s="17"/>
      <c r="D355" s="17"/>
      <c r="E355" s="18"/>
      <c r="F355" s="18"/>
      <c r="G355" s="17"/>
      <c r="H355" s="19"/>
      <c r="I355" s="17"/>
      <c r="J355" s="20"/>
      <c r="K355" s="20"/>
    </row>
    <row r="356" spans="1:11" s="6" customFormat="1" x14ac:dyDescent="0.3">
      <c r="A356" s="16"/>
      <c r="B356" s="17"/>
      <c r="C356" s="17"/>
      <c r="D356" s="17"/>
      <c r="E356" s="18"/>
      <c r="F356" s="18"/>
      <c r="G356" s="17"/>
      <c r="H356" s="19"/>
      <c r="I356" s="17"/>
      <c r="J356" s="20"/>
      <c r="K356" s="20"/>
    </row>
    <row r="357" spans="1:11" s="6" customFormat="1" x14ac:dyDescent="0.3">
      <c r="A357" s="16"/>
      <c r="B357" s="17"/>
      <c r="C357" s="17"/>
      <c r="D357" s="17"/>
      <c r="E357" s="18"/>
      <c r="F357" s="18"/>
      <c r="G357" s="17"/>
      <c r="H357" s="19"/>
      <c r="I357" s="17"/>
      <c r="J357" s="20"/>
      <c r="K357" s="20"/>
    </row>
    <row r="358" spans="1:11" s="6" customFormat="1" x14ac:dyDescent="0.3">
      <c r="A358" s="16"/>
      <c r="B358" s="17"/>
      <c r="C358" s="17"/>
      <c r="D358" s="17"/>
      <c r="E358" s="18"/>
      <c r="F358" s="18"/>
      <c r="G358" s="17"/>
      <c r="H358" s="19"/>
      <c r="I358" s="17"/>
      <c r="J358" s="20"/>
      <c r="K358" s="20"/>
    </row>
    <row r="359" spans="1:11" s="6" customFormat="1" x14ac:dyDescent="0.3">
      <c r="A359" s="16"/>
      <c r="B359" s="17"/>
      <c r="C359" s="17"/>
      <c r="D359" s="17"/>
      <c r="E359" s="18"/>
      <c r="F359" s="18"/>
      <c r="G359" s="17"/>
      <c r="H359" s="19"/>
      <c r="I359" s="17"/>
      <c r="J359" s="20"/>
      <c r="K359" s="20"/>
    </row>
    <row r="360" spans="1:11" s="6" customFormat="1" x14ac:dyDescent="0.3">
      <c r="A360" s="16"/>
      <c r="B360" s="17"/>
      <c r="C360" s="17"/>
      <c r="D360" s="17"/>
      <c r="E360" s="18"/>
      <c r="F360" s="18"/>
      <c r="G360" s="17"/>
      <c r="H360" s="19"/>
      <c r="I360" s="17"/>
      <c r="J360" s="20"/>
      <c r="K360" s="20"/>
    </row>
    <row r="361" spans="1:11" s="6" customFormat="1" x14ac:dyDescent="0.3">
      <c r="A361" s="16"/>
      <c r="B361" s="17"/>
      <c r="C361" s="17"/>
      <c r="D361" s="17"/>
      <c r="E361" s="18"/>
      <c r="F361" s="18"/>
      <c r="G361" s="17"/>
      <c r="H361" s="19"/>
      <c r="I361" s="17"/>
      <c r="J361" s="20"/>
      <c r="K361" s="20"/>
    </row>
    <row r="362" spans="1:11" s="6" customFormat="1" x14ac:dyDescent="0.3">
      <c r="A362" s="16"/>
      <c r="B362" s="17"/>
      <c r="C362" s="17"/>
      <c r="D362" s="17"/>
      <c r="E362" s="18"/>
      <c r="F362" s="18"/>
      <c r="G362" s="17"/>
      <c r="H362" s="19"/>
      <c r="I362" s="17"/>
      <c r="J362" s="20"/>
      <c r="K362" s="20"/>
    </row>
    <row r="363" spans="1:11" s="6" customFormat="1" x14ac:dyDescent="0.3">
      <c r="A363" s="16"/>
      <c r="B363" s="17"/>
      <c r="C363" s="17"/>
      <c r="D363" s="17"/>
      <c r="E363" s="18"/>
      <c r="F363" s="18"/>
      <c r="G363" s="17"/>
      <c r="H363" s="19"/>
      <c r="I363" s="17"/>
      <c r="J363" s="20"/>
      <c r="K363" s="20"/>
    </row>
    <row r="364" spans="1:11" s="6" customFormat="1" x14ac:dyDescent="0.3">
      <c r="A364" s="16"/>
      <c r="B364" s="17"/>
      <c r="C364" s="17"/>
      <c r="D364" s="17"/>
      <c r="E364" s="18"/>
      <c r="F364" s="18"/>
      <c r="G364" s="17"/>
      <c r="H364" s="19"/>
      <c r="I364" s="17"/>
      <c r="J364" s="20"/>
      <c r="K364" s="20"/>
    </row>
    <row r="365" spans="1:11" s="6" customFormat="1" x14ac:dyDescent="0.3">
      <c r="A365" s="16"/>
      <c r="B365" s="17"/>
      <c r="C365" s="17"/>
      <c r="D365" s="17"/>
      <c r="E365" s="18"/>
      <c r="F365" s="18"/>
      <c r="G365" s="17"/>
      <c r="H365" s="19"/>
      <c r="I365" s="17"/>
      <c r="J365" s="20"/>
      <c r="K365" s="20"/>
    </row>
    <row r="366" spans="1:11" s="6" customFormat="1" x14ac:dyDescent="0.3">
      <c r="A366" s="16"/>
      <c r="B366" s="17"/>
      <c r="C366" s="17"/>
      <c r="D366" s="17"/>
      <c r="E366" s="18"/>
      <c r="F366" s="18"/>
      <c r="G366" s="17"/>
      <c r="H366" s="19"/>
      <c r="I366" s="17"/>
      <c r="J366" s="20"/>
      <c r="K366" s="20"/>
    </row>
    <row r="367" spans="1:11" s="6" customFormat="1" x14ac:dyDescent="0.3">
      <c r="A367" s="16"/>
      <c r="B367" s="17"/>
      <c r="C367" s="17"/>
      <c r="D367" s="17"/>
      <c r="E367" s="18"/>
      <c r="F367" s="18"/>
      <c r="G367" s="17"/>
      <c r="H367" s="19"/>
      <c r="I367" s="17"/>
      <c r="J367" s="20"/>
      <c r="K367" s="20"/>
    </row>
    <row r="368" spans="1:11" s="6" customFormat="1" x14ac:dyDescent="0.3">
      <c r="A368" s="16"/>
      <c r="B368" s="17"/>
      <c r="C368" s="17"/>
      <c r="D368" s="17"/>
      <c r="E368" s="18"/>
      <c r="F368" s="18"/>
      <c r="G368" s="17"/>
      <c r="H368" s="19"/>
      <c r="I368" s="17"/>
      <c r="J368" s="20"/>
      <c r="K368" s="20"/>
    </row>
    <row r="369" spans="1:11" s="6" customFormat="1" x14ac:dyDescent="0.3">
      <c r="A369" s="16"/>
      <c r="B369" s="17"/>
      <c r="C369" s="17"/>
      <c r="D369" s="17"/>
      <c r="E369" s="18"/>
      <c r="F369" s="18"/>
      <c r="G369" s="17"/>
      <c r="H369" s="19"/>
      <c r="I369" s="17"/>
      <c r="J369" s="20"/>
      <c r="K369" s="20"/>
    </row>
    <row r="370" spans="1:11" s="6" customFormat="1" x14ac:dyDescent="0.3">
      <c r="A370" s="16"/>
      <c r="B370" s="17"/>
      <c r="C370" s="17"/>
      <c r="D370" s="17"/>
      <c r="E370" s="18"/>
      <c r="F370" s="18"/>
      <c r="G370" s="17"/>
      <c r="H370" s="19"/>
      <c r="I370" s="17"/>
      <c r="J370" s="20"/>
      <c r="K370" s="20"/>
    </row>
    <row r="371" spans="1:11" s="6" customFormat="1" x14ac:dyDescent="0.3">
      <c r="A371" s="16"/>
      <c r="B371" s="17"/>
      <c r="C371" s="17"/>
      <c r="D371" s="17"/>
      <c r="E371" s="18"/>
      <c r="F371" s="18"/>
      <c r="G371" s="17"/>
      <c r="H371" s="19"/>
      <c r="I371" s="17"/>
      <c r="J371" s="20"/>
      <c r="K371" s="20"/>
    </row>
    <row r="372" spans="1:11" s="6" customFormat="1" x14ac:dyDescent="0.3">
      <c r="A372" s="16"/>
      <c r="B372" s="17"/>
      <c r="C372" s="17"/>
      <c r="D372" s="17"/>
      <c r="E372" s="18"/>
      <c r="F372" s="18"/>
      <c r="G372" s="17"/>
      <c r="H372" s="19"/>
      <c r="I372" s="17"/>
      <c r="J372" s="20"/>
      <c r="K372" s="20"/>
    </row>
    <row r="373" spans="1:11" s="6" customFormat="1" x14ac:dyDescent="0.3">
      <c r="A373" s="16"/>
      <c r="B373" s="17"/>
      <c r="C373" s="17"/>
      <c r="D373" s="17"/>
      <c r="E373" s="18"/>
      <c r="F373" s="18"/>
      <c r="G373" s="17"/>
      <c r="H373" s="19"/>
      <c r="I373" s="17"/>
      <c r="J373" s="20"/>
      <c r="K373" s="20"/>
    </row>
    <row r="374" spans="1:11" s="6" customFormat="1" x14ac:dyDescent="0.3">
      <c r="A374" s="16"/>
      <c r="B374" s="17"/>
      <c r="C374" s="17"/>
      <c r="D374" s="17"/>
      <c r="E374" s="18"/>
      <c r="F374" s="18"/>
      <c r="G374" s="17"/>
      <c r="H374" s="19"/>
      <c r="I374" s="17"/>
      <c r="J374" s="20"/>
      <c r="K374" s="20"/>
    </row>
    <row r="375" spans="1:11" s="6" customFormat="1" x14ac:dyDescent="0.3">
      <c r="A375" s="16"/>
      <c r="B375" s="17"/>
      <c r="C375" s="17"/>
      <c r="D375" s="17"/>
      <c r="E375" s="18"/>
      <c r="F375" s="18"/>
      <c r="G375" s="17"/>
      <c r="H375" s="19"/>
      <c r="I375" s="17"/>
      <c r="J375" s="20"/>
      <c r="K375" s="20"/>
    </row>
    <row r="376" spans="1:11" s="6" customFormat="1" x14ac:dyDescent="0.3">
      <c r="A376" s="16"/>
      <c r="B376" s="17"/>
      <c r="C376" s="17"/>
      <c r="D376" s="17"/>
      <c r="E376" s="18"/>
      <c r="F376" s="18"/>
      <c r="G376" s="17"/>
      <c r="H376" s="19"/>
      <c r="I376" s="17"/>
      <c r="J376" s="20"/>
      <c r="K376" s="20"/>
    </row>
    <row r="377" spans="1:11" s="6" customFormat="1" x14ac:dyDescent="0.3">
      <c r="A377" s="16"/>
      <c r="B377" s="17"/>
      <c r="C377" s="17"/>
      <c r="D377" s="17"/>
      <c r="E377" s="18"/>
      <c r="F377" s="18"/>
      <c r="G377" s="17"/>
      <c r="H377" s="19"/>
      <c r="I377" s="17"/>
      <c r="J377" s="20"/>
      <c r="K377" s="20"/>
    </row>
    <row r="378" spans="1:11" s="6" customFormat="1" x14ac:dyDescent="0.3">
      <c r="A378" s="16"/>
      <c r="B378" s="17"/>
      <c r="C378" s="17"/>
      <c r="D378" s="17"/>
      <c r="E378" s="18"/>
      <c r="F378" s="18"/>
      <c r="G378" s="17"/>
      <c r="H378" s="19"/>
      <c r="I378" s="17"/>
      <c r="J378" s="20"/>
      <c r="K378" s="20"/>
    </row>
    <row r="379" spans="1:11" s="6" customFormat="1" x14ac:dyDescent="0.3">
      <c r="A379" s="16"/>
      <c r="B379" s="17"/>
      <c r="C379" s="17"/>
      <c r="D379" s="17"/>
      <c r="E379" s="18"/>
      <c r="F379" s="18"/>
      <c r="G379" s="17"/>
      <c r="H379" s="19"/>
      <c r="I379" s="17"/>
      <c r="J379" s="20"/>
      <c r="K379" s="20"/>
    </row>
    <row r="380" spans="1:11" s="6" customFormat="1" x14ac:dyDescent="0.3">
      <c r="A380" s="16"/>
      <c r="B380" s="17"/>
      <c r="C380" s="17"/>
      <c r="D380" s="17"/>
      <c r="E380" s="18"/>
      <c r="F380" s="18"/>
      <c r="G380" s="17"/>
      <c r="H380" s="19"/>
      <c r="I380" s="17"/>
      <c r="J380" s="20"/>
      <c r="K380" s="20"/>
    </row>
    <row r="381" spans="1:11" s="6" customFormat="1" x14ac:dyDescent="0.3">
      <c r="A381" s="16"/>
      <c r="B381" s="17"/>
      <c r="C381" s="17"/>
      <c r="D381" s="17"/>
      <c r="E381" s="18"/>
      <c r="F381" s="18"/>
      <c r="G381" s="17"/>
      <c r="H381" s="19"/>
      <c r="I381" s="17"/>
      <c r="J381" s="20"/>
      <c r="K381" s="20"/>
    </row>
    <row r="382" spans="1:11" s="6" customFormat="1" x14ac:dyDescent="0.3">
      <c r="A382" s="16"/>
      <c r="B382" s="17"/>
      <c r="C382" s="17"/>
      <c r="D382" s="17"/>
      <c r="E382" s="18"/>
      <c r="F382" s="18"/>
      <c r="G382" s="17"/>
      <c r="H382" s="19"/>
      <c r="I382" s="17"/>
      <c r="J382" s="20"/>
      <c r="K382" s="20"/>
    </row>
    <row r="383" spans="1:11" s="6" customFormat="1" x14ac:dyDescent="0.3">
      <c r="A383" s="7"/>
      <c r="E383" s="8"/>
      <c r="F383" s="8"/>
      <c r="H383" s="9"/>
      <c r="J383" s="10"/>
      <c r="K383" s="10"/>
    </row>
    <row r="384" spans="1:11" s="6" customFormat="1" x14ac:dyDescent="0.3">
      <c r="A384" s="7"/>
      <c r="E384" s="8"/>
      <c r="F384" s="8"/>
      <c r="H384" s="9"/>
      <c r="J384" s="10"/>
      <c r="K384" s="10"/>
    </row>
    <row r="385" spans="1:11" s="6" customFormat="1" x14ac:dyDescent="0.3">
      <c r="A385" s="7"/>
      <c r="E385" s="8"/>
      <c r="F385" s="8"/>
      <c r="H385" s="9"/>
      <c r="J385" s="10"/>
      <c r="K385" s="10"/>
    </row>
    <row r="386" spans="1:11" s="6" customFormat="1" x14ac:dyDescent="0.3">
      <c r="A386" s="7"/>
      <c r="E386" s="8"/>
      <c r="F386" s="8"/>
      <c r="H386" s="9"/>
      <c r="J386" s="10"/>
      <c r="K386" s="10"/>
    </row>
    <row r="387" spans="1:11" s="6" customFormat="1" x14ac:dyDescent="0.3">
      <c r="A387" s="7"/>
      <c r="E387" s="8"/>
      <c r="F387" s="8"/>
      <c r="H387" s="9"/>
      <c r="J387" s="10"/>
      <c r="K387" s="10"/>
    </row>
    <row r="388" spans="1:11" s="6" customFormat="1" x14ac:dyDescent="0.3">
      <c r="A388" s="7"/>
      <c r="E388" s="8"/>
      <c r="F388" s="8"/>
      <c r="H388" s="9"/>
      <c r="J388" s="10"/>
      <c r="K388" s="10"/>
    </row>
    <row r="389" spans="1:11" s="6" customFormat="1" x14ac:dyDescent="0.3">
      <c r="A389" s="7"/>
      <c r="E389" s="8"/>
      <c r="F389" s="8"/>
      <c r="H389" s="9"/>
      <c r="J389" s="10"/>
      <c r="K389" s="10"/>
    </row>
    <row r="390" spans="1:11" s="6" customFormat="1" x14ac:dyDescent="0.3">
      <c r="A390" s="7"/>
      <c r="E390" s="8"/>
      <c r="F390" s="8"/>
      <c r="H390" s="9"/>
      <c r="J390" s="10"/>
      <c r="K390" s="10"/>
    </row>
    <row r="391" spans="1:11" s="6" customFormat="1" x14ac:dyDescent="0.3">
      <c r="A391" s="7"/>
      <c r="E391" s="8"/>
      <c r="F391" s="8"/>
      <c r="H391" s="9"/>
      <c r="J391" s="10"/>
      <c r="K391" s="10"/>
    </row>
    <row r="392" spans="1:11" s="6" customFormat="1" x14ac:dyDescent="0.3">
      <c r="A392" s="7"/>
      <c r="E392" s="8"/>
      <c r="F392" s="8"/>
      <c r="H392" s="9"/>
      <c r="J392" s="10"/>
      <c r="K392" s="10"/>
    </row>
    <row r="393" spans="1:11" s="6" customFormat="1" x14ac:dyDescent="0.3">
      <c r="A393" s="7"/>
      <c r="E393" s="8"/>
      <c r="F393" s="8"/>
      <c r="H393" s="9"/>
      <c r="J393" s="10"/>
      <c r="K393" s="10"/>
    </row>
    <row r="394" spans="1:11" s="6" customFormat="1" x14ac:dyDescent="0.3">
      <c r="A394" s="7"/>
      <c r="E394" s="8"/>
      <c r="F394" s="8"/>
      <c r="H394" s="9"/>
      <c r="J394" s="10"/>
      <c r="K394" s="10"/>
    </row>
    <row r="395" spans="1:11" s="6" customFormat="1" x14ac:dyDescent="0.3">
      <c r="A395" s="7"/>
      <c r="E395" s="8"/>
      <c r="F395" s="8"/>
      <c r="H395" s="9"/>
      <c r="J395" s="10"/>
      <c r="K395" s="10"/>
    </row>
    <row r="396" spans="1:11" s="6" customFormat="1" x14ac:dyDescent="0.3">
      <c r="A396" s="7"/>
      <c r="E396" s="8"/>
      <c r="F396" s="8"/>
      <c r="H396" s="9"/>
      <c r="J396" s="10"/>
      <c r="K396" s="10"/>
    </row>
    <row r="397" spans="1:11" s="6" customFormat="1" x14ac:dyDescent="0.3">
      <c r="A397" s="7"/>
      <c r="E397" s="8"/>
      <c r="F397" s="8"/>
      <c r="H397" s="9"/>
      <c r="J397" s="10"/>
      <c r="K397" s="10"/>
    </row>
    <row r="398" spans="1:11" s="6" customFormat="1" x14ac:dyDescent="0.3">
      <c r="A398" s="7"/>
      <c r="E398" s="8"/>
      <c r="F398" s="8"/>
      <c r="H398" s="9"/>
      <c r="J398" s="10"/>
      <c r="K398" s="10"/>
    </row>
    <row r="399" spans="1:11" s="6" customFormat="1" x14ac:dyDescent="0.3">
      <c r="A399" s="7"/>
      <c r="E399" s="8"/>
      <c r="F399" s="8"/>
      <c r="H399" s="9"/>
      <c r="J399" s="10"/>
      <c r="K399" s="10"/>
    </row>
    <row r="400" spans="1:11" s="6" customFormat="1" x14ac:dyDescent="0.3">
      <c r="A400" s="7"/>
      <c r="E400" s="8"/>
      <c r="F400" s="8"/>
      <c r="H400" s="9"/>
      <c r="J400" s="10"/>
      <c r="K400" s="10"/>
    </row>
    <row r="401" spans="1:11" s="6" customFormat="1" x14ac:dyDescent="0.3">
      <c r="A401" s="7"/>
      <c r="E401" s="8"/>
      <c r="F401" s="8"/>
      <c r="H401" s="9"/>
      <c r="J401" s="10"/>
      <c r="K401" s="10"/>
    </row>
    <row r="402" spans="1:11" s="6" customFormat="1" x14ac:dyDescent="0.3">
      <c r="A402" s="7"/>
      <c r="E402" s="8"/>
      <c r="F402" s="8"/>
      <c r="H402" s="9"/>
      <c r="J402" s="10"/>
      <c r="K402" s="10"/>
    </row>
    <row r="403" spans="1:11" s="6" customFormat="1" x14ac:dyDescent="0.3">
      <c r="A403" s="7"/>
      <c r="E403" s="8"/>
      <c r="F403" s="8"/>
      <c r="H403" s="9"/>
      <c r="J403" s="10"/>
      <c r="K403" s="10"/>
    </row>
    <row r="404" spans="1:11" s="6" customFormat="1" x14ac:dyDescent="0.3">
      <c r="A404" s="7"/>
      <c r="E404" s="8"/>
      <c r="F404" s="8"/>
      <c r="H404" s="9"/>
      <c r="J404" s="10"/>
      <c r="K404" s="10"/>
    </row>
    <row r="405" spans="1:11" s="6" customFormat="1" x14ac:dyDescent="0.3">
      <c r="A405" s="7"/>
      <c r="E405" s="8"/>
      <c r="F405" s="8"/>
      <c r="H405" s="9"/>
      <c r="J405" s="10"/>
      <c r="K405" s="10"/>
    </row>
    <row r="406" spans="1:11" s="6" customFormat="1" x14ac:dyDescent="0.3">
      <c r="A406" s="7"/>
      <c r="E406" s="8"/>
      <c r="F406" s="8"/>
      <c r="H406" s="9"/>
      <c r="J406" s="10"/>
      <c r="K406" s="10"/>
    </row>
    <row r="407" spans="1:11" s="6" customFormat="1" x14ac:dyDescent="0.3">
      <c r="A407" s="7"/>
      <c r="E407" s="8"/>
      <c r="F407" s="8"/>
      <c r="H407" s="9"/>
      <c r="J407" s="10"/>
      <c r="K407" s="10"/>
    </row>
    <row r="408" spans="1:11" s="6" customFormat="1" x14ac:dyDescent="0.3">
      <c r="A408" s="7"/>
      <c r="E408" s="8"/>
      <c r="F408" s="8"/>
      <c r="H408" s="9"/>
      <c r="J408" s="10"/>
      <c r="K408" s="10"/>
    </row>
    <row r="409" spans="1:11" s="6" customFormat="1" x14ac:dyDescent="0.3">
      <c r="A409" s="7"/>
      <c r="E409" s="8"/>
      <c r="F409" s="8"/>
      <c r="H409" s="9"/>
      <c r="J409" s="10"/>
      <c r="K409" s="10"/>
    </row>
    <row r="410" spans="1:11" s="6" customFormat="1" x14ac:dyDescent="0.3">
      <c r="A410" s="7"/>
      <c r="E410" s="8"/>
      <c r="F410" s="8"/>
      <c r="H410" s="9"/>
      <c r="J410" s="10"/>
      <c r="K410" s="10"/>
    </row>
    <row r="411" spans="1:11" s="6" customFormat="1" x14ac:dyDescent="0.3">
      <c r="A411" s="7"/>
      <c r="E411" s="8"/>
      <c r="F411" s="8"/>
      <c r="H411" s="9"/>
      <c r="J411" s="10"/>
      <c r="K411" s="10"/>
    </row>
    <row r="412" spans="1:11" s="6" customFormat="1" x14ac:dyDescent="0.3">
      <c r="A412" s="7"/>
      <c r="E412" s="8"/>
      <c r="F412" s="8"/>
      <c r="H412" s="9"/>
      <c r="J412" s="10"/>
      <c r="K412" s="10"/>
    </row>
    <row r="413" spans="1:11" s="6" customFormat="1" x14ac:dyDescent="0.3">
      <c r="A413" s="7"/>
      <c r="E413" s="8"/>
      <c r="F413" s="8"/>
      <c r="H413" s="9"/>
      <c r="J413" s="10"/>
      <c r="K413" s="10"/>
    </row>
    <row r="414" spans="1:11" s="6" customFormat="1" x14ac:dyDescent="0.3">
      <c r="A414" s="7"/>
      <c r="E414" s="8"/>
      <c r="F414" s="8"/>
      <c r="H414" s="9"/>
      <c r="J414" s="10"/>
      <c r="K414" s="10"/>
    </row>
    <row r="415" spans="1:11" s="6" customFormat="1" x14ac:dyDescent="0.3">
      <c r="A415" s="7"/>
      <c r="E415" s="8"/>
      <c r="F415" s="8"/>
      <c r="H415" s="9"/>
      <c r="J415" s="10"/>
      <c r="K415" s="10"/>
    </row>
    <row r="416" spans="1:11" s="6" customFormat="1" x14ac:dyDescent="0.3">
      <c r="A416" s="7"/>
      <c r="E416" s="8"/>
      <c r="F416" s="8"/>
      <c r="H416" s="9"/>
      <c r="J416" s="10"/>
      <c r="K416" s="10"/>
    </row>
    <row r="417" spans="1:11" s="6" customFormat="1" x14ac:dyDescent="0.3">
      <c r="A417" s="7"/>
      <c r="E417" s="8"/>
      <c r="F417" s="8"/>
      <c r="H417" s="9"/>
      <c r="J417" s="10"/>
      <c r="K417" s="10"/>
    </row>
    <row r="418" spans="1:11" s="6" customFormat="1" x14ac:dyDescent="0.3">
      <c r="A418" s="7"/>
      <c r="E418" s="8"/>
      <c r="F418" s="8"/>
      <c r="H418" s="9"/>
      <c r="J418" s="10"/>
      <c r="K418" s="10"/>
    </row>
    <row r="419" spans="1:11" s="6" customFormat="1" x14ac:dyDescent="0.3">
      <c r="A419" s="7"/>
      <c r="E419" s="8"/>
      <c r="F419" s="8"/>
      <c r="H419" s="9"/>
      <c r="J419" s="10"/>
      <c r="K419" s="10"/>
    </row>
    <row r="420" spans="1:11" s="6" customFormat="1" x14ac:dyDescent="0.3">
      <c r="A420" s="7"/>
      <c r="E420" s="8"/>
      <c r="F420" s="8"/>
      <c r="H420" s="9"/>
      <c r="J420" s="10"/>
      <c r="K420" s="10"/>
    </row>
    <row r="421" spans="1:11" s="6" customFormat="1" x14ac:dyDescent="0.3">
      <c r="A421" s="7"/>
      <c r="E421" s="8"/>
      <c r="F421" s="8"/>
      <c r="H421" s="9"/>
      <c r="J421" s="10"/>
      <c r="K421" s="10"/>
    </row>
    <row r="422" spans="1:11" s="6" customFormat="1" x14ac:dyDescent="0.3">
      <c r="A422" s="7"/>
      <c r="E422" s="8"/>
      <c r="F422" s="8"/>
      <c r="H422" s="9"/>
      <c r="J422" s="10"/>
      <c r="K422" s="10"/>
    </row>
    <row r="423" spans="1:11" s="6" customFormat="1" x14ac:dyDescent="0.3">
      <c r="A423" s="7"/>
      <c r="E423" s="8"/>
      <c r="F423" s="8"/>
      <c r="H423" s="9"/>
      <c r="J423" s="10"/>
      <c r="K423" s="10"/>
    </row>
    <row r="424" spans="1:11" s="6" customFormat="1" x14ac:dyDescent="0.3">
      <c r="A424" s="7"/>
      <c r="E424" s="8"/>
      <c r="F424" s="8"/>
      <c r="H424" s="9"/>
      <c r="J424" s="10"/>
      <c r="K424" s="10"/>
    </row>
    <row r="425" spans="1:11" s="6" customFormat="1" x14ac:dyDescent="0.3">
      <c r="A425" s="7"/>
      <c r="E425" s="8"/>
      <c r="F425" s="8"/>
      <c r="H425" s="9"/>
      <c r="J425" s="10"/>
      <c r="K425" s="10"/>
    </row>
    <row r="426" spans="1:11" s="6" customFormat="1" x14ac:dyDescent="0.3">
      <c r="A426" s="7"/>
      <c r="E426" s="8"/>
      <c r="F426" s="8"/>
      <c r="H426" s="9"/>
      <c r="J426" s="10"/>
      <c r="K426" s="10"/>
    </row>
    <row r="427" spans="1:11" s="6" customFormat="1" x14ac:dyDescent="0.3">
      <c r="A427" s="7"/>
      <c r="E427" s="8"/>
      <c r="F427" s="8"/>
      <c r="H427" s="9"/>
      <c r="J427" s="10"/>
      <c r="K427" s="10"/>
    </row>
    <row r="428" spans="1:11" s="6" customFormat="1" x14ac:dyDescent="0.3">
      <c r="A428" s="7"/>
      <c r="E428" s="8"/>
      <c r="F428" s="8"/>
      <c r="H428" s="9"/>
      <c r="J428" s="10"/>
      <c r="K428" s="10"/>
    </row>
    <row r="429" spans="1:11" s="6" customFormat="1" x14ac:dyDescent="0.3">
      <c r="A429" s="7"/>
      <c r="E429" s="8"/>
      <c r="F429" s="8"/>
      <c r="H429" s="9"/>
      <c r="J429" s="10"/>
      <c r="K429" s="10"/>
    </row>
    <row r="430" spans="1:11" s="6" customFormat="1" x14ac:dyDescent="0.3">
      <c r="A430" s="7"/>
      <c r="E430" s="8"/>
      <c r="F430" s="8"/>
      <c r="H430" s="9"/>
      <c r="J430" s="10"/>
      <c r="K430" s="10"/>
    </row>
    <row r="431" spans="1:11" s="6" customFormat="1" x14ac:dyDescent="0.3">
      <c r="A431" s="7"/>
      <c r="E431" s="8"/>
      <c r="F431" s="8"/>
      <c r="H431" s="9"/>
      <c r="J431" s="10"/>
      <c r="K431" s="10"/>
    </row>
    <row r="432" spans="1:11" s="6" customFormat="1" x14ac:dyDescent="0.3">
      <c r="A432" s="7"/>
      <c r="E432" s="8"/>
      <c r="F432" s="8"/>
      <c r="H432" s="9"/>
      <c r="J432" s="10"/>
      <c r="K432" s="10"/>
    </row>
    <row r="433" spans="1:11" s="6" customFormat="1" x14ac:dyDescent="0.3">
      <c r="A433" s="7"/>
      <c r="E433" s="8"/>
      <c r="F433" s="8"/>
      <c r="H433" s="9"/>
      <c r="J433" s="10"/>
      <c r="K433" s="10"/>
    </row>
    <row r="434" spans="1:11" s="6" customFormat="1" x14ac:dyDescent="0.3">
      <c r="A434" s="7"/>
      <c r="E434" s="8"/>
      <c r="F434" s="8"/>
      <c r="H434" s="9"/>
      <c r="J434" s="10"/>
      <c r="K434" s="10"/>
    </row>
    <row r="435" spans="1:11" s="6" customFormat="1" x14ac:dyDescent="0.3">
      <c r="A435" s="7"/>
      <c r="E435" s="8"/>
      <c r="F435" s="8"/>
      <c r="H435" s="9"/>
      <c r="J435" s="10"/>
      <c r="K435" s="10"/>
    </row>
    <row r="436" spans="1:11" s="6" customFormat="1" x14ac:dyDescent="0.3">
      <c r="A436" s="7"/>
      <c r="E436" s="8"/>
      <c r="F436" s="8"/>
      <c r="H436" s="9"/>
      <c r="J436" s="10"/>
      <c r="K436" s="10"/>
    </row>
    <row r="437" spans="1:11" s="6" customFormat="1" x14ac:dyDescent="0.3">
      <c r="A437" s="7"/>
      <c r="E437" s="8"/>
      <c r="F437" s="8"/>
      <c r="H437" s="9"/>
      <c r="J437" s="10"/>
      <c r="K437" s="10"/>
    </row>
    <row r="438" spans="1:11" s="6" customFormat="1" x14ac:dyDescent="0.3">
      <c r="A438" s="7"/>
      <c r="E438" s="8"/>
      <c r="F438" s="8"/>
      <c r="H438" s="9"/>
      <c r="J438" s="10"/>
      <c r="K438" s="10"/>
    </row>
    <row r="439" spans="1:11" s="6" customFormat="1" x14ac:dyDescent="0.3">
      <c r="A439" s="7"/>
      <c r="E439" s="8"/>
      <c r="F439" s="8"/>
      <c r="H439" s="9"/>
      <c r="J439" s="10"/>
      <c r="K439" s="10"/>
    </row>
    <row r="440" spans="1:11" s="6" customFormat="1" x14ac:dyDescent="0.3">
      <c r="A440" s="7"/>
      <c r="E440" s="8"/>
      <c r="F440" s="8"/>
      <c r="H440" s="9"/>
      <c r="J440" s="10"/>
      <c r="K440" s="10"/>
    </row>
    <row r="441" spans="1:11" s="6" customFormat="1" x14ac:dyDescent="0.3">
      <c r="A441" s="7"/>
      <c r="E441" s="8"/>
      <c r="F441" s="8"/>
      <c r="H441" s="9"/>
      <c r="J441" s="10"/>
      <c r="K441" s="10"/>
    </row>
    <row r="442" spans="1:11" s="6" customFormat="1" x14ac:dyDescent="0.3">
      <c r="A442" s="7"/>
      <c r="E442" s="8"/>
      <c r="F442" s="8"/>
      <c r="H442" s="9"/>
      <c r="J442" s="10"/>
      <c r="K442" s="10"/>
    </row>
    <row r="443" spans="1:11" s="6" customFormat="1" x14ac:dyDescent="0.3">
      <c r="A443" s="7"/>
      <c r="E443" s="8"/>
      <c r="F443" s="8"/>
      <c r="H443" s="9"/>
      <c r="J443" s="10"/>
      <c r="K443" s="10"/>
    </row>
    <row r="444" spans="1:11" s="6" customFormat="1" x14ac:dyDescent="0.3">
      <c r="A444" s="7"/>
      <c r="E444" s="8"/>
      <c r="F444" s="8"/>
      <c r="H444" s="9"/>
      <c r="J444" s="10"/>
      <c r="K444" s="10"/>
    </row>
    <row r="445" spans="1:11" s="6" customFormat="1" x14ac:dyDescent="0.3">
      <c r="A445" s="7"/>
      <c r="E445" s="8"/>
      <c r="F445" s="8"/>
      <c r="H445" s="9"/>
      <c r="J445" s="10"/>
      <c r="K445" s="10"/>
    </row>
    <row r="446" spans="1:11" s="6" customFormat="1" x14ac:dyDescent="0.3">
      <c r="A446" s="7"/>
      <c r="E446" s="8"/>
      <c r="F446" s="8"/>
      <c r="H446" s="9"/>
      <c r="J446" s="10"/>
      <c r="K446" s="10"/>
    </row>
    <row r="447" spans="1:11" s="6" customFormat="1" x14ac:dyDescent="0.3">
      <c r="A447" s="7"/>
      <c r="E447" s="8"/>
      <c r="F447" s="8"/>
      <c r="H447" s="9"/>
      <c r="J447" s="10"/>
      <c r="K447" s="10"/>
    </row>
    <row r="448" spans="1:11" s="6" customFormat="1" x14ac:dyDescent="0.3">
      <c r="A448" s="7"/>
      <c r="E448" s="8"/>
      <c r="F448" s="8"/>
      <c r="H448" s="9"/>
      <c r="J448" s="10"/>
      <c r="K448" s="10"/>
    </row>
    <row r="449" spans="1:11" s="6" customFormat="1" x14ac:dyDescent="0.3">
      <c r="A449" s="7"/>
      <c r="E449" s="8"/>
      <c r="F449" s="8"/>
      <c r="H449" s="9"/>
      <c r="J449" s="10"/>
      <c r="K449" s="10"/>
    </row>
    <row r="450" spans="1:11" s="6" customFormat="1" x14ac:dyDescent="0.3">
      <c r="A450" s="7"/>
      <c r="E450" s="8"/>
      <c r="F450" s="8"/>
      <c r="H450" s="9"/>
      <c r="J450" s="10"/>
      <c r="K450" s="10"/>
    </row>
    <row r="451" spans="1:11" s="6" customFormat="1" x14ac:dyDescent="0.3">
      <c r="A451" s="7"/>
      <c r="E451" s="8"/>
      <c r="F451" s="8"/>
      <c r="H451" s="9"/>
      <c r="J451" s="10"/>
      <c r="K451" s="10"/>
    </row>
    <row r="452" spans="1:11" s="6" customFormat="1" x14ac:dyDescent="0.3">
      <c r="A452" s="7"/>
      <c r="E452" s="8"/>
      <c r="F452" s="8"/>
      <c r="H452" s="9"/>
      <c r="J452" s="10"/>
      <c r="K452" s="10"/>
    </row>
    <row r="453" spans="1:11" s="6" customFormat="1" x14ac:dyDescent="0.3">
      <c r="A453" s="7"/>
      <c r="E453" s="8"/>
      <c r="F453" s="8"/>
      <c r="H453" s="9"/>
      <c r="J453" s="10"/>
      <c r="K453" s="10"/>
    </row>
    <row r="454" spans="1:11" s="6" customFormat="1" x14ac:dyDescent="0.3">
      <c r="A454" s="7"/>
      <c r="E454" s="8"/>
      <c r="F454" s="8"/>
      <c r="H454" s="9"/>
      <c r="J454" s="10"/>
      <c r="K454" s="10"/>
    </row>
    <row r="455" spans="1:11" s="6" customFormat="1" x14ac:dyDescent="0.3">
      <c r="A455" s="7"/>
      <c r="E455" s="8"/>
      <c r="F455" s="8"/>
      <c r="H455" s="9"/>
      <c r="J455" s="10"/>
      <c r="K455" s="10"/>
    </row>
    <row r="456" spans="1:11" s="6" customFormat="1" x14ac:dyDescent="0.3">
      <c r="A456" s="7"/>
      <c r="E456" s="8"/>
      <c r="F456" s="8"/>
      <c r="H456" s="9"/>
      <c r="J456" s="10"/>
      <c r="K456" s="10"/>
    </row>
    <row r="457" spans="1:11" s="6" customFormat="1" x14ac:dyDescent="0.3">
      <c r="A457" s="7"/>
      <c r="E457" s="8"/>
      <c r="F457" s="8"/>
      <c r="H457" s="9"/>
      <c r="J457" s="10"/>
      <c r="K457" s="10"/>
    </row>
    <row r="458" spans="1:11" s="6" customFormat="1" x14ac:dyDescent="0.3">
      <c r="A458" s="7"/>
      <c r="E458" s="8"/>
      <c r="F458" s="8"/>
      <c r="H458" s="9"/>
      <c r="J458" s="10"/>
      <c r="K458" s="10"/>
    </row>
    <row r="459" spans="1:11" s="6" customFormat="1" x14ac:dyDescent="0.3">
      <c r="A459" s="7"/>
      <c r="E459" s="8"/>
      <c r="F459" s="8"/>
      <c r="H459" s="9"/>
      <c r="J459" s="10"/>
      <c r="K459" s="10"/>
    </row>
    <row r="460" spans="1:11" s="6" customFormat="1" x14ac:dyDescent="0.3">
      <c r="A460" s="7"/>
      <c r="E460" s="8"/>
      <c r="F460" s="8"/>
      <c r="H460" s="9"/>
      <c r="J460" s="10"/>
      <c r="K460" s="10"/>
    </row>
    <row r="461" spans="1:11" s="6" customFormat="1" x14ac:dyDescent="0.3">
      <c r="A461" s="7"/>
      <c r="E461" s="8"/>
      <c r="F461" s="8"/>
      <c r="H461" s="9"/>
      <c r="J461" s="10"/>
      <c r="K461" s="10"/>
    </row>
    <row r="462" spans="1:11" s="6" customFormat="1" x14ac:dyDescent="0.3">
      <c r="A462" s="7"/>
      <c r="E462" s="8"/>
      <c r="F462" s="8"/>
      <c r="H462" s="9"/>
      <c r="J462" s="10"/>
      <c r="K462" s="10"/>
    </row>
    <row r="463" spans="1:11" s="6" customFormat="1" x14ac:dyDescent="0.3">
      <c r="A463" s="7"/>
      <c r="E463" s="8"/>
      <c r="F463" s="8"/>
      <c r="H463" s="9"/>
      <c r="J463" s="10"/>
      <c r="K463" s="10"/>
    </row>
    <row r="464" spans="1:11" s="6" customFormat="1" x14ac:dyDescent="0.3">
      <c r="A464" s="7"/>
      <c r="E464" s="8"/>
      <c r="F464" s="8"/>
      <c r="H464" s="9"/>
      <c r="J464" s="10"/>
      <c r="K464" s="10"/>
    </row>
    <row r="465" spans="1:11" s="6" customFormat="1" x14ac:dyDescent="0.3">
      <c r="A465" s="7"/>
      <c r="E465" s="8"/>
      <c r="F465" s="8"/>
      <c r="H465" s="9"/>
      <c r="J465" s="10"/>
      <c r="K465" s="10"/>
    </row>
    <row r="466" spans="1:11" s="6" customFormat="1" x14ac:dyDescent="0.3">
      <c r="A466" s="7"/>
      <c r="E466" s="8"/>
      <c r="F466" s="8"/>
      <c r="H466" s="9"/>
      <c r="J466" s="10"/>
      <c r="K466" s="10"/>
    </row>
    <row r="467" spans="1:11" s="6" customFormat="1" x14ac:dyDescent="0.3">
      <c r="A467" s="7"/>
      <c r="E467" s="8"/>
      <c r="F467" s="8"/>
      <c r="H467" s="9"/>
      <c r="J467" s="10"/>
      <c r="K467" s="10"/>
    </row>
    <row r="468" spans="1:11" s="6" customFormat="1" x14ac:dyDescent="0.3">
      <c r="A468" s="7"/>
      <c r="E468" s="8"/>
      <c r="F468" s="8"/>
      <c r="H468" s="9"/>
      <c r="J468" s="10"/>
      <c r="K468" s="10"/>
    </row>
    <row r="469" spans="1:11" s="6" customFormat="1" x14ac:dyDescent="0.3">
      <c r="A469" s="7"/>
      <c r="E469" s="8"/>
      <c r="F469" s="8"/>
      <c r="H469" s="9"/>
      <c r="J469" s="10"/>
      <c r="K469" s="10"/>
    </row>
    <row r="470" spans="1:11" s="6" customFormat="1" x14ac:dyDescent="0.3">
      <c r="A470" s="7"/>
      <c r="E470" s="8"/>
      <c r="F470" s="8"/>
      <c r="H470" s="9"/>
      <c r="J470" s="10"/>
      <c r="K470" s="10"/>
    </row>
    <row r="471" spans="1:11" s="6" customFormat="1" x14ac:dyDescent="0.3">
      <c r="A471" s="7"/>
      <c r="E471" s="8"/>
      <c r="F471" s="8"/>
      <c r="H471" s="9"/>
      <c r="J471" s="10"/>
      <c r="K471" s="10"/>
    </row>
    <row r="472" spans="1:11" s="6" customFormat="1" x14ac:dyDescent="0.3">
      <c r="A472" s="7"/>
      <c r="E472" s="8"/>
      <c r="F472" s="8"/>
      <c r="H472" s="9"/>
      <c r="J472" s="10"/>
      <c r="K472" s="10"/>
    </row>
    <row r="473" spans="1:11" s="6" customFormat="1" x14ac:dyDescent="0.3">
      <c r="A473" s="7"/>
      <c r="E473" s="8"/>
      <c r="F473" s="8"/>
      <c r="H473" s="9"/>
      <c r="J473" s="10"/>
      <c r="K473" s="10"/>
    </row>
    <row r="474" spans="1:11" s="6" customFormat="1" x14ac:dyDescent="0.3">
      <c r="A474" s="7"/>
      <c r="E474" s="8"/>
      <c r="F474" s="8"/>
      <c r="H474" s="9"/>
      <c r="J474" s="10"/>
      <c r="K474" s="10"/>
    </row>
    <row r="475" spans="1:11" s="6" customFormat="1" x14ac:dyDescent="0.3">
      <c r="A475" s="7"/>
      <c r="E475" s="8"/>
      <c r="F475" s="8"/>
      <c r="H475" s="9"/>
      <c r="J475" s="10"/>
      <c r="K475" s="10"/>
    </row>
    <row r="476" spans="1:11" s="6" customFormat="1" x14ac:dyDescent="0.3">
      <c r="A476" s="7"/>
      <c r="E476" s="8"/>
      <c r="F476" s="8"/>
      <c r="H476" s="9"/>
      <c r="J476" s="10"/>
      <c r="K476" s="10"/>
    </row>
    <row r="477" spans="1:11" s="6" customFormat="1" x14ac:dyDescent="0.3">
      <c r="A477" s="7"/>
      <c r="E477" s="8"/>
      <c r="F477" s="8"/>
      <c r="H477" s="9"/>
      <c r="J477" s="10"/>
      <c r="K477" s="10"/>
    </row>
    <row r="478" spans="1:11" s="6" customFormat="1" x14ac:dyDescent="0.3">
      <c r="A478" s="7"/>
      <c r="E478" s="8"/>
      <c r="F478" s="8"/>
      <c r="H478" s="9"/>
      <c r="J478" s="10"/>
      <c r="K478" s="10"/>
    </row>
    <row r="479" spans="1:11" s="6" customFormat="1" x14ac:dyDescent="0.3">
      <c r="A479" s="7"/>
      <c r="E479" s="8"/>
      <c r="F479" s="8"/>
      <c r="H479" s="9"/>
      <c r="J479" s="10"/>
      <c r="K479" s="10"/>
    </row>
    <row r="480" spans="1:11" s="6" customFormat="1" x14ac:dyDescent="0.3">
      <c r="A480" s="7"/>
      <c r="E480" s="8"/>
      <c r="F480" s="8"/>
      <c r="H480" s="9"/>
      <c r="J480" s="10"/>
      <c r="K480" s="10"/>
    </row>
    <row r="481" spans="1:11" s="6" customFormat="1" x14ac:dyDescent="0.3">
      <c r="A481" s="7"/>
      <c r="E481" s="8"/>
      <c r="F481" s="8"/>
      <c r="H481" s="9"/>
      <c r="J481" s="10"/>
      <c r="K481" s="10"/>
    </row>
    <row r="482" spans="1:11" s="6" customFormat="1" x14ac:dyDescent="0.3">
      <c r="A482" s="7"/>
      <c r="E482" s="8"/>
      <c r="F482" s="8"/>
      <c r="H482" s="9"/>
      <c r="J482" s="10"/>
      <c r="K482" s="10"/>
    </row>
    <row r="483" spans="1:11" s="6" customFormat="1" x14ac:dyDescent="0.3">
      <c r="A483" s="7"/>
      <c r="E483" s="8"/>
      <c r="F483" s="8"/>
      <c r="H483" s="9"/>
      <c r="J483" s="10"/>
      <c r="K483" s="10"/>
    </row>
    <row r="484" spans="1:11" s="6" customFormat="1" x14ac:dyDescent="0.3">
      <c r="A484" s="7"/>
      <c r="E484" s="8"/>
      <c r="F484" s="8"/>
      <c r="H484" s="9"/>
      <c r="J484" s="10"/>
      <c r="K484" s="10"/>
    </row>
    <row r="485" spans="1:11" s="6" customFormat="1" x14ac:dyDescent="0.3">
      <c r="A485" s="7"/>
      <c r="E485" s="8"/>
      <c r="F485" s="8"/>
      <c r="H485" s="9"/>
      <c r="J485" s="10"/>
      <c r="K485" s="10"/>
    </row>
    <row r="486" spans="1:11" s="6" customFormat="1" x14ac:dyDescent="0.3">
      <c r="A486" s="7"/>
      <c r="E486" s="8"/>
      <c r="F486" s="8"/>
      <c r="H486" s="9"/>
      <c r="J486" s="10"/>
      <c r="K486" s="10"/>
    </row>
    <row r="487" spans="1:11" s="6" customFormat="1" x14ac:dyDescent="0.3">
      <c r="A487" s="7"/>
      <c r="E487" s="8"/>
      <c r="F487" s="8"/>
      <c r="H487" s="9"/>
      <c r="J487" s="10"/>
      <c r="K487" s="10"/>
    </row>
    <row r="488" spans="1:11" s="6" customFormat="1" x14ac:dyDescent="0.3">
      <c r="A488" s="7"/>
      <c r="E488" s="8"/>
      <c r="F488" s="8"/>
      <c r="H488" s="9"/>
      <c r="J488" s="10"/>
      <c r="K488" s="10"/>
    </row>
    <row r="489" spans="1:11" s="6" customFormat="1" x14ac:dyDescent="0.3">
      <c r="A489" s="7"/>
      <c r="E489" s="8"/>
      <c r="F489" s="8"/>
      <c r="H489" s="9"/>
      <c r="J489" s="10"/>
      <c r="K489" s="10"/>
    </row>
    <row r="490" spans="1:11" s="6" customFormat="1" x14ac:dyDescent="0.3">
      <c r="A490" s="7"/>
      <c r="E490" s="8"/>
      <c r="F490" s="8"/>
      <c r="H490" s="9"/>
      <c r="J490" s="10"/>
      <c r="K490" s="10"/>
    </row>
    <row r="491" spans="1:11" s="6" customFormat="1" x14ac:dyDescent="0.3">
      <c r="A491" s="7"/>
      <c r="E491" s="8"/>
      <c r="F491" s="8"/>
      <c r="H491" s="9"/>
      <c r="J491" s="10"/>
      <c r="K491" s="10"/>
    </row>
    <row r="492" spans="1:11" s="6" customFormat="1" x14ac:dyDescent="0.3">
      <c r="A492" s="7"/>
      <c r="E492" s="8"/>
      <c r="F492" s="8"/>
      <c r="H492" s="9"/>
      <c r="J492" s="10"/>
      <c r="K492" s="10"/>
    </row>
    <row r="493" spans="1:11" s="6" customFormat="1" x14ac:dyDescent="0.3">
      <c r="A493" s="7"/>
      <c r="E493" s="8"/>
      <c r="F493" s="8"/>
      <c r="H493" s="9"/>
      <c r="J493" s="10"/>
      <c r="K493" s="10"/>
    </row>
    <row r="494" spans="1:11" s="6" customFormat="1" x14ac:dyDescent="0.3">
      <c r="A494" s="7"/>
      <c r="E494" s="8"/>
      <c r="F494" s="8"/>
      <c r="H494" s="9"/>
      <c r="J494" s="10"/>
      <c r="K494" s="10"/>
    </row>
    <row r="495" spans="1:11" s="6" customFormat="1" x14ac:dyDescent="0.3">
      <c r="A495" s="7"/>
      <c r="E495" s="8"/>
      <c r="F495" s="8"/>
      <c r="H495" s="9"/>
      <c r="J495" s="10"/>
      <c r="K495" s="10"/>
    </row>
    <row r="496" spans="1:11" s="6" customFormat="1" x14ac:dyDescent="0.3">
      <c r="A496" s="7"/>
      <c r="E496" s="8"/>
      <c r="F496" s="8"/>
      <c r="H496" s="9"/>
      <c r="J496" s="10"/>
      <c r="K496" s="10"/>
    </row>
    <row r="497" spans="1:11" s="6" customFormat="1" x14ac:dyDescent="0.3">
      <c r="A497" s="7"/>
      <c r="E497" s="8"/>
      <c r="F497" s="8"/>
      <c r="H497" s="9"/>
      <c r="J497" s="10"/>
      <c r="K497" s="10"/>
    </row>
    <row r="498" spans="1:11" s="6" customFormat="1" x14ac:dyDescent="0.3">
      <c r="A498" s="7"/>
      <c r="E498" s="8"/>
      <c r="F498" s="8"/>
      <c r="H498" s="9"/>
      <c r="J498" s="10"/>
      <c r="K498" s="10"/>
    </row>
    <row r="499" spans="1:11" s="6" customFormat="1" x14ac:dyDescent="0.3">
      <c r="A499" s="7"/>
      <c r="E499" s="8"/>
      <c r="F499" s="8"/>
      <c r="H499" s="9"/>
      <c r="J499" s="10"/>
      <c r="K499" s="10"/>
    </row>
    <row r="500" spans="1:11" s="6" customFormat="1" x14ac:dyDescent="0.3">
      <c r="A500" s="7"/>
      <c r="E500" s="8"/>
      <c r="F500" s="8"/>
      <c r="H500" s="9"/>
      <c r="J500" s="10"/>
      <c r="K500" s="10"/>
    </row>
    <row r="501" spans="1:11" s="6" customFormat="1" x14ac:dyDescent="0.3">
      <c r="A501" s="7"/>
      <c r="E501" s="8"/>
      <c r="F501" s="8"/>
      <c r="H501" s="9"/>
      <c r="J501" s="10"/>
      <c r="K501" s="10"/>
    </row>
    <row r="502" spans="1:11" s="6" customFormat="1" x14ac:dyDescent="0.3">
      <c r="A502" s="7"/>
      <c r="E502" s="8"/>
      <c r="F502" s="8"/>
      <c r="H502" s="9"/>
      <c r="J502" s="10"/>
      <c r="K502" s="10"/>
    </row>
    <row r="503" spans="1:11" s="6" customFormat="1" x14ac:dyDescent="0.3">
      <c r="A503" s="7"/>
      <c r="E503" s="8"/>
      <c r="F503" s="8"/>
      <c r="H503" s="9"/>
      <c r="J503" s="10"/>
      <c r="K503" s="10"/>
    </row>
    <row r="504" spans="1:11" s="6" customFormat="1" x14ac:dyDescent="0.3">
      <c r="A504" s="7"/>
      <c r="E504" s="8"/>
      <c r="F504" s="8"/>
      <c r="H504" s="9"/>
      <c r="J504" s="10"/>
      <c r="K504" s="10"/>
    </row>
    <row r="505" spans="1:11" s="6" customFormat="1" x14ac:dyDescent="0.3">
      <c r="A505" s="7"/>
      <c r="E505" s="8"/>
      <c r="F505" s="8"/>
      <c r="H505" s="9"/>
      <c r="J505" s="10"/>
      <c r="K505" s="10"/>
    </row>
    <row r="506" spans="1:11" s="6" customFormat="1" x14ac:dyDescent="0.3">
      <c r="A506" s="7"/>
      <c r="E506" s="8"/>
      <c r="F506" s="8"/>
      <c r="H506" s="9"/>
      <c r="J506" s="10"/>
      <c r="K506" s="10"/>
    </row>
    <row r="507" spans="1:11" s="6" customFormat="1" x14ac:dyDescent="0.3">
      <c r="A507" s="7"/>
      <c r="E507" s="8"/>
      <c r="F507" s="8"/>
      <c r="H507" s="9"/>
      <c r="J507" s="10"/>
      <c r="K507" s="10"/>
    </row>
    <row r="508" spans="1:11" s="6" customFormat="1" x14ac:dyDescent="0.3">
      <c r="A508" s="7"/>
      <c r="E508" s="8"/>
      <c r="F508" s="8"/>
      <c r="H508" s="9"/>
      <c r="J508" s="10"/>
      <c r="K508" s="10"/>
    </row>
    <row r="509" spans="1:11" s="6" customFormat="1" x14ac:dyDescent="0.3">
      <c r="A509" s="7"/>
      <c r="E509" s="8"/>
      <c r="F509" s="8"/>
      <c r="H509" s="9"/>
      <c r="J509" s="10"/>
      <c r="K509" s="10"/>
    </row>
    <row r="510" spans="1:11" s="6" customFormat="1" x14ac:dyDescent="0.3">
      <c r="A510" s="7"/>
      <c r="E510" s="8"/>
      <c r="F510" s="8"/>
      <c r="H510" s="9"/>
      <c r="J510" s="10"/>
      <c r="K510" s="10"/>
    </row>
    <row r="511" spans="1:11" s="6" customFormat="1" x14ac:dyDescent="0.3">
      <c r="A511" s="7"/>
      <c r="E511" s="8"/>
      <c r="F511" s="8"/>
      <c r="H511" s="9"/>
      <c r="J511" s="10"/>
      <c r="K511" s="10"/>
    </row>
    <row r="512" spans="1:11" s="6" customFormat="1" x14ac:dyDescent="0.3">
      <c r="A512" s="7"/>
      <c r="E512" s="8"/>
      <c r="F512" s="8"/>
      <c r="H512" s="9"/>
      <c r="J512" s="10"/>
      <c r="K512" s="10"/>
    </row>
    <row r="513" spans="1:11" s="6" customFormat="1" x14ac:dyDescent="0.3">
      <c r="A513" s="7"/>
      <c r="E513" s="8"/>
      <c r="F513" s="8"/>
      <c r="H513" s="9"/>
      <c r="J513" s="10"/>
      <c r="K513" s="10"/>
    </row>
    <row r="514" spans="1:11" s="6" customFormat="1" x14ac:dyDescent="0.3">
      <c r="A514" s="7"/>
      <c r="E514" s="8"/>
      <c r="F514" s="8"/>
      <c r="H514" s="9"/>
      <c r="J514" s="10"/>
      <c r="K514" s="10"/>
    </row>
    <row r="515" spans="1:11" s="6" customFormat="1" x14ac:dyDescent="0.3">
      <c r="A515" s="7"/>
      <c r="E515" s="8"/>
      <c r="F515" s="8"/>
      <c r="H515" s="9"/>
      <c r="J515" s="10"/>
      <c r="K515" s="10"/>
    </row>
    <row r="516" spans="1:11" s="6" customFormat="1" x14ac:dyDescent="0.3">
      <c r="A516" s="7"/>
      <c r="E516" s="8"/>
      <c r="F516" s="8"/>
      <c r="H516" s="9"/>
      <c r="J516" s="10"/>
      <c r="K516" s="10"/>
    </row>
    <row r="517" spans="1:11" s="6" customFormat="1" x14ac:dyDescent="0.3">
      <c r="A517" s="7"/>
      <c r="E517" s="8"/>
      <c r="F517" s="8"/>
      <c r="H517" s="9"/>
      <c r="J517" s="10"/>
      <c r="K517" s="10"/>
    </row>
    <row r="518" spans="1:11" s="6" customFormat="1" x14ac:dyDescent="0.3">
      <c r="A518" s="7"/>
      <c r="E518" s="8"/>
      <c r="F518" s="8"/>
      <c r="H518" s="9"/>
      <c r="J518" s="10"/>
      <c r="K518" s="10"/>
    </row>
    <row r="519" spans="1:11" s="6" customFormat="1" x14ac:dyDescent="0.3">
      <c r="A519" s="7"/>
      <c r="E519" s="8"/>
      <c r="F519" s="8"/>
      <c r="H519" s="9"/>
      <c r="J519" s="10"/>
      <c r="K519" s="10"/>
    </row>
    <row r="520" spans="1:11" s="6" customFormat="1" x14ac:dyDescent="0.3">
      <c r="A520" s="7"/>
      <c r="E520" s="8"/>
      <c r="F520" s="8"/>
      <c r="H520" s="9"/>
      <c r="J520" s="10"/>
      <c r="K520" s="10"/>
    </row>
    <row r="521" spans="1:11" s="6" customFormat="1" x14ac:dyDescent="0.3">
      <c r="A521" s="7"/>
      <c r="E521" s="8"/>
      <c r="F521" s="8"/>
      <c r="H521" s="9"/>
      <c r="J521" s="10"/>
      <c r="K521" s="10"/>
    </row>
    <row r="522" spans="1:11" s="6" customFormat="1" x14ac:dyDescent="0.3">
      <c r="A522" s="7"/>
      <c r="E522" s="8"/>
      <c r="F522" s="8"/>
      <c r="H522" s="9"/>
      <c r="J522" s="10"/>
      <c r="K522" s="10"/>
    </row>
    <row r="523" spans="1:11" s="6" customFormat="1" x14ac:dyDescent="0.3">
      <c r="A523" s="7"/>
      <c r="E523" s="8"/>
      <c r="F523" s="8"/>
      <c r="H523" s="9"/>
      <c r="J523" s="10"/>
      <c r="K523" s="10"/>
    </row>
    <row r="524" spans="1:11" s="6" customFormat="1" x14ac:dyDescent="0.3">
      <c r="A524" s="7"/>
      <c r="E524" s="8"/>
      <c r="F524" s="8"/>
      <c r="H524" s="9"/>
      <c r="J524" s="10"/>
      <c r="K524" s="10"/>
    </row>
    <row r="525" spans="1:11" s="6" customFormat="1" x14ac:dyDescent="0.3">
      <c r="A525" s="7"/>
      <c r="E525" s="8"/>
      <c r="F525" s="8"/>
      <c r="H525" s="9"/>
      <c r="J525" s="10"/>
      <c r="K525" s="10"/>
    </row>
    <row r="526" spans="1:11" s="6" customFormat="1" x14ac:dyDescent="0.3">
      <c r="A526" s="7"/>
      <c r="E526" s="8"/>
      <c r="F526" s="8"/>
      <c r="H526" s="9"/>
      <c r="J526" s="10"/>
      <c r="K526" s="10"/>
    </row>
    <row r="527" spans="1:11" s="6" customFormat="1" x14ac:dyDescent="0.3">
      <c r="A527" s="7"/>
      <c r="E527" s="8"/>
      <c r="F527" s="8"/>
      <c r="H527" s="9"/>
      <c r="J527" s="10"/>
      <c r="K527" s="10"/>
    </row>
    <row r="528" spans="1:11" s="6" customFormat="1" x14ac:dyDescent="0.3">
      <c r="A528" s="7"/>
      <c r="E528" s="8"/>
      <c r="F528" s="8"/>
      <c r="H528" s="9"/>
      <c r="J528" s="10"/>
      <c r="K528" s="10"/>
    </row>
    <row r="529" spans="1:11" s="6" customFormat="1" x14ac:dyDescent="0.3">
      <c r="A529" s="7"/>
      <c r="E529" s="8"/>
      <c r="F529" s="8"/>
      <c r="H529" s="9"/>
      <c r="J529" s="10"/>
      <c r="K529" s="10"/>
    </row>
    <row r="530" spans="1:11" s="6" customFormat="1" x14ac:dyDescent="0.3">
      <c r="A530" s="7"/>
      <c r="E530" s="8"/>
      <c r="F530" s="8"/>
      <c r="H530" s="9"/>
      <c r="J530" s="10"/>
      <c r="K530" s="10"/>
    </row>
    <row r="531" spans="1:11" s="6" customFormat="1" x14ac:dyDescent="0.3">
      <c r="A531" s="7"/>
      <c r="E531" s="8"/>
      <c r="F531" s="8"/>
      <c r="H531" s="9"/>
      <c r="J531" s="10"/>
      <c r="K531" s="10"/>
    </row>
    <row r="532" spans="1:11" s="6" customFormat="1" x14ac:dyDescent="0.3">
      <c r="A532" s="7"/>
      <c r="E532" s="8"/>
      <c r="F532" s="8"/>
      <c r="H532" s="9"/>
      <c r="J532" s="10"/>
      <c r="K532" s="10"/>
    </row>
    <row r="533" spans="1:11" s="6" customFormat="1" x14ac:dyDescent="0.3">
      <c r="A533" s="7"/>
      <c r="E533" s="8"/>
      <c r="F533" s="8"/>
      <c r="H533" s="9"/>
      <c r="J533" s="10"/>
      <c r="K533" s="10"/>
    </row>
    <row r="534" spans="1:11" s="6" customFormat="1" x14ac:dyDescent="0.3">
      <c r="A534" s="7"/>
      <c r="E534" s="8"/>
      <c r="F534" s="8"/>
      <c r="H534" s="9"/>
      <c r="J534" s="10"/>
      <c r="K534" s="10"/>
    </row>
    <row r="535" spans="1:11" s="6" customFormat="1" x14ac:dyDescent="0.3">
      <c r="A535" s="7"/>
      <c r="E535" s="8"/>
      <c r="F535" s="8"/>
      <c r="H535" s="9"/>
      <c r="J535" s="10"/>
      <c r="K535" s="10"/>
    </row>
    <row r="536" spans="1:11" s="6" customFormat="1" x14ac:dyDescent="0.3">
      <c r="A536" s="7"/>
      <c r="E536" s="8"/>
      <c r="F536" s="8"/>
      <c r="H536" s="9"/>
      <c r="J536" s="10"/>
      <c r="K536" s="10"/>
    </row>
    <row r="537" spans="1:11" s="6" customFormat="1" x14ac:dyDescent="0.3">
      <c r="A537" s="7"/>
      <c r="E537" s="8"/>
      <c r="F537" s="8"/>
      <c r="H537" s="9"/>
      <c r="J537" s="10"/>
      <c r="K537" s="10"/>
    </row>
    <row r="538" spans="1:11" s="6" customFormat="1" x14ac:dyDescent="0.3">
      <c r="A538" s="7"/>
      <c r="E538" s="8"/>
      <c r="F538" s="8"/>
      <c r="H538" s="9"/>
      <c r="J538" s="10"/>
      <c r="K538" s="10"/>
    </row>
    <row r="539" spans="1:11" s="6" customFormat="1" x14ac:dyDescent="0.3">
      <c r="A539" s="7"/>
      <c r="E539" s="8"/>
      <c r="F539" s="8"/>
      <c r="H539" s="9"/>
      <c r="J539" s="10"/>
      <c r="K539" s="10"/>
    </row>
    <row r="540" spans="1:11" s="6" customFormat="1" x14ac:dyDescent="0.3">
      <c r="A540" s="7"/>
      <c r="E540" s="8"/>
      <c r="F540" s="8"/>
      <c r="H540" s="9"/>
      <c r="J540" s="10"/>
      <c r="K540" s="10"/>
    </row>
    <row r="541" spans="1:11" s="6" customFormat="1" x14ac:dyDescent="0.3">
      <c r="A541" s="7"/>
      <c r="E541" s="8"/>
      <c r="F541" s="8"/>
      <c r="H541" s="9"/>
      <c r="J541" s="10"/>
      <c r="K541" s="10"/>
    </row>
    <row r="542" spans="1:11" s="6" customFormat="1" x14ac:dyDescent="0.3">
      <c r="A542" s="7"/>
      <c r="E542" s="8"/>
      <c r="F542" s="8"/>
      <c r="H542" s="9"/>
      <c r="J542" s="10"/>
      <c r="K542" s="10"/>
    </row>
    <row r="543" spans="1:11" s="6" customFormat="1" x14ac:dyDescent="0.3">
      <c r="A543" s="7"/>
      <c r="E543" s="8"/>
      <c r="F543" s="8"/>
      <c r="H543" s="9"/>
      <c r="J543" s="10"/>
      <c r="K543" s="10"/>
    </row>
    <row r="544" spans="1:11" s="6" customFormat="1" x14ac:dyDescent="0.3">
      <c r="A544" s="7"/>
      <c r="E544" s="8"/>
      <c r="F544" s="8"/>
      <c r="H544" s="9"/>
      <c r="J544" s="10"/>
      <c r="K544" s="10"/>
    </row>
    <row r="545" spans="1:11" s="6" customFormat="1" x14ac:dyDescent="0.3">
      <c r="A545" s="7"/>
      <c r="E545" s="8"/>
      <c r="F545" s="8"/>
      <c r="H545" s="9"/>
      <c r="J545" s="10"/>
      <c r="K545" s="10"/>
    </row>
    <row r="546" spans="1:11" s="6" customFormat="1" x14ac:dyDescent="0.3">
      <c r="A546" s="7"/>
      <c r="E546" s="8"/>
      <c r="F546" s="8"/>
      <c r="H546" s="9"/>
      <c r="J546" s="10"/>
      <c r="K546" s="10"/>
    </row>
    <row r="547" spans="1:11" s="6" customFormat="1" x14ac:dyDescent="0.3">
      <c r="A547" s="7"/>
      <c r="E547" s="8"/>
      <c r="F547" s="8"/>
      <c r="H547" s="9"/>
      <c r="J547" s="10"/>
      <c r="K547" s="10"/>
    </row>
    <row r="548" spans="1:11" s="6" customFormat="1" x14ac:dyDescent="0.3">
      <c r="A548" s="7"/>
      <c r="E548" s="8"/>
      <c r="F548" s="8"/>
      <c r="H548" s="9"/>
      <c r="J548" s="10"/>
      <c r="K548" s="10"/>
    </row>
    <row r="549" spans="1:11" s="6" customFormat="1" x14ac:dyDescent="0.3">
      <c r="A549" s="7"/>
      <c r="E549" s="8"/>
      <c r="F549" s="8"/>
      <c r="H549" s="9"/>
      <c r="J549" s="10"/>
      <c r="K549" s="10"/>
    </row>
    <row r="550" spans="1:11" s="6" customFormat="1" x14ac:dyDescent="0.3">
      <c r="A550" s="7"/>
      <c r="E550" s="8"/>
      <c r="F550" s="8"/>
      <c r="H550" s="9"/>
      <c r="J550" s="10"/>
      <c r="K550" s="10"/>
    </row>
    <row r="551" spans="1:11" s="6" customFormat="1" x14ac:dyDescent="0.3">
      <c r="A551" s="7"/>
      <c r="E551" s="8"/>
      <c r="F551" s="8"/>
      <c r="H551" s="9"/>
      <c r="J551" s="10"/>
      <c r="K551" s="10"/>
    </row>
    <row r="552" spans="1:11" s="6" customFormat="1" x14ac:dyDescent="0.3">
      <c r="A552" s="7"/>
      <c r="E552" s="8"/>
      <c r="F552" s="8"/>
      <c r="H552" s="9"/>
      <c r="J552" s="10"/>
      <c r="K552" s="10"/>
    </row>
    <row r="553" spans="1:11" s="6" customFormat="1" x14ac:dyDescent="0.3">
      <c r="A553" s="7"/>
      <c r="E553" s="8"/>
      <c r="F553" s="8"/>
      <c r="H553" s="9"/>
      <c r="J553" s="10"/>
      <c r="K553" s="10"/>
    </row>
    <row r="554" spans="1:11" s="6" customFormat="1" x14ac:dyDescent="0.3">
      <c r="A554" s="7"/>
      <c r="E554" s="8"/>
      <c r="F554" s="8"/>
      <c r="H554" s="9"/>
      <c r="J554" s="10"/>
      <c r="K554" s="10"/>
    </row>
    <row r="555" spans="1:11" s="6" customFormat="1" x14ac:dyDescent="0.3">
      <c r="A555" s="7"/>
      <c r="E555" s="8"/>
      <c r="F555" s="8"/>
      <c r="H555" s="9"/>
      <c r="J555" s="10"/>
      <c r="K555" s="10"/>
    </row>
    <row r="556" spans="1:11" s="6" customFormat="1" x14ac:dyDescent="0.3">
      <c r="A556" s="7"/>
      <c r="E556" s="8"/>
      <c r="F556" s="8"/>
      <c r="H556" s="9"/>
      <c r="J556" s="10"/>
      <c r="K556" s="10"/>
    </row>
    <row r="557" spans="1:11" s="6" customFormat="1" x14ac:dyDescent="0.3">
      <c r="A557" s="7"/>
      <c r="E557" s="8"/>
      <c r="F557" s="8"/>
      <c r="H557" s="9"/>
      <c r="J557" s="10"/>
      <c r="K557" s="10"/>
    </row>
    <row r="558" spans="1:11" s="6" customFormat="1" x14ac:dyDescent="0.3">
      <c r="A558" s="7"/>
      <c r="E558" s="8"/>
      <c r="F558" s="8"/>
      <c r="H558" s="9"/>
      <c r="J558" s="10"/>
      <c r="K558" s="10"/>
    </row>
    <row r="559" spans="1:11" s="6" customFormat="1" x14ac:dyDescent="0.3">
      <c r="A559" s="7"/>
      <c r="E559" s="8"/>
      <c r="F559" s="8"/>
      <c r="H559" s="9"/>
      <c r="J559" s="10"/>
      <c r="K559" s="10"/>
    </row>
    <row r="560" spans="1:11" s="6" customFormat="1" x14ac:dyDescent="0.3">
      <c r="A560" s="7"/>
      <c r="E560" s="8"/>
      <c r="F560" s="8"/>
      <c r="H560" s="9"/>
      <c r="J560" s="10"/>
      <c r="K560" s="10"/>
    </row>
    <row r="561" spans="1:11" s="6" customFormat="1" x14ac:dyDescent="0.3">
      <c r="A561" s="7"/>
      <c r="E561" s="8"/>
      <c r="F561" s="8"/>
      <c r="H561" s="9"/>
      <c r="J561" s="10"/>
      <c r="K561" s="10"/>
    </row>
    <row r="562" spans="1:11" s="6" customFormat="1" x14ac:dyDescent="0.3">
      <c r="A562" s="7"/>
      <c r="E562" s="8"/>
      <c r="F562" s="8"/>
      <c r="H562" s="9"/>
      <c r="J562" s="10"/>
      <c r="K562" s="10"/>
    </row>
    <row r="563" spans="1:11" s="6" customFormat="1" x14ac:dyDescent="0.3">
      <c r="A563" s="7"/>
      <c r="E563" s="8"/>
      <c r="F563" s="8"/>
      <c r="H563" s="9"/>
      <c r="J563" s="10"/>
      <c r="K563" s="10"/>
    </row>
    <row r="564" spans="1:11" s="6" customFormat="1" x14ac:dyDescent="0.3">
      <c r="A564" s="7"/>
      <c r="E564" s="8"/>
      <c r="F564" s="8"/>
      <c r="H564" s="9"/>
      <c r="J564" s="10"/>
      <c r="K564" s="10"/>
    </row>
    <row r="565" spans="1:11" s="6" customFormat="1" x14ac:dyDescent="0.3">
      <c r="A565" s="7"/>
      <c r="E565" s="8"/>
      <c r="F565" s="8"/>
      <c r="H565" s="9"/>
      <c r="J565" s="10"/>
      <c r="K565" s="10"/>
    </row>
    <row r="566" spans="1:11" s="6" customFormat="1" x14ac:dyDescent="0.3">
      <c r="A566" s="7"/>
      <c r="E566" s="8"/>
      <c r="F566" s="8"/>
      <c r="H566" s="9"/>
      <c r="J566" s="10"/>
      <c r="K566" s="10"/>
    </row>
    <row r="567" spans="1:11" s="6" customFormat="1" x14ac:dyDescent="0.3">
      <c r="A567" s="7"/>
      <c r="E567" s="8"/>
      <c r="F567" s="8"/>
      <c r="H567" s="9"/>
      <c r="J567" s="10"/>
      <c r="K567" s="10"/>
    </row>
    <row r="568" spans="1:11" s="6" customFormat="1" x14ac:dyDescent="0.3">
      <c r="A568" s="7"/>
      <c r="E568" s="8"/>
      <c r="F568" s="8"/>
      <c r="H568" s="9"/>
      <c r="J568" s="10"/>
      <c r="K568" s="10"/>
    </row>
    <row r="569" spans="1:11" s="6" customFormat="1" x14ac:dyDescent="0.3">
      <c r="A569" s="7"/>
      <c r="E569" s="8"/>
      <c r="F569" s="8"/>
      <c r="H569" s="9"/>
      <c r="J569" s="10"/>
      <c r="K569" s="10"/>
    </row>
    <row r="570" spans="1:11" s="6" customFormat="1" x14ac:dyDescent="0.3">
      <c r="A570" s="7"/>
      <c r="E570" s="8"/>
      <c r="F570" s="8"/>
      <c r="H570" s="9"/>
      <c r="J570" s="10"/>
      <c r="K570" s="10"/>
    </row>
    <row r="571" spans="1:11" s="6" customFormat="1" x14ac:dyDescent="0.3">
      <c r="A571" s="7"/>
      <c r="E571" s="8"/>
      <c r="F571" s="8"/>
      <c r="H571" s="9"/>
      <c r="J571" s="10"/>
      <c r="K571" s="10"/>
    </row>
    <row r="572" spans="1:11" s="6" customFormat="1" x14ac:dyDescent="0.3">
      <c r="A572" s="7"/>
      <c r="E572" s="8"/>
      <c r="F572" s="8"/>
      <c r="H572" s="9"/>
      <c r="J572" s="10"/>
      <c r="K572" s="10"/>
    </row>
    <row r="573" spans="1:11" s="6" customFormat="1" x14ac:dyDescent="0.3">
      <c r="A573" s="7"/>
      <c r="E573" s="8"/>
      <c r="F573" s="8"/>
      <c r="H573" s="9"/>
      <c r="J573" s="10"/>
      <c r="K573" s="10"/>
    </row>
    <row r="574" spans="1:11" s="6" customFormat="1" x14ac:dyDescent="0.3">
      <c r="A574" s="7"/>
      <c r="E574" s="8"/>
      <c r="F574" s="8"/>
      <c r="H574" s="9"/>
      <c r="J574" s="10"/>
      <c r="K574" s="10"/>
    </row>
    <row r="575" spans="1:11" s="6" customFormat="1" x14ac:dyDescent="0.3">
      <c r="A575" s="7"/>
      <c r="E575" s="8"/>
      <c r="F575" s="8"/>
      <c r="H575" s="9"/>
      <c r="J575" s="10"/>
      <c r="K575" s="10"/>
    </row>
    <row r="576" spans="1:11" s="6" customFormat="1" x14ac:dyDescent="0.3">
      <c r="A576" s="7"/>
      <c r="E576" s="8"/>
      <c r="F576" s="8"/>
      <c r="H576" s="9"/>
      <c r="J576" s="10"/>
      <c r="K576" s="10"/>
    </row>
    <row r="577" spans="1:11" s="6" customFormat="1" x14ac:dyDescent="0.3">
      <c r="A577" s="7"/>
      <c r="E577" s="8"/>
      <c r="F577" s="8"/>
      <c r="H577" s="9"/>
      <c r="J577" s="10"/>
      <c r="K577" s="10"/>
    </row>
    <row r="578" spans="1:11" s="6" customFormat="1" x14ac:dyDescent="0.3">
      <c r="A578" s="7"/>
      <c r="E578" s="8"/>
      <c r="F578" s="8"/>
      <c r="H578" s="9"/>
      <c r="J578" s="10"/>
      <c r="K578" s="10"/>
    </row>
    <row r="579" spans="1:11" s="6" customFormat="1" x14ac:dyDescent="0.3">
      <c r="A579" s="7"/>
      <c r="E579" s="8"/>
      <c r="F579" s="8"/>
      <c r="H579" s="9"/>
      <c r="J579" s="10"/>
      <c r="K579" s="10"/>
    </row>
    <row r="580" spans="1:11" s="6" customFormat="1" x14ac:dyDescent="0.3">
      <c r="A580" s="7"/>
      <c r="E580" s="8"/>
      <c r="F580" s="8"/>
      <c r="H580" s="9"/>
      <c r="J580" s="10"/>
      <c r="K580" s="10"/>
    </row>
    <row r="581" spans="1:11" s="6" customFormat="1" x14ac:dyDescent="0.3">
      <c r="A581" s="7"/>
      <c r="E581" s="8"/>
      <c r="F581" s="8"/>
      <c r="H581" s="9"/>
      <c r="J581" s="10"/>
      <c r="K581" s="10"/>
    </row>
    <row r="582" spans="1:11" s="6" customFormat="1" x14ac:dyDescent="0.3">
      <c r="A582" s="7"/>
      <c r="E582" s="8"/>
      <c r="F582" s="8"/>
      <c r="H582" s="9"/>
      <c r="J582" s="10"/>
      <c r="K582" s="10"/>
    </row>
    <row r="583" spans="1:11" s="6" customFormat="1" x14ac:dyDescent="0.3">
      <c r="A583" s="7"/>
      <c r="E583" s="8"/>
      <c r="F583" s="8"/>
      <c r="H583" s="9"/>
      <c r="J583" s="10"/>
      <c r="K583" s="10"/>
    </row>
    <row r="584" spans="1:11" s="6" customFormat="1" x14ac:dyDescent="0.3">
      <c r="A584" s="7"/>
      <c r="E584" s="8"/>
      <c r="F584" s="8"/>
      <c r="H584" s="9"/>
      <c r="J584" s="10"/>
      <c r="K584" s="10"/>
    </row>
    <row r="585" spans="1:11" s="6" customFormat="1" x14ac:dyDescent="0.3">
      <c r="A585" s="7"/>
      <c r="E585" s="8"/>
      <c r="F585" s="8"/>
      <c r="H585" s="9"/>
      <c r="J585" s="10"/>
      <c r="K585" s="10"/>
    </row>
    <row r="586" spans="1:11" s="6" customFormat="1" x14ac:dyDescent="0.3">
      <c r="A586" s="7"/>
      <c r="E586" s="8"/>
      <c r="F586" s="8"/>
      <c r="H586" s="9"/>
      <c r="J586" s="10"/>
      <c r="K586" s="10"/>
    </row>
    <row r="587" spans="1:11" s="6" customFormat="1" x14ac:dyDescent="0.3">
      <c r="A587" s="7"/>
      <c r="E587" s="8"/>
      <c r="F587" s="8"/>
      <c r="H587" s="9"/>
      <c r="J587" s="10"/>
      <c r="K587" s="10"/>
    </row>
    <row r="588" spans="1:11" s="6" customFormat="1" x14ac:dyDescent="0.3">
      <c r="A588" s="7"/>
      <c r="E588" s="8"/>
      <c r="F588" s="8"/>
      <c r="H588" s="9"/>
      <c r="J588" s="10"/>
      <c r="K588" s="10"/>
    </row>
    <row r="589" spans="1:11" s="6" customFormat="1" x14ac:dyDescent="0.3">
      <c r="A589" s="7"/>
      <c r="E589" s="8"/>
      <c r="F589" s="8"/>
      <c r="H589" s="9"/>
      <c r="J589" s="10"/>
      <c r="K589" s="10"/>
    </row>
    <row r="590" spans="1:11" s="6" customFormat="1" x14ac:dyDescent="0.3">
      <c r="A590" s="7"/>
      <c r="E590" s="8"/>
      <c r="F590" s="8"/>
      <c r="H590" s="9"/>
      <c r="J590" s="10"/>
      <c r="K590" s="10"/>
    </row>
    <row r="591" spans="1:11" s="6" customFormat="1" x14ac:dyDescent="0.3">
      <c r="A591" s="7"/>
      <c r="E591" s="8"/>
      <c r="F591" s="8"/>
      <c r="H591" s="9"/>
      <c r="J591" s="10"/>
      <c r="K591" s="10"/>
    </row>
    <row r="592" spans="1:11" s="6" customFormat="1" x14ac:dyDescent="0.3">
      <c r="A592" s="7"/>
      <c r="E592" s="8"/>
      <c r="F592" s="8"/>
      <c r="H592" s="9"/>
      <c r="J592" s="10"/>
      <c r="K592" s="10"/>
    </row>
    <row r="593" spans="1:11" s="6" customFormat="1" x14ac:dyDescent="0.3">
      <c r="A593" s="7"/>
      <c r="E593" s="8"/>
      <c r="F593" s="8"/>
      <c r="H593" s="9"/>
      <c r="J593" s="10"/>
      <c r="K593" s="10"/>
    </row>
    <row r="594" spans="1:11" s="6" customFormat="1" x14ac:dyDescent="0.3">
      <c r="A594" s="7"/>
      <c r="E594" s="8"/>
      <c r="F594" s="8"/>
      <c r="H594" s="9"/>
      <c r="J594" s="10"/>
      <c r="K594" s="10"/>
    </row>
    <row r="595" spans="1:11" s="6" customFormat="1" x14ac:dyDescent="0.3">
      <c r="A595" s="7"/>
      <c r="E595" s="8"/>
      <c r="F595" s="8"/>
      <c r="H595" s="9"/>
      <c r="J595" s="10"/>
      <c r="K595" s="10"/>
    </row>
    <row r="596" spans="1:11" s="6" customFormat="1" x14ac:dyDescent="0.3">
      <c r="A596" s="7"/>
      <c r="E596" s="8"/>
      <c r="F596" s="8"/>
      <c r="H596" s="9"/>
      <c r="J596" s="10"/>
      <c r="K596" s="10"/>
    </row>
    <row r="597" spans="1:11" s="6" customFormat="1" x14ac:dyDescent="0.3">
      <c r="A597" s="7"/>
      <c r="E597" s="8"/>
      <c r="F597" s="8"/>
      <c r="H597" s="9"/>
      <c r="J597" s="10"/>
      <c r="K597" s="10"/>
    </row>
    <row r="598" spans="1:11" s="6" customFormat="1" x14ac:dyDescent="0.3">
      <c r="A598" s="7"/>
      <c r="E598" s="8"/>
      <c r="F598" s="8"/>
      <c r="H598" s="9"/>
      <c r="J598" s="10"/>
      <c r="K598" s="10"/>
    </row>
    <row r="599" spans="1:11" s="6" customFormat="1" x14ac:dyDescent="0.3">
      <c r="A599" s="7"/>
      <c r="E599" s="8"/>
      <c r="F599" s="8"/>
      <c r="H599" s="9"/>
      <c r="J599" s="10"/>
      <c r="K599" s="10"/>
    </row>
    <row r="600" spans="1:11" s="6" customFormat="1" x14ac:dyDescent="0.3">
      <c r="A600" s="7"/>
      <c r="E600" s="8"/>
      <c r="F600" s="8"/>
      <c r="H600" s="9"/>
      <c r="J600" s="10"/>
      <c r="K600" s="10"/>
    </row>
    <row r="601" spans="1:11" s="6" customFormat="1" x14ac:dyDescent="0.3">
      <c r="A601" s="7"/>
      <c r="E601" s="8"/>
      <c r="F601" s="8"/>
      <c r="H601" s="9"/>
      <c r="J601" s="10"/>
      <c r="K601" s="10"/>
    </row>
    <row r="602" spans="1:11" s="6" customFormat="1" x14ac:dyDescent="0.3">
      <c r="A602" s="7"/>
      <c r="E602" s="8"/>
      <c r="F602" s="8"/>
      <c r="H602" s="9"/>
      <c r="J602" s="10"/>
      <c r="K602" s="10"/>
    </row>
    <row r="603" spans="1:11" s="6" customFormat="1" x14ac:dyDescent="0.3">
      <c r="A603" s="7"/>
      <c r="E603" s="8"/>
      <c r="F603" s="8"/>
      <c r="H603" s="9"/>
      <c r="J603" s="10"/>
      <c r="K603" s="10"/>
    </row>
    <row r="604" spans="1:11" s="6" customFormat="1" x14ac:dyDescent="0.3">
      <c r="A604" s="7"/>
      <c r="E604" s="8"/>
      <c r="F604" s="8"/>
      <c r="H604" s="9"/>
      <c r="J604" s="10"/>
      <c r="K604" s="10"/>
    </row>
    <row r="605" spans="1:11" s="6" customFormat="1" x14ac:dyDescent="0.3">
      <c r="A605" s="7"/>
      <c r="E605" s="8"/>
      <c r="F605" s="8"/>
      <c r="H605" s="9"/>
      <c r="J605" s="10"/>
      <c r="K605" s="10"/>
    </row>
    <row r="606" spans="1:11" s="6" customFormat="1" x14ac:dyDescent="0.3">
      <c r="A606" s="7"/>
      <c r="E606" s="8"/>
      <c r="F606" s="8"/>
      <c r="H606" s="9"/>
      <c r="J606" s="10"/>
      <c r="K606" s="10"/>
    </row>
    <row r="607" spans="1:11" s="6" customFormat="1" x14ac:dyDescent="0.3">
      <c r="A607" s="7"/>
      <c r="E607" s="8"/>
      <c r="F607" s="8"/>
      <c r="H607" s="9"/>
      <c r="J607" s="10"/>
      <c r="K607" s="10"/>
    </row>
    <row r="608" spans="1:11" s="6" customFormat="1" x14ac:dyDescent="0.3">
      <c r="A608" s="7"/>
      <c r="E608" s="8"/>
      <c r="F608" s="8"/>
      <c r="H608" s="9"/>
      <c r="J608" s="10"/>
      <c r="K608" s="10"/>
    </row>
    <row r="609" spans="1:11" s="6" customFormat="1" x14ac:dyDescent="0.3">
      <c r="A609" s="7"/>
      <c r="E609" s="8"/>
      <c r="F609" s="8"/>
      <c r="H609" s="9"/>
      <c r="J609" s="10"/>
      <c r="K609" s="10"/>
    </row>
    <row r="610" spans="1:11" s="6" customFormat="1" x14ac:dyDescent="0.3">
      <c r="A610" s="7"/>
      <c r="E610" s="8"/>
      <c r="F610" s="8"/>
      <c r="H610" s="9"/>
      <c r="J610" s="10"/>
      <c r="K610" s="10"/>
    </row>
    <row r="611" spans="1:11" s="6" customFormat="1" x14ac:dyDescent="0.3">
      <c r="A611" s="7"/>
      <c r="E611" s="8"/>
      <c r="F611" s="8"/>
      <c r="H611" s="9"/>
      <c r="J611" s="10"/>
      <c r="K611" s="10"/>
    </row>
    <row r="612" spans="1:11" s="6" customFormat="1" x14ac:dyDescent="0.3">
      <c r="A612" s="7"/>
      <c r="E612" s="8"/>
      <c r="F612" s="8"/>
      <c r="H612" s="9"/>
      <c r="J612" s="10"/>
      <c r="K612" s="10"/>
    </row>
    <row r="613" spans="1:11" s="6" customFormat="1" x14ac:dyDescent="0.3">
      <c r="A613" s="7"/>
      <c r="E613" s="8"/>
      <c r="F613" s="8"/>
      <c r="H613" s="9"/>
      <c r="J613" s="10"/>
      <c r="K613" s="10"/>
    </row>
    <row r="614" spans="1:11" s="6" customFormat="1" x14ac:dyDescent="0.3">
      <c r="A614" s="7"/>
      <c r="E614" s="8"/>
      <c r="F614" s="8"/>
      <c r="H614" s="9"/>
      <c r="J614" s="10"/>
      <c r="K614" s="10"/>
    </row>
    <row r="615" spans="1:11" s="6" customFormat="1" x14ac:dyDescent="0.3">
      <c r="A615" s="7"/>
      <c r="E615" s="8"/>
      <c r="F615" s="8"/>
      <c r="H615" s="9"/>
      <c r="J615" s="10"/>
      <c r="K615" s="10"/>
    </row>
    <row r="616" spans="1:11" s="6" customFormat="1" x14ac:dyDescent="0.3">
      <c r="A616" s="7"/>
      <c r="E616" s="8"/>
      <c r="F616" s="8"/>
      <c r="H616" s="9"/>
      <c r="J616" s="10"/>
      <c r="K616" s="10"/>
    </row>
    <row r="617" spans="1:11" s="6" customFormat="1" x14ac:dyDescent="0.3">
      <c r="A617" s="7"/>
      <c r="E617" s="8"/>
      <c r="F617" s="8"/>
      <c r="H617" s="9"/>
      <c r="J617" s="10"/>
      <c r="K617" s="10"/>
    </row>
    <row r="618" spans="1:11" s="6" customFormat="1" x14ac:dyDescent="0.3">
      <c r="A618" s="7"/>
      <c r="E618" s="8"/>
      <c r="F618" s="8"/>
      <c r="H618" s="9"/>
      <c r="J618" s="10"/>
      <c r="K618" s="10"/>
    </row>
    <row r="619" spans="1:11" s="6" customFormat="1" x14ac:dyDescent="0.3">
      <c r="A619" s="7"/>
      <c r="E619" s="8"/>
      <c r="F619" s="8"/>
      <c r="H619" s="9"/>
      <c r="J619" s="10"/>
      <c r="K619" s="10"/>
    </row>
    <row r="620" spans="1:11" s="6" customFormat="1" x14ac:dyDescent="0.3">
      <c r="A620" s="7"/>
      <c r="E620" s="8"/>
      <c r="F620" s="8"/>
      <c r="H620" s="9"/>
      <c r="J620" s="10"/>
      <c r="K620" s="10"/>
    </row>
    <row r="621" spans="1:11" s="6" customFormat="1" x14ac:dyDescent="0.3">
      <c r="A621" s="7"/>
      <c r="E621" s="8"/>
      <c r="F621" s="8"/>
      <c r="H621" s="9"/>
      <c r="J621" s="10"/>
      <c r="K621" s="10"/>
    </row>
    <row r="622" spans="1:11" s="6" customFormat="1" x14ac:dyDescent="0.3">
      <c r="A622" s="7"/>
      <c r="E622" s="8"/>
      <c r="F622" s="8"/>
      <c r="H622" s="9"/>
      <c r="J622" s="10"/>
      <c r="K622" s="10"/>
    </row>
    <row r="623" spans="1:11" s="6" customFormat="1" x14ac:dyDescent="0.3">
      <c r="A623" s="7"/>
      <c r="E623" s="8"/>
      <c r="F623" s="8"/>
      <c r="H623" s="9"/>
      <c r="J623" s="10"/>
      <c r="K623" s="10"/>
    </row>
    <row r="624" spans="1:11" s="6" customFormat="1" x14ac:dyDescent="0.3">
      <c r="A624" s="7"/>
      <c r="E624" s="8"/>
      <c r="F624" s="8"/>
      <c r="H624" s="9"/>
      <c r="J624" s="10"/>
      <c r="K624" s="10"/>
    </row>
    <row r="625" spans="1:11" s="6" customFormat="1" x14ac:dyDescent="0.3">
      <c r="A625" s="7"/>
      <c r="E625" s="8"/>
      <c r="F625" s="8"/>
      <c r="H625" s="9"/>
      <c r="J625" s="10"/>
      <c r="K625" s="10"/>
    </row>
    <row r="626" spans="1:11" s="6" customFormat="1" x14ac:dyDescent="0.3">
      <c r="A626" s="7"/>
      <c r="E626" s="8"/>
      <c r="F626" s="8"/>
      <c r="H626" s="9"/>
      <c r="J626" s="10"/>
      <c r="K626" s="10"/>
    </row>
    <row r="627" spans="1:11" s="6" customFormat="1" x14ac:dyDescent="0.3">
      <c r="A627" s="7"/>
      <c r="E627" s="8"/>
      <c r="F627" s="8"/>
      <c r="H627" s="9"/>
      <c r="J627" s="10"/>
      <c r="K627" s="10"/>
    </row>
    <row r="628" spans="1:11" s="6" customFormat="1" x14ac:dyDescent="0.3">
      <c r="A628" s="7"/>
      <c r="E628" s="8"/>
      <c r="F628" s="8"/>
      <c r="H628" s="9"/>
      <c r="J628" s="10"/>
      <c r="K628" s="10"/>
    </row>
    <row r="629" spans="1:11" s="6" customFormat="1" x14ac:dyDescent="0.3">
      <c r="A629" s="7"/>
      <c r="E629" s="8"/>
      <c r="F629" s="8"/>
      <c r="H629" s="9"/>
      <c r="J629" s="10"/>
      <c r="K629" s="10"/>
    </row>
    <row r="630" spans="1:11" s="6" customFormat="1" x14ac:dyDescent="0.3">
      <c r="A630" s="7"/>
      <c r="E630" s="8"/>
      <c r="F630" s="8"/>
      <c r="H630" s="9"/>
      <c r="J630" s="10"/>
      <c r="K630" s="10"/>
    </row>
    <row r="631" spans="1:11" s="6" customFormat="1" x14ac:dyDescent="0.3">
      <c r="A631" s="7"/>
      <c r="E631" s="8"/>
      <c r="F631" s="8"/>
      <c r="H631" s="9"/>
      <c r="J631" s="10"/>
      <c r="K631" s="10"/>
    </row>
    <row r="632" spans="1:11" s="6" customFormat="1" x14ac:dyDescent="0.3">
      <c r="A632" s="7"/>
      <c r="E632" s="8"/>
      <c r="F632" s="8"/>
      <c r="H632" s="9"/>
      <c r="J632" s="10"/>
      <c r="K632" s="10"/>
    </row>
    <row r="633" spans="1:11" s="6" customFormat="1" x14ac:dyDescent="0.3">
      <c r="A633" s="7"/>
      <c r="E633" s="8"/>
      <c r="F633" s="8"/>
      <c r="H633" s="9"/>
      <c r="J633" s="10"/>
      <c r="K633" s="10"/>
    </row>
    <row r="634" spans="1:11" s="6" customFormat="1" x14ac:dyDescent="0.3">
      <c r="A634" s="7"/>
      <c r="E634" s="8"/>
      <c r="F634" s="8"/>
      <c r="H634" s="9"/>
      <c r="J634" s="10"/>
      <c r="K634" s="10"/>
    </row>
    <row r="635" spans="1:11" s="6" customFormat="1" x14ac:dyDescent="0.3">
      <c r="A635" s="7"/>
      <c r="E635" s="8"/>
      <c r="F635" s="8"/>
      <c r="H635" s="9"/>
      <c r="J635" s="10"/>
      <c r="K635" s="10"/>
    </row>
    <row r="636" spans="1:11" s="6" customFormat="1" x14ac:dyDescent="0.3">
      <c r="A636" s="7"/>
      <c r="E636" s="8"/>
      <c r="F636" s="8"/>
      <c r="H636" s="9"/>
      <c r="J636" s="10"/>
      <c r="K636" s="10"/>
    </row>
    <row r="637" spans="1:11" s="6" customFormat="1" x14ac:dyDescent="0.3">
      <c r="A637" s="7"/>
      <c r="E637" s="8"/>
      <c r="F637" s="8"/>
      <c r="H637" s="9"/>
      <c r="J637" s="10"/>
      <c r="K637" s="10"/>
    </row>
    <row r="638" spans="1:11" s="6" customFormat="1" x14ac:dyDescent="0.3">
      <c r="A638" s="7"/>
      <c r="E638" s="8"/>
      <c r="F638" s="8"/>
      <c r="H638" s="9"/>
      <c r="J638" s="10"/>
      <c r="K638" s="10"/>
    </row>
    <row r="639" spans="1:11" s="6" customFormat="1" x14ac:dyDescent="0.3">
      <c r="A639" s="7"/>
      <c r="E639" s="8"/>
      <c r="F639" s="8"/>
      <c r="H639" s="9"/>
      <c r="J639" s="10"/>
      <c r="K639" s="10"/>
    </row>
    <row r="640" spans="1:11" s="6" customFormat="1" x14ac:dyDescent="0.3">
      <c r="A640" s="7"/>
      <c r="E640" s="8"/>
      <c r="F640" s="8"/>
      <c r="H640" s="9"/>
      <c r="J640" s="10"/>
      <c r="K640" s="10"/>
    </row>
    <row r="641" spans="1:11" s="6" customFormat="1" x14ac:dyDescent="0.3">
      <c r="A641" s="7"/>
      <c r="E641" s="8"/>
      <c r="F641" s="8"/>
      <c r="H641" s="9"/>
      <c r="J641" s="10"/>
      <c r="K641" s="10"/>
    </row>
    <row r="642" spans="1:11" s="6" customFormat="1" x14ac:dyDescent="0.3">
      <c r="A642" s="7"/>
      <c r="E642" s="8"/>
      <c r="F642" s="8"/>
      <c r="H642" s="9"/>
      <c r="J642" s="10"/>
      <c r="K642" s="10"/>
    </row>
    <row r="643" spans="1:11" s="6" customFormat="1" x14ac:dyDescent="0.3">
      <c r="A643" s="7"/>
      <c r="E643" s="8"/>
      <c r="F643" s="8"/>
      <c r="H643" s="9"/>
      <c r="J643" s="10"/>
      <c r="K643" s="10"/>
    </row>
    <row r="644" spans="1:11" s="6" customFormat="1" x14ac:dyDescent="0.3">
      <c r="A644" s="7"/>
      <c r="E644" s="8"/>
      <c r="F644" s="8"/>
      <c r="H644" s="9"/>
      <c r="J644" s="10"/>
      <c r="K644" s="10"/>
    </row>
    <row r="645" spans="1:11" s="6" customFormat="1" x14ac:dyDescent="0.3">
      <c r="A645" s="7"/>
      <c r="E645" s="8"/>
      <c r="F645" s="8"/>
      <c r="H645" s="9"/>
      <c r="J645" s="10"/>
      <c r="K645" s="10"/>
    </row>
    <row r="646" spans="1:11" s="6" customFormat="1" x14ac:dyDescent="0.3">
      <c r="A646" s="7"/>
      <c r="E646" s="8"/>
      <c r="F646" s="8"/>
      <c r="H646" s="9"/>
      <c r="J646" s="10"/>
      <c r="K646" s="10"/>
    </row>
    <row r="647" spans="1:11" s="6" customFormat="1" x14ac:dyDescent="0.3">
      <c r="A647" s="7"/>
      <c r="E647" s="8"/>
      <c r="F647" s="8"/>
      <c r="H647" s="9"/>
      <c r="J647" s="10"/>
      <c r="K647" s="10"/>
    </row>
    <row r="648" spans="1:11" s="6" customFormat="1" x14ac:dyDescent="0.3">
      <c r="A648" s="7"/>
      <c r="E648" s="8"/>
      <c r="F648" s="8"/>
      <c r="H648" s="9"/>
      <c r="J648" s="10"/>
      <c r="K648" s="10"/>
    </row>
    <row r="649" spans="1:11" s="6" customFormat="1" x14ac:dyDescent="0.3">
      <c r="A649" s="7"/>
      <c r="E649" s="8"/>
      <c r="F649" s="8"/>
      <c r="H649" s="9"/>
      <c r="J649" s="10"/>
      <c r="K649" s="10"/>
    </row>
    <row r="650" spans="1:11" s="6" customFormat="1" x14ac:dyDescent="0.3">
      <c r="A650" s="7"/>
      <c r="E650" s="8"/>
      <c r="F650" s="8"/>
      <c r="H650" s="9"/>
      <c r="J650" s="10"/>
      <c r="K650" s="10"/>
    </row>
    <row r="651" spans="1:11" s="6" customFormat="1" x14ac:dyDescent="0.3">
      <c r="A651" s="7"/>
      <c r="E651" s="8"/>
      <c r="F651" s="8"/>
      <c r="H651" s="9"/>
      <c r="J651" s="10"/>
      <c r="K651" s="10"/>
    </row>
    <row r="652" spans="1:11" s="6" customFormat="1" x14ac:dyDescent="0.3">
      <c r="A652" s="7"/>
      <c r="E652" s="8"/>
      <c r="F652" s="8"/>
      <c r="H652" s="9"/>
      <c r="J652" s="10"/>
      <c r="K652" s="10"/>
    </row>
    <row r="653" spans="1:11" s="6" customFormat="1" x14ac:dyDescent="0.3">
      <c r="A653" s="7"/>
      <c r="E653" s="8"/>
      <c r="F653" s="8"/>
      <c r="H653" s="9"/>
      <c r="J653" s="10"/>
      <c r="K653" s="10"/>
    </row>
    <row r="654" spans="1:11" s="6" customFormat="1" x14ac:dyDescent="0.3">
      <c r="A654" s="7"/>
      <c r="E654" s="8"/>
      <c r="F654" s="8"/>
      <c r="H654" s="9"/>
      <c r="J654" s="10"/>
      <c r="K654" s="10"/>
    </row>
    <row r="655" spans="1:11" s="6" customFormat="1" x14ac:dyDescent="0.3">
      <c r="A655" s="7"/>
      <c r="E655" s="8"/>
      <c r="F655" s="8"/>
      <c r="H655" s="9"/>
      <c r="J655" s="10"/>
      <c r="K655" s="10"/>
    </row>
    <row r="656" spans="1:11" s="6" customFormat="1" x14ac:dyDescent="0.3">
      <c r="A656" s="7"/>
      <c r="E656" s="8"/>
      <c r="F656" s="8"/>
      <c r="H656" s="9"/>
      <c r="J656" s="10"/>
      <c r="K656" s="10"/>
    </row>
    <row r="657" spans="1:11" s="6" customFormat="1" x14ac:dyDescent="0.3">
      <c r="A657" s="7"/>
      <c r="E657" s="8"/>
      <c r="F657" s="8"/>
      <c r="H657" s="9"/>
      <c r="J657" s="10"/>
      <c r="K657" s="10"/>
    </row>
    <row r="658" spans="1:11" s="6" customFormat="1" x14ac:dyDescent="0.3">
      <c r="A658" s="7"/>
      <c r="E658" s="8"/>
      <c r="F658" s="8"/>
      <c r="H658" s="9"/>
      <c r="J658" s="10"/>
      <c r="K658" s="10"/>
    </row>
    <row r="659" spans="1:11" s="6" customFormat="1" x14ac:dyDescent="0.3">
      <c r="A659" s="7"/>
      <c r="E659" s="8"/>
      <c r="F659" s="8"/>
      <c r="H659" s="9"/>
      <c r="J659" s="10"/>
      <c r="K659" s="10"/>
    </row>
    <row r="660" spans="1:11" s="6" customFormat="1" x14ac:dyDescent="0.3">
      <c r="A660" s="7"/>
      <c r="E660" s="8"/>
      <c r="F660" s="8"/>
      <c r="H660" s="9"/>
      <c r="J660" s="10"/>
      <c r="K660" s="10"/>
    </row>
    <row r="661" spans="1:11" s="6" customFormat="1" x14ac:dyDescent="0.3">
      <c r="A661" s="21"/>
      <c r="B661" s="22"/>
      <c r="C661" s="22"/>
      <c r="D661" s="22"/>
      <c r="E661" s="23"/>
      <c r="F661" s="23"/>
      <c r="G661" s="22"/>
      <c r="H661" s="24"/>
      <c r="I661" s="22"/>
      <c r="J661" s="25"/>
      <c r="K661" s="25"/>
    </row>
    <row r="662" spans="1:11" s="6" customFormat="1" x14ac:dyDescent="0.3">
      <c r="A662" s="21"/>
      <c r="B662" s="22"/>
      <c r="C662" s="22"/>
      <c r="D662" s="22"/>
      <c r="E662" s="23"/>
      <c r="F662" s="23"/>
      <c r="G662" s="22"/>
      <c r="H662" s="24"/>
      <c r="I662" s="22"/>
      <c r="J662" s="25"/>
      <c r="K662" s="25"/>
    </row>
    <row r="663" spans="1:11" s="6" customFormat="1" x14ac:dyDescent="0.3">
      <c r="A663" s="21"/>
      <c r="B663" s="22"/>
      <c r="C663" s="22"/>
      <c r="D663" s="22"/>
      <c r="E663" s="23"/>
      <c r="F663" s="23"/>
      <c r="G663" s="22"/>
      <c r="H663" s="24"/>
      <c r="I663" s="22"/>
      <c r="J663" s="25"/>
      <c r="K663" s="25"/>
    </row>
    <row r="664" spans="1:11" s="6" customFormat="1" x14ac:dyDescent="0.3">
      <c r="A664" s="21"/>
      <c r="B664" s="22"/>
      <c r="C664" s="22"/>
      <c r="D664" s="22"/>
      <c r="E664" s="23"/>
      <c r="F664" s="23"/>
      <c r="G664" s="22"/>
      <c r="H664" s="24"/>
      <c r="I664" s="22"/>
      <c r="J664" s="25"/>
      <c r="K664" s="25"/>
    </row>
    <row r="665" spans="1:11" s="6" customFormat="1" x14ac:dyDescent="0.3">
      <c r="A665" s="21"/>
      <c r="B665" s="22"/>
      <c r="C665" s="22"/>
      <c r="D665" s="22"/>
      <c r="E665" s="23"/>
      <c r="F665" s="23"/>
      <c r="G665" s="22"/>
      <c r="H665" s="24"/>
      <c r="I665" s="22"/>
      <c r="J665" s="25"/>
      <c r="K665" s="25"/>
    </row>
    <row r="666" spans="1:11" s="6" customFormat="1" x14ac:dyDescent="0.3">
      <c r="A666" s="21"/>
      <c r="B666" s="22"/>
      <c r="C666" s="22"/>
      <c r="D666" s="22"/>
      <c r="E666" s="23"/>
      <c r="F666" s="23"/>
      <c r="G666" s="22"/>
      <c r="H666" s="24"/>
      <c r="I666" s="22"/>
      <c r="J666" s="25"/>
      <c r="K666" s="25"/>
    </row>
    <row r="667" spans="1:11" s="6" customFormat="1" x14ac:dyDescent="0.3">
      <c r="A667" s="21"/>
      <c r="B667" s="22"/>
      <c r="C667" s="22"/>
      <c r="D667" s="22"/>
      <c r="E667" s="23"/>
      <c r="F667" s="23"/>
      <c r="G667" s="22"/>
      <c r="H667" s="24"/>
      <c r="I667" s="22"/>
      <c r="J667" s="25"/>
      <c r="K667" s="25"/>
    </row>
    <row r="668" spans="1:11" s="6" customFormat="1" x14ac:dyDescent="0.3">
      <c r="A668" s="21"/>
      <c r="B668" s="22"/>
      <c r="C668" s="22"/>
      <c r="D668" s="22"/>
      <c r="E668" s="23"/>
      <c r="F668" s="23"/>
      <c r="G668" s="22"/>
      <c r="H668" s="24"/>
      <c r="I668" s="22"/>
      <c r="J668" s="25"/>
      <c r="K668" s="25"/>
    </row>
    <row r="669" spans="1:11" s="6" customFormat="1" x14ac:dyDescent="0.3">
      <c r="A669" s="21"/>
      <c r="B669" s="22"/>
      <c r="C669" s="22"/>
      <c r="D669" s="22"/>
      <c r="E669" s="23"/>
      <c r="F669" s="23"/>
      <c r="G669" s="22"/>
      <c r="H669" s="24"/>
      <c r="I669" s="22"/>
      <c r="J669" s="25"/>
      <c r="K669" s="25"/>
    </row>
    <row r="670" spans="1:11" s="6" customFormat="1" x14ac:dyDescent="0.3">
      <c r="A670" s="21"/>
      <c r="B670" s="22"/>
      <c r="C670" s="22"/>
      <c r="D670" s="22"/>
      <c r="E670" s="23"/>
      <c r="F670" s="23"/>
      <c r="G670" s="22"/>
      <c r="H670" s="24"/>
      <c r="I670" s="22"/>
      <c r="J670" s="25"/>
      <c r="K670" s="25"/>
    </row>
    <row r="671" spans="1:11" s="6" customFormat="1" x14ac:dyDescent="0.3">
      <c r="A671" s="21"/>
      <c r="B671" s="22"/>
      <c r="C671" s="22"/>
      <c r="D671" s="22"/>
      <c r="E671" s="23"/>
      <c r="F671" s="23"/>
      <c r="G671" s="22"/>
      <c r="H671" s="24"/>
      <c r="I671" s="22"/>
      <c r="J671" s="25"/>
      <c r="K671" s="25"/>
    </row>
    <row r="672" spans="1:11" s="6" customFormat="1" x14ac:dyDescent="0.3">
      <c r="A672" s="21"/>
      <c r="B672" s="22"/>
      <c r="C672" s="22"/>
      <c r="D672" s="22"/>
      <c r="E672" s="23"/>
      <c r="F672" s="23"/>
      <c r="G672" s="22"/>
      <c r="H672" s="24"/>
      <c r="I672" s="22"/>
      <c r="J672" s="25"/>
      <c r="K672" s="25"/>
    </row>
    <row r="673" spans="1:11" s="6" customFormat="1" x14ac:dyDescent="0.3">
      <c r="A673" s="21"/>
      <c r="B673" s="22"/>
      <c r="C673" s="22"/>
      <c r="D673" s="22"/>
      <c r="E673" s="23"/>
      <c r="F673" s="23"/>
      <c r="G673" s="22"/>
      <c r="H673" s="24"/>
      <c r="I673" s="22"/>
      <c r="J673" s="25"/>
      <c r="K673" s="25"/>
    </row>
    <row r="674" spans="1:11" s="6" customFormat="1" x14ac:dyDescent="0.3">
      <c r="A674" s="21"/>
      <c r="B674" s="22"/>
      <c r="C674" s="22"/>
      <c r="D674" s="22"/>
      <c r="E674" s="23"/>
      <c r="F674" s="23"/>
      <c r="G674" s="22"/>
      <c r="H674" s="24"/>
      <c r="I674" s="22"/>
      <c r="J674" s="25"/>
      <c r="K674" s="25"/>
    </row>
    <row r="675" spans="1:11" s="6" customFormat="1" x14ac:dyDescent="0.3">
      <c r="A675" s="21"/>
      <c r="B675" s="22"/>
      <c r="C675" s="22"/>
      <c r="D675" s="22"/>
      <c r="E675" s="23"/>
      <c r="F675" s="23"/>
      <c r="G675" s="22"/>
      <c r="H675" s="24"/>
      <c r="I675" s="22"/>
      <c r="J675" s="25"/>
      <c r="K675" s="25"/>
    </row>
    <row r="676" spans="1:11" s="6" customFormat="1" x14ac:dyDescent="0.3">
      <c r="A676" s="21"/>
      <c r="B676" s="22"/>
      <c r="C676" s="22"/>
      <c r="D676" s="22"/>
      <c r="E676" s="23"/>
      <c r="F676" s="23"/>
      <c r="G676" s="22"/>
      <c r="H676" s="24"/>
      <c r="I676" s="22"/>
      <c r="J676" s="25"/>
      <c r="K676" s="25"/>
    </row>
    <row r="677" spans="1:11" s="6" customFormat="1" x14ac:dyDescent="0.3">
      <c r="A677" s="21"/>
      <c r="B677" s="22"/>
      <c r="C677" s="22"/>
      <c r="D677" s="22"/>
      <c r="E677" s="23"/>
      <c r="F677" s="23"/>
      <c r="G677" s="22"/>
      <c r="H677" s="24"/>
      <c r="I677" s="22"/>
      <c r="J677" s="25"/>
      <c r="K677" s="25"/>
    </row>
    <row r="678" spans="1:11" s="6" customFormat="1" x14ac:dyDescent="0.3">
      <c r="A678" s="21"/>
      <c r="B678" s="22"/>
      <c r="C678" s="22"/>
      <c r="D678" s="22"/>
      <c r="E678" s="23"/>
      <c r="F678" s="23"/>
      <c r="G678" s="22"/>
      <c r="H678" s="24"/>
      <c r="I678" s="22"/>
      <c r="J678" s="25"/>
      <c r="K678" s="25"/>
    </row>
    <row r="679" spans="1:11" s="6" customFormat="1" x14ac:dyDescent="0.3">
      <c r="A679" s="21"/>
      <c r="B679" s="22"/>
      <c r="C679" s="22"/>
      <c r="D679" s="22"/>
      <c r="E679" s="23"/>
      <c r="F679" s="23"/>
      <c r="G679" s="22"/>
      <c r="H679" s="24"/>
      <c r="I679" s="22"/>
      <c r="J679" s="25"/>
      <c r="K679" s="25"/>
    </row>
    <row r="680" spans="1:11" s="6" customFormat="1" x14ac:dyDescent="0.3">
      <c r="A680" s="21"/>
      <c r="B680" s="22"/>
      <c r="C680" s="22"/>
      <c r="D680" s="22"/>
      <c r="E680" s="23"/>
      <c r="F680" s="23"/>
      <c r="G680" s="22"/>
      <c r="H680" s="24"/>
      <c r="I680" s="22"/>
      <c r="J680" s="25"/>
      <c r="K680" s="25"/>
    </row>
    <row r="681" spans="1:11" s="6" customFormat="1" x14ac:dyDescent="0.3">
      <c r="A681" s="21"/>
      <c r="B681" s="22"/>
      <c r="C681" s="22"/>
      <c r="D681" s="22"/>
      <c r="E681" s="23"/>
      <c r="F681" s="23"/>
      <c r="G681" s="22"/>
      <c r="H681" s="24"/>
      <c r="I681" s="22"/>
      <c r="J681" s="25"/>
      <c r="K681" s="25"/>
    </row>
    <row r="682" spans="1:11" s="6" customFormat="1" x14ac:dyDescent="0.3">
      <c r="A682" s="21"/>
      <c r="B682" s="22"/>
      <c r="C682" s="22"/>
      <c r="D682" s="22"/>
      <c r="E682" s="23"/>
      <c r="F682" s="23"/>
      <c r="G682" s="22"/>
      <c r="H682" s="24"/>
      <c r="I682" s="22"/>
      <c r="J682" s="25"/>
      <c r="K682" s="25"/>
    </row>
    <row r="683" spans="1:11" s="6" customFormat="1" x14ac:dyDescent="0.3">
      <c r="A683" s="21"/>
      <c r="B683" s="22"/>
      <c r="C683" s="22"/>
      <c r="D683" s="22"/>
      <c r="E683" s="23"/>
      <c r="F683" s="23"/>
      <c r="G683" s="22"/>
      <c r="H683" s="24"/>
      <c r="I683" s="22"/>
      <c r="J683" s="25"/>
      <c r="K683" s="25"/>
    </row>
    <row r="684" spans="1:11" s="6" customFormat="1" x14ac:dyDescent="0.3">
      <c r="A684" s="21"/>
      <c r="B684" s="22"/>
      <c r="C684" s="22"/>
      <c r="D684" s="22"/>
      <c r="E684" s="23"/>
      <c r="F684" s="23"/>
      <c r="G684" s="22"/>
      <c r="H684" s="24"/>
      <c r="I684" s="22"/>
      <c r="J684" s="25"/>
      <c r="K684" s="25"/>
    </row>
    <row r="685" spans="1:11" s="6" customFormat="1" x14ac:dyDescent="0.3">
      <c r="A685" s="21"/>
      <c r="B685" s="22"/>
      <c r="C685" s="22"/>
      <c r="D685" s="22"/>
      <c r="E685" s="23"/>
      <c r="F685" s="23"/>
      <c r="G685" s="22"/>
      <c r="H685" s="24"/>
      <c r="I685" s="22"/>
      <c r="J685" s="25"/>
      <c r="K685" s="25"/>
    </row>
    <row r="686" spans="1:11" s="6" customFormat="1" x14ac:dyDescent="0.3">
      <c r="A686" s="21"/>
      <c r="B686" s="22"/>
      <c r="C686" s="22"/>
      <c r="D686" s="22"/>
      <c r="E686" s="23"/>
      <c r="F686" s="23"/>
      <c r="G686" s="22"/>
      <c r="H686" s="24"/>
      <c r="I686" s="22"/>
      <c r="J686" s="25"/>
      <c r="K686" s="25"/>
    </row>
    <row r="687" spans="1:11" s="6" customFormat="1" x14ac:dyDescent="0.3">
      <c r="A687" s="21"/>
      <c r="B687" s="22"/>
      <c r="C687" s="22"/>
      <c r="D687" s="22"/>
      <c r="E687" s="23"/>
      <c r="F687" s="23"/>
      <c r="G687" s="22"/>
      <c r="H687" s="24"/>
      <c r="I687" s="22"/>
      <c r="J687" s="25"/>
      <c r="K687" s="25"/>
    </row>
    <row r="688" spans="1:11" s="6" customFormat="1" x14ac:dyDescent="0.3">
      <c r="A688" s="21"/>
      <c r="B688" s="22"/>
      <c r="C688" s="22"/>
      <c r="D688" s="22"/>
      <c r="E688" s="23"/>
      <c r="F688" s="23"/>
      <c r="G688" s="22"/>
      <c r="H688" s="24"/>
      <c r="I688" s="22"/>
      <c r="J688" s="25"/>
      <c r="K688" s="25"/>
    </row>
    <row r="689" spans="1:11" s="6" customFormat="1" x14ac:dyDescent="0.3">
      <c r="A689" s="21"/>
      <c r="B689" s="22"/>
      <c r="C689" s="22"/>
      <c r="D689" s="22"/>
      <c r="E689" s="23"/>
      <c r="F689" s="23"/>
      <c r="G689" s="22"/>
      <c r="H689" s="24"/>
      <c r="I689" s="22"/>
      <c r="J689" s="25"/>
      <c r="K689" s="25"/>
    </row>
    <row r="690" spans="1:11" s="6" customFormat="1" x14ac:dyDescent="0.3">
      <c r="A690" s="21"/>
      <c r="B690" s="22"/>
      <c r="C690" s="22"/>
      <c r="D690" s="22"/>
      <c r="E690" s="23"/>
      <c r="F690" s="23"/>
      <c r="G690" s="22"/>
      <c r="H690" s="24"/>
      <c r="I690" s="22"/>
      <c r="J690" s="25"/>
      <c r="K690" s="25"/>
    </row>
    <row r="691" spans="1:11" s="6" customFormat="1" x14ac:dyDescent="0.3">
      <c r="A691" s="21"/>
      <c r="B691" s="22"/>
      <c r="C691" s="22"/>
      <c r="D691" s="22"/>
      <c r="E691" s="23"/>
      <c r="F691" s="23"/>
      <c r="G691" s="22"/>
      <c r="H691" s="24"/>
      <c r="I691" s="22"/>
      <c r="J691" s="25"/>
      <c r="K691" s="25"/>
    </row>
    <row r="692" spans="1:11" s="6" customFormat="1" x14ac:dyDescent="0.3">
      <c r="A692" s="21"/>
      <c r="B692" s="22"/>
      <c r="C692" s="22"/>
      <c r="D692" s="22"/>
      <c r="E692" s="23"/>
      <c r="F692" s="23"/>
      <c r="G692" s="22"/>
      <c r="H692" s="24"/>
      <c r="I692" s="22"/>
      <c r="J692" s="25"/>
      <c r="K692" s="25"/>
    </row>
    <row r="693" spans="1:11" s="6" customFormat="1" x14ac:dyDescent="0.3">
      <c r="A693" s="21"/>
      <c r="B693" s="22"/>
      <c r="C693" s="22"/>
      <c r="D693" s="22"/>
      <c r="E693" s="23"/>
      <c r="F693" s="23"/>
      <c r="G693" s="22"/>
      <c r="H693" s="24"/>
      <c r="I693" s="22"/>
      <c r="J693" s="25"/>
      <c r="K693" s="25"/>
    </row>
    <row r="694" spans="1:11" s="6" customFormat="1" x14ac:dyDescent="0.3">
      <c r="A694" s="21"/>
      <c r="B694" s="22"/>
      <c r="C694" s="22"/>
      <c r="D694" s="22"/>
      <c r="E694" s="23"/>
      <c r="F694" s="23"/>
      <c r="G694" s="22"/>
      <c r="H694" s="24"/>
      <c r="I694" s="22"/>
      <c r="J694" s="25"/>
      <c r="K694" s="25"/>
    </row>
    <row r="695" spans="1:11" s="6" customFormat="1" x14ac:dyDescent="0.3">
      <c r="A695" s="21"/>
      <c r="B695" s="22"/>
      <c r="C695" s="22"/>
      <c r="D695" s="22"/>
      <c r="E695" s="23"/>
      <c r="F695" s="23"/>
      <c r="G695" s="22"/>
      <c r="H695" s="24"/>
      <c r="I695" s="22"/>
      <c r="J695" s="25"/>
      <c r="K695" s="25"/>
    </row>
    <row r="696" spans="1:11" s="6" customFormat="1" x14ac:dyDescent="0.3">
      <c r="A696" s="21"/>
      <c r="B696" s="22"/>
      <c r="C696" s="22"/>
      <c r="D696" s="22"/>
      <c r="E696" s="23"/>
      <c r="F696" s="23"/>
      <c r="G696" s="22"/>
      <c r="H696" s="24"/>
      <c r="I696" s="22"/>
      <c r="J696" s="25"/>
      <c r="K696" s="25"/>
    </row>
    <row r="697" spans="1:11" s="6" customFormat="1" x14ac:dyDescent="0.3">
      <c r="A697" s="21"/>
      <c r="B697" s="22"/>
      <c r="C697" s="22"/>
      <c r="D697" s="22"/>
      <c r="E697" s="23"/>
      <c r="F697" s="23"/>
      <c r="G697" s="22"/>
      <c r="H697" s="24"/>
      <c r="I697" s="22"/>
      <c r="J697" s="25"/>
      <c r="K697" s="25"/>
    </row>
    <row r="698" spans="1:11" s="6" customFormat="1" x14ac:dyDescent="0.3">
      <c r="A698" s="21"/>
      <c r="B698" s="22"/>
      <c r="C698" s="22"/>
      <c r="D698" s="22"/>
      <c r="E698" s="23"/>
      <c r="F698" s="23"/>
      <c r="G698" s="22"/>
      <c r="H698" s="24"/>
      <c r="I698" s="22"/>
      <c r="J698" s="25"/>
      <c r="K698" s="25"/>
    </row>
    <row r="699" spans="1:11" s="6" customFormat="1" x14ac:dyDescent="0.3">
      <c r="A699" s="21"/>
      <c r="B699" s="22"/>
      <c r="C699" s="22"/>
      <c r="D699" s="22"/>
      <c r="E699" s="23"/>
      <c r="F699" s="23"/>
      <c r="G699" s="22"/>
      <c r="H699" s="24"/>
      <c r="I699" s="22"/>
      <c r="J699" s="25"/>
      <c r="K699" s="25"/>
    </row>
    <row r="700" spans="1:11" s="6" customFormat="1" x14ac:dyDescent="0.3">
      <c r="A700" s="21"/>
      <c r="B700" s="22"/>
      <c r="C700" s="22"/>
      <c r="D700" s="22"/>
      <c r="E700" s="23"/>
      <c r="F700" s="23"/>
      <c r="G700" s="22"/>
      <c r="H700" s="24"/>
      <c r="I700" s="22"/>
      <c r="J700" s="25"/>
      <c r="K700" s="25"/>
    </row>
    <row r="701" spans="1:11" s="6" customFormat="1" x14ac:dyDescent="0.3">
      <c r="A701" s="21"/>
      <c r="B701" s="22"/>
      <c r="C701" s="22"/>
      <c r="D701" s="22"/>
      <c r="E701" s="23"/>
      <c r="F701" s="23"/>
      <c r="G701" s="22"/>
      <c r="H701" s="24"/>
      <c r="I701" s="22"/>
      <c r="J701" s="25"/>
      <c r="K701" s="25"/>
    </row>
    <row r="702" spans="1:11" s="6" customFormat="1" x14ac:dyDescent="0.3">
      <c r="A702" s="21"/>
      <c r="B702" s="22"/>
      <c r="C702" s="22"/>
      <c r="D702" s="22"/>
      <c r="E702" s="23"/>
      <c r="F702" s="23"/>
      <c r="G702" s="22"/>
      <c r="H702" s="24"/>
      <c r="I702" s="22"/>
      <c r="J702" s="25"/>
      <c r="K702" s="25"/>
    </row>
    <row r="703" spans="1:11" s="6" customFormat="1" x14ac:dyDescent="0.3">
      <c r="A703" s="21"/>
      <c r="B703" s="22"/>
      <c r="C703" s="22"/>
      <c r="D703" s="22"/>
      <c r="E703" s="23"/>
      <c r="F703" s="23"/>
      <c r="G703" s="22"/>
      <c r="H703" s="24"/>
      <c r="I703" s="22"/>
      <c r="J703" s="25"/>
      <c r="K703" s="25"/>
    </row>
    <row r="704" spans="1:11" s="6" customFormat="1" x14ac:dyDescent="0.3">
      <c r="A704" s="21"/>
      <c r="B704" s="22"/>
      <c r="C704" s="22"/>
      <c r="D704" s="22"/>
      <c r="E704" s="23"/>
      <c r="F704" s="23"/>
      <c r="G704" s="22"/>
      <c r="H704" s="24"/>
      <c r="I704" s="22"/>
      <c r="J704" s="25"/>
      <c r="K704" s="25"/>
    </row>
    <row r="705" spans="1:11" s="6" customFormat="1" x14ac:dyDescent="0.3">
      <c r="A705" s="21"/>
      <c r="B705" s="22"/>
      <c r="C705" s="22"/>
      <c r="D705" s="22"/>
      <c r="E705" s="23"/>
      <c r="F705" s="23"/>
      <c r="G705" s="22"/>
      <c r="H705" s="24"/>
      <c r="I705" s="22"/>
      <c r="J705" s="25"/>
      <c r="K705" s="25"/>
    </row>
    <row r="706" spans="1:11" s="6" customFormat="1" x14ac:dyDescent="0.3">
      <c r="A706" s="21"/>
      <c r="B706" s="22"/>
      <c r="C706" s="22"/>
      <c r="D706" s="22"/>
      <c r="E706" s="23"/>
      <c r="F706" s="23"/>
      <c r="G706" s="22"/>
      <c r="H706" s="24"/>
      <c r="I706" s="22"/>
      <c r="J706" s="25"/>
      <c r="K706" s="25"/>
    </row>
    <row r="707" spans="1:11" s="6" customFormat="1" x14ac:dyDescent="0.3">
      <c r="A707" s="21"/>
      <c r="B707" s="22"/>
      <c r="C707" s="22"/>
      <c r="D707" s="22"/>
      <c r="E707" s="23"/>
      <c r="F707" s="23"/>
      <c r="G707" s="22"/>
      <c r="H707" s="24"/>
      <c r="I707" s="22"/>
      <c r="J707" s="25"/>
      <c r="K707" s="25"/>
    </row>
    <row r="708" spans="1:11" s="6" customFormat="1" x14ac:dyDescent="0.3">
      <c r="A708" s="21"/>
      <c r="B708" s="22"/>
      <c r="C708" s="22"/>
      <c r="D708" s="22"/>
      <c r="E708" s="23"/>
      <c r="F708" s="23"/>
      <c r="G708" s="22"/>
      <c r="H708" s="24"/>
      <c r="I708" s="22"/>
      <c r="J708" s="25"/>
      <c r="K708" s="25"/>
    </row>
    <row r="709" spans="1:11" s="6" customFormat="1" x14ac:dyDescent="0.3">
      <c r="A709" s="21"/>
      <c r="B709" s="22"/>
      <c r="C709" s="22"/>
      <c r="D709" s="22"/>
      <c r="E709" s="23"/>
      <c r="F709" s="23"/>
      <c r="G709" s="22"/>
      <c r="H709" s="24"/>
      <c r="I709" s="22"/>
      <c r="J709" s="25"/>
      <c r="K709" s="25"/>
    </row>
    <row r="710" spans="1:11" s="6" customFormat="1" x14ac:dyDescent="0.3">
      <c r="A710" s="21"/>
      <c r="B710" s="22"/>
      <c r="C710" s="22"/>
      <c r="D710" s="22"/>
      <c r="E710" s="23"/>
      <c r="F710" s="23"/>
      <c r="G710" s="22"/>
      <c r="H710" s="24"/>
      <c r="I710" s="22"/>
      <c r="J710" s="25"/>
      <c r="K710" s="25"/>
    </row>
    <row r="711" spans="1:11" s="6" customFormat="1" x14ac:dyDescent="0.3">
      <c r="A711" s="21"/>
      <c r="B711" s="22"/>
      <c r="C711" s="22"/>
      <c r="D711" s="22"/>
      <c r="E711" s="23"/>
      <c r="F711" s="23"/>
      <c r="G711" s="22"/>
      <c r="H711" s="24"/>
      <c r="I711" s="22"/>
      <c r="J711" s="25"/>
      <c r="K711" s="25"/>
    </row>
    <row r="712" spans="1:11" s="6" customFormat="1" x14ac:dyDescent="0.3">
      <c r="A712" s="21"/>
      <c r="B712" s="22"/>
      <c r="C712" s="22"/>
      <c r="D712" s="22"/>
      <c r="E712" s="23"/>
      <c r="F712" s="23"/>
      <c r="G712" s="22"/>
      <c r="H712" s="24"/>
      <c r="I712" s="22"/>
      <c r="J712" s="25"/>
      <c r="K712" s="25"/>
    </row>
    <row r="713" spans="1:11" s="6" customFormat="1" x14ac:dyDescent="0.3">
      <c r="A713" s="21"/>
      <c r="B713" s="22"/>
      <c r="C713" s="22"/>
      <c r="D713" s="22"/>
      <c r="E713" s="23"/>
      <c r="F713" s="23"/>
      <c r="G713" s="22"/>
      <c r="H713" s="24"/>
      <c r="I713" s="22"/>
      <c r="J713" s="25"/>
      <c r="K713" s="25"/>
    </row>
    <row r="714" spans="1:11" s="6" customFormat="1" x14ac:dyDescent="0.3">
      <c r="A714" s="21"/>
      <c r="B714" s="22"/>
      <c r="C714" s="22"/>
      <c r="D714" s="22"/>
      <c r="E714" s="23"/>
      <c r="F714" s="23"/>
      <c r="G714" s="22"/>
      <c r="H714" s="24"/>
      <c r="I714" s="22"/>
      <c r="J714" s="25"/>
      <c r="K714" s="25"/>
    </row>
    <row r="715" spans="1:11" s="6" customFormat="1" x14ac:dyDescent="0.3">
      <c r="A715" s="21"/>
      <c r="B715" s="22"/>
      <c r="C715" s="22"/>
      <c r="D715" s="22"/>
      <c r="E715" s="23"/>
      <c r="F715" s="23"/>
      <c r="G715" s="22"/>
      <c r="H715" s="24"/>
      <c r="I715" s="22"/>
      <c r="J715" s="25"/>
      <c r="K715" s="25"/>
    </row>
    <row r="716" spans="1:11" s="6" customFormat="1" x14ac:dyDescent="0.3">
      <c r="A716" s="21"/>
      <c r="B716" s="22"/>
      <c r="C716" s="22"/>
      <c r="D716" s="22"/>
      <c r="E716" s="23"/>
      <c r="F716" s="23"/>
      <c r="G716" s="22"/>
      <c r="H716" s="24"/>
      <c r="I716" s="22"/>
      <c r="J716" s="25"/>
      <c r="K716" s="25"/>
    </row>
    <row r="717" spans="1:11" s="6" customFormat="1" x14ac:dyDescent="0.3">
      <c r="A717" s="21"/>
      <c r="B717" s="22"/>
      <c r="C717" s="22"/>
      <c r="D717" s="22"/>
      <c r="E717" s="23"/>
      <c r="F717" s="23"/>
      <c r="G717" s="22"/>
      <c r="H717" s="24"/>
      <c r="I717" s="22"/>
      <c r="J717" s="25"/>
      <c r="K717" s="25"/>
    </row>
    <row r="718" spans="1:11" s="6" customFormat="1" x14ac:dyDescent="0.3">
      <c r="A718" s="21"/>
      <c r="B718" s="22"/>
      <c r="C718" s="22"/>
      <c r="D718" s="22"/>
      <c r="E718" s="23"/>
      <c r="F718" s="23"/>
      <c r="G718" s="22"/>
      <c r="H718" s="24"/>
      <c r="I718" s="22"/>
      <c r="J718" s="25"/>
      <c r="K718" s="25"/>
    </row>
    <row r="719" spans="1:11" s="6" customFormat="1" x14ac:dyDescent="0.3">
      <c r="A719" s="21"/>
      <c r="B719" s="22"/>
      <c r="C719" s="22"/>
      <c r="D719" s="22"/>
      <c r="E719" s="23"/>
      <c r="F719" s="23"/>
      <c r="G719" s="22"/>
      <c r="H719" s="24"/>
      <c r="I719" s="22"/>
      <c r="J719" s="25"/>
      <c r="K719" s="25"/>
    </row>
    <row r="720" spans="1:11" s="6" customFormat="1" x14ac:dyDescent="0.3">
      <c r="A720" s="21"/>
      <c r="B720" s="22"/>
      <c r="C720" s="22"/>
      <c r="D720" s="22"/>
      <c r="E720" s="23"/>
      <c r="F720" s="23"/>
      <c r="G720" s="22"/>
      <c r="H720" s="24"/>
      <c r="I720" s="22"/>
      <c r="J720" s="25"/>
      <c r="K720" s="25"/>
    </row>
    <row r="721" spans="1:11" s="6" customFormat="1" x14ac:dyDescent="0.3">
      <c r="A721" s="21"/>
      <c r="B721" s="22"/>
      <c r="C721" s="22"/>
      <c r="D721" s="22"/>
      <c r="E721" s="23"/>
      <c r="F721" s="23"/>
      <c r="G721" s="22"/>
      <c r="H721" s="24"/>
      <c r="I721" s="22"/>
      <c r="J721" s="25"/>
      <c r="K721" s="25"/>
    </row>
    <row r="722" spans="1:11" s="6" customFormat="1" x14ac:dyDescent="0.3">
      <c r="A722" s="21"/>
      <c r="B722" s="22"/>
      <c r="C722" s="22"/>
      <c r="D722" s="22"/>
      <c r="E722" s="23"/>
      <c r="F722" s="23"/>
      <c r="G722" s="22"/>
      <c r="H722" s="24"/>
      <c r="I722" s="22"/>
      <c r="J722" s="25"/>
      <c r="K722" s="25"/>
    </row>
    <row r="723" spans="1:11" s="6" customFormat="1" x14ac:dyDescent="0.3">
      <c r="A723" s="21"/>
      <c r="B723" s="22"/>
      <c r="C723" s="22"/>
      <c r="D723" s="22"/>
      <c r="E723" s="23"/>
      <c r="F723" s="23"/>
      <c r="G723" s="22"/>
      <c r="H723" s="24"/>
      <c r="I723" s="22"/>
      <c r="J723" s="25"/>
      <c r="K723" s="25"/>
    </row>
    <row r="724" spans="1:11" s="6" customFormat="1" x14ac:dyDescent="0.3">
      <c r="A724" s="21"/>
      <c r="B724" s="22"/>
      <c r="C724" s="22"/>
      <c r="D724" s="22"/>
      <c r="E724" s="23"/>
      <c r="F724" s="23"/>
      <c r="G724" s="22"/>
      <c r="H724" s="24"/>
      <c r="I724" s="22"/>
      <c r="J724" s="25"/>
      <c r="K724" s="25"/>
    </row>
    <row r="725" spans="1:11" s="6" customFormat="1" x14ac:dyDescent="0.3">
      <c r="A725" s="21"/>
      <c r="B725" s="22"/>
      <c r="C725" s="22"/>
      <c r="D725" s="22"/>
      <c r="E725" s="23"/>
      <c r="F725" s="23"/>
      <c r="G725" s="22"/>
      <c r="H725" s="24"/>
      <c r="I725" s="22"/>
      <c r="J725" s="25"/>
      <c r="K725" s="25"/>
    </row>
    <row r="726" spans="1:11" s="6" customFormat="1" x14ac:dyDescent="0.3">
      <c r="A726" s="21"/>
      <c r="B726" s="22"/>
      <c r="C726" s="22"/>
      <c r="D726" s="22"/>
      <c r="E726" s="23"/>
      <c r="F726" s="23"/>
      <c r="G726" s="22"/>
      <c r="H726" s="24"/>
      <c r="I726" s="22"/>
      <c r="J726" s="25"/>
      <c r="K726" s="25"/>
    </row>
    <row r="727" spans="1:11" s="6" customFormat="1" x14ac:dyDescent="0.3">
      <c r="A727" s="21"/>
      <c r="B727" s="22"/>
      <c r="C727" s="22"/>
      <c r="D727" s="22"/>
      <c r="E727" s="23"/>
      <c r="F727" s="23"/>
      <c r="G727" s="22"/>
      <c r="H727" s="24"/>
      <c r="I727" s="22"/>
      <c r="J727" s="25"/>
      <c r="K727" s="25"/>
    </row>
    <row r="728" spans="1:11" s="6" customFormat="1" x14ac:dyDescent="0.3">
      <c r="A728" s="21"/>
      <c r="B728" s="22"/>
      <c r="C728" s="22"/>
      <c r="D728" s="22"/>
      <c r="E728" s="23"/>
      <c r="F728" s="23"/>
      <c r="G728" s="22"/>
      <c r="H728" s="24"/>
      <c r="I728" s="22"/>
      <c r="J728" s="25"/>
      <c r="K728" s="25"/>
    </row>
    <row r="729" spans="1:11" s="6" customFormat="1" x14ac:dyDescent="0.3">
      <c r="A729" s="21"/>
      <c r="B729" s="22"/>
      <c r="C729" s="22"/>
      <c r="D729" s="22"/>
      <c r="E729" s="23"/>
      <c r="F729" s="23"/>
      <c r="G729" s="22"/>
      <c r="H729" s="24"/>
      <c r="I729" s="22"/>
      <c r="J729" s="25"/>
      <c r="K729" s="25"/>
    </row>
    <row r="730" spans="1:11" s="6" customFormat="1" x14ac:dyDescent="0.3">
      <c r="A730" s="21"/>
      <c r="B730" s="22"/>
      <c r="C730" s="22"/>
      <c r="D730" s="22"/>
      <c r="E730" s="23"/>
      <c r="F730" s="23"/>
      <c r="G730" s="22"/>
      <c r="H730" s="24"/>
      <c r="I730" s="22"/>
      <c r="J730" s="25"/>
      <c r="K730" s="25"/>
    </row>
    <row r="731" spans="1:11" s="6" customFormat="1" x14ac:dyDescent="0.3">
      <c r="A731" s="21"/>
      <c r="B731" s="22"/>
      <c r="C731" s="22"/>
      <c r="D731" s="22"/>
      <c r="E731" s="23"/>
      <c r="F731" s="23"/>
      <c r="G731" s="22"/>
      <c r="H731" s="24"/>
      <c r="I731" s="22"/>
      <c r="J731" s="25"/>
      <c r="K731" s="25"/>
    </row>
    <row r="732" spans="1:11" s="6" customFormat="1" x14ac:dyDescent="0.3">
      <c r="A732" s="21"/>
      <c r="B732" s="22"/>
      <c r="C732" s="22"/>
      <c r="D732" s="22"/>
      <c r="E732" s="23"/>
      <c r="F732" s="23"/>
      <c r="G732" s="22"/>
      <c r="H732" s="24"/>
      <c r="I732" s="22"/>
      <c r="J732" s="25"/>
      <c r="K732" s="25"/>
    </row>
    <row r="733" spans="1:11" s="6" customFormat="1" x14ac:dyDescent="0.3">
      <c r="A733" s="21"/>
      <c r="B733" s="22"/>
      <c r="C733" s="22"/>
      <c r="D733" s="22"/>
      <c r="E733" s="23"/>
      <c r="F733" s="23"/>
      <c r="G733" s="22"/>
      <c r="H733" s="24"/>
      <c r="I733" s="22"/>
      <c r="J733" s="25"/>
      <c r="K733" s="25"/>
    </row>
    <row r="734" spans="1:11" s="6" customFormat="1" x14ac:dyDescent="0.3">
      <c r="A734" s="21"/>
      <c r="B734" s="22"/>
      <c r="C734" s="22"/>
      <c r="D734" s="22"/>
      <c r="E734" s="23"/>
      <c r="F734" s="23"/>
      <c r="G734" s="22"/>
      <c r="H734" s="24"/>
      <c r="I734" s="22"/>
      <c r="J734" s="25"/>
      <c r="K734" s="25"/>
    </row>
    <row r="735" spans="1:11" s="6" customFormat="1" x14ac:dyDescent="0.3">
      <c r="A735" s="21"/>
      <c r="B735" s="22"/>
      <c r="C735" s="22"/>
      <c r="D735" s="22"/>
      <c r="E735" s="23"/>
      <c r="F735" s="23"/>
      <c r="G735" s="22"/>
      <c r="H735" s="24"/>
      <c r="I735" s="22"/>
      <c r="J735" s="25"/>
      <c r="K735" s="25"/>
    </row>
    <row r="736" spans="1:11" s="6" customFormat="1" x14ac:dyDescent="0.3">
      <c r="A736" s="21"/>
      <c r="B736" s="22"/>
      <c r="C736" s="22"/>
      <c r="D736" s="22"/>
      <c r="E736" s="23"/>
      <c r="F736" s="23"/>
      <c r="G736" s="22"/>
      <c r="H736" s="24"/>
      <c r="I736" s="22"/>
      <c r="J736" s="25"/>
      <c r="K736" s="25"/>
    </row>
    <row r="737" spans="1:11" s="6" customFormat="1" x14ac:dyDescent="0.3">
      <c r="A737" s="21"/>
      <c r="B737" s="22"/>
      <c r="C737" s="22"/>
      <c r="D737" s="22"/>
      <c r="E737" s="23"/>
      <c r="F737" s="23"/>
      <c r="G737" s="22"/>
      <c r="H737" s="24"/>
      <c r="I737" s="22"/>
      <c r="J737" s="25"/>
      <c r="K737" s="25"/>
    </row>
    <row r="738" spans="1:11" s="6" customFormat="1" x14ac:dyDescent="0.3">
      <c r="A738" s="21"/>
      <c r="B738" s="22"/>
      <c r="C738" s="22"/>
      <c r="D738" s="22"/>
      <c r="E738" s="23"/>
      <c r="F738" s="23"/>
      <c r="G738" s="22"/>
      <c r="H738" s="24"/>
      <c r="I738" s="22"/>
      <c r="J738" s="25"/>
      <c r="K738" s="25"/>
    </row>
    <row r="739" spans="1:11" s="6" customFormat="1" x14ac:dyDescent="0.3">
      <c r="A739" s="21"/>
      <c r="B739" s="22"/>
      <c r="C739" s="22"/>
      <c r="D739" s="22"/>
      <c r="E739" s="23"/>
      <c r="F739" s="23"/>
      <c r="G739" s="22"/>
      <c r="H739" s="24"/>
      <c r="I739" s="22"/>
      <c r="J739" s="25"/>
      <c r="K739" s="25"/>
    </row>
    <row r="740" spans="1:11" s="6" customFormat="1" x14ac:dyDescent="0.3">
      <c r="A740" s="21"/>
      <c r="B740" s="22"/>
      <c r="C740" s="22"/>
      <c r="D740" s="22"/>
      <c r="E740" s="23"/>
      <c r="F740" s="23"/>
      <c r="G740" s="22"/>
      <c r="H740" s="24"/>
      <c r="I740" s="22"/>
      <c r="J740" s="25"/>
      <c r="K740" s="25"/>
    </row>
    <row r="741" spans="1:11" s="6" customFormat="1" x14ac:dyDescent="0.3">
      <c r="A741" s="21"/>
      <c r="B741" s="22"/>
      <c r="C741" s="22"/>
      <c r="D741" s="22"/>
      <c r="E741" s="23"/>
      <c r="F741" s="23"/>
      <c r="G741" s="22"/>
      <c r="H741" s="24"/>
      <c r="I741" s="22"/>
      <c r="J741" s="25"/>
      <c r="K741" s="25"/>
    </row>
    <row r="742" spans="1:11" s="6" customFormat="1" x14ac:dyDescent="0.3">
      <c r="A742" s="21"/>
      <c r="B742" s="22"/>
      <c r="C742" s="22"/>
      <c r="D742" s="22"/>
      <c r="E742" s="23"/>
      <c r="F742" s="23"/>
      <c r="G742" s="22"/>
      <c r="H742" s="24"/>
      <c r="I742" s="22"/>
      <c r="J742" s="25"/>
      <c r="K742" s="25"/>
    </row>
    <row r="743" spans="1:11" s="6" customFormat="1" x14ac:dyDescent="0.3">
      <c r="A743" s="21"/>
      <c r="B743" s="22"/>
      <c r="C743" s="22"/>
      <c r="D743" s="22"/>
      <c r="E743" s="23"/>
      <c r="F743" s="23"/>
      <c r="G743" s="22"/>
      <c r="H743" s="24"/>
      <c r="I743" s="22"/>
      <c r="J743" s="25"/>
      <c r="K743" s="25"/>
    </row>
    <row r="744" spans="1:11" s="6" customFormat="1" x14ac:dyDescent="0.3">
      <c r="A744" s="21"/>
      <c r="B744" s="22"/>
      <c r="C744" s="22"/>
      <c r="D744" s="22"/>
      <c r="E744" s="23"/>
      <c r="F744" s="23"/>
      <c r="G744" s="22"/>
      <c r="H744" s="24"/>
      <c r="I744" s="22"/>
      <c r="J744" s="25"/>
      <c r="K744" s="25"/>
    </row>
    <row r="745" spans="1:11" s="6" customFormat="1" x14ac:dyDescent="0.3">
      <c r="A745" s="21"/>
      <c r="B745" s="22"/>
      <c r="C745" s="22"/>
      <c r="D745" s="22"/>
      <c r="E745" s="23"/>
      <c r="F745" s="23"/>
      <c r="G745" s="22"/>
      <c r="H745" s="24"/>
      <c r="I745" s="22"/>
      <c r="J745" s="25"/>
      <c r="K745" s="25"/>
    </row>
    <row r="746" spans="1:11" s="6" customFormat="1" x14ac:dyDescent="0.3">
      <c r="A746" s="21"/>
      <c r="B746" s="22"/>
      <c r="C746" s="22"/>
      <c r="D746" s="22"/>
      <c r="E746" s="23"/>
      <c r="F746" s="23"/>
      <c r="G746" s="22"/>
      <c r="H746" s="24"/>
      <c r="I746" s="22"/>
      <c r="J746" s="25"/>
      <c r="K746" s="25"/>
    </row>
    <row r="747" spans="1:11" s="6" customFormat="1" x14ac:dyDescent="0.3">
      <c r="A747" s="21"/>
      <c r="B747" s="22"/>
      <c r="C747" s="22"/>
      <c r="D747" s="22"/>
      <c r="E747" s="23"/>
      <c r="F747" s="23"/>
      <c r="G747" s="22"/>
      <c r="H747" s="24"/>
      <c r="I747" s="22"/>
      <c r="J747" s="25"/>
      <c r="K747" s="25"/>
    </row>
    <row r="748" spans="1:11" s="6" customFormat="1" x14ac:dyDescent="0.3">
      <c r="A748" s="21"/>
      <c r="B748" s="22"/>
      <c r="C748" s="22"/>
      <c r="D748" s="22"/>
      <c r="E748" s="23"/>
      <c r="F748" s="23"/>
      <c r="G748" s="22"/>
      <c r="H748" s="24"/>
      <c r="I748" s="22"/>
      <c r="J748" s="25"/>
      <c r="K748" s="25"/>
    </row>
    <row r="749" spans="1:11" s="6" customFormat="1" x14ac:dyDescent="0.3">
      <c r="A749" s="21"/>
      <c r="B749" s="22"/>
      <c r="C749" s="22"/>
      <c r="D749" s="22"/>
      <c r="E749" s="23"/>
      <c r="F749" s="23"/>
      <c r="G749" s="22"/>
      <c r="H749" s="24"/>
      <c r="I749" s="22"/>
      <c r="J749" s="25"/>
      <c r="K749" s="25"/>
    </row>
    <row r="750" spans="1:11" s="6" customFormat="1" x14ac:dyDescent="0.3">
      <c r="A750" s="21"/>
      <c r="B750" s="22"/>
      <c r="C750" s="22"/>
      <c r="D750" s="22"/>
      <c r="E750" s="23"/>
      <c r="F750" s="23"/>
      <c r="G750" s="22"/>
      <c r="H750" s="24"/>
      <c r="I750" s="22"/>
      <c r="J750" s="25"/>
      <c r="K750" s="25"/>
    </row>
    <row r="751" spans="1:11" s="6" customFormat="1" x14ac:dyDescent="0.3">
      <c r="A751" s="21"/>
      <c r="B751" s="22"/>
      <c r="C751" s="22"/>
      <c r="D751" s="22"/>
      <c r="E751" s="23"/>
      <c r="F751" s="23"/>
      <c r="G751" s="22"/>
      <c r="H751" s="24"/>
      <c r="I751" s="22"/>
      <c r="J751" s="25"/>
      <c r="K751" s="25"/>
    </row>
    <row r="752" spans="1:11" s="6" customFormat="1" x14ac:dyDescent="0.3">
      <c r="A752" s="21"/>
      <c r="B752" s="22"/>
      <c r="C752" s="22"/>
      <c r="D752" s="22"/>
      <c r="E752" s="23"/>
      <c r="F752" s="23"/>
      <c r="G752" s="22"/>
      <c r="H752" s="24"/>
      <c r="I752" s="22"/>
      <c r="J752" s="25"/>
      <c r="K752" s="25"/>
    </row>
    <row r="753" spans="1:11" s="6" customFormat="1" x14ac:dyDescent="0.3">
      <c r="A753" s="21"/>
      <c r="B753" s="22"/>
      <c r="C753" s="22"/>
      <c r="D753" s="22"/>
      <c r="E753" s="23"/>
      <c r="F753" s="23"/>
      <c r="G753" s="22"/>
      <c r="H753" s="24"/>
      <c r="I753" s="22"/>
      <c r="J753" s="25"/>
      <c r="K753" s="25"/>
    </row>
    <row r="754" spans="1:11" s="6" customFormat="1" x14ac:dyDescent="0.3">
      <c r="A754" s="21"/>
      <c r="B754" s="22"/>
      <c r="C754" s="22"/>
      <c r="D754" s="22"/>
      <c r="E754" s="23"/>
      <c r="F754" s="23"/>
      <c r="G754" s="22"/>
      <c r="H754" s="24"/>
      <c r="I754" s="22"/>
      <c r="J754" s="25"/>
      <c r="K754" s="25"/>
    </row>
    <row r="755" spans="1:11" s="6" customFormat="1" x14ac:dyDescent="0.3">
      <c r="A755" s="21"/>
      <c r="B755" s="22"/>
      <c r="C755" s="22"/>
      <c r="D755" s="22"/>
      <c r="E755" s="23"/>
      <c r="F755" s="23"/>
      <c r="G755" s="22"/>
      <c r="H755" s="24"/>
      <c r="I755" s="22"/>
      <c r="J755" s="25"/>
      <c r="K755" s="25"/>
    </row>
    <row r="756" spans="1:11" s="6" customFormat="1" x14ac:dyDescent="0.3">
      <c r="A756" s="21"/>
      <c r="B756" s="22"/>
      <c r="C756" s="22"/>
      <c r="D756" s="22"/>
      <c r="E756" s="23"/>
      <c r="F756" s="23"/>
      <c r="G756" s="22"/>
      <c r="H756" s="24"/>
      <c r="I756" s="22"/>
      <c r="J756" s="25"/>
      <c r="K756" s="25"/>
    </row>
    <row r="757" spans="1:11" s="6" customFormat="1" x14ac:dyDescent="0.3">
      <c r="A757" s="21"/>
      <c r="B757" s="22"/>
      <c r="C757" s="22"/>
      <c r="D757" s="22"/>
      <c r="E757" s="23"/>
      <c r="F757" s="23"/>
      <c r="G757" s="22"/>
      <c r="H757" s="24"/>
      <c r="I757" s="22"/>
      <c r="J757" s="25"/>
      <c r="K757" s="25"/>
    </row>
    <row r="758" spans="1:11" s="6" customFormat="1" x14ac:dyDescent="0.3">
      <c r="A758" s="21"/>
      <c r="B758" s="22"/>
      <c r="C758" s="22"/>
      <c r="D758" s="22"/>
      <c r="E758" s="23"/>
      <c r="F758" s="23"/>
      <c r="G758" s="22"/>
      <c r="H758" s="24"/>
      <c r="I758" s="22"/>
      <c r="J758" s="25"/>
      <c r="K758" s="25"/>
    </row>
    <row r="759" spans="1:11" s="6" customFormat="1" x14ac:dyDescent="0.3">
      <c r="A759" s="21"/>
      <c r="B759" s="22"/>
      <c r="C759" s="22"/>
      <c r="D759" s="22"/>
      <c r="E759" s="23"/>
      <c r="F759" s="23"/>
      <c r="G759" s="22"/>
      <c r="H759" s="24"/>
      <c r="I759" s="22"/>
      <c r="J759" s="25"/>
      <c r="K759" s="25"/>
    </row>
    <row r="760" spans="1:11" s="6" customFormat="1" x14ac:dyDescent="0.3">
      <c r="A760" s="21"/>
      <c r="B760" s="22"/>
      <c r="C760" s="22"/>
      <c r="D760" s="22"/>
      <c r="E760" s="23"/>
      <c r="F760" s="23"/>
      <c r="G760" s="22"/>
      <c r="H760" s="24"/>
      <c r="I760" s="22"/>
      <c r="J760" s="25"/>
      <c r="K760" s="25"/>
    </row>
    <row r="761" spans="1:11" s="6" customFormat="1" x14ac:dyDescent="0.3">
      <c r="A761" s="21"/>
      <c r="B761" s="22"/>
      <c r="C761" s="22"/>
      <c r="D761" s="22"/>
      <c r="E761" s="23"/>
      <c r="F761" s="23"/>
      <c r="G761" s="22"/>
      <c r="H761" s="24"/>
      <c r="I761" s="22"/>
      <c r="J761" s="25"/>
      <c r="K761" s="25"/>
    </row>
    <row r="762" spans="1:11" s="6" customFormat="1" x14ac:dyDescent="0.3">
      <c r="A762" s="21"/>
      <c r="B762" s="22"/>
      <c r="C762" s="22"/>
      <c r="D762" s="22"/>
      <c r="E762" s="23"/>
      <c r="F762" s="23"/>
      <c r="G762" s="22"/>
      <c r="H762" s="24"/>
      <c r="I762" s="22"/>
      <c r="J762" s="25"/>
      <c r="K762" s="25"/>
    </row>
    <row r="763" spans="1:11" s="6" customFormat="1" x14ac:dyDescent="0.3">
      <c r="A763" s="21"/>
      <c r="B763" s="22"/>
      <c r="C763" s="22"/>
      <c r="D763" s="22"/>
      <c r="E763" s="23"/>
      <c r="F763" s="23"/>
      <c r="G763" s="22"/>
      <c r="H763" s="24"/>
      <c r="I763" s="22"/>
      <c r="J763" s="25"/>
      <c r="K763" s="25"/>
    </row>
    <row r="764" spans="1:11" s="6" customFormat="1" x14ac:dyDescent="0.3">
      <c r="A764" s="21"/>
      <c r="B764" s="22"/>
      <c r="C764" s="22"/>
      <c r="D764" s="22"/>
      <c r="E764" s="23"/>
      <c r="F764" s="23"/>
      <c r="G764" s="22"/>
      <c r="H764" s="24"/>
      <c r="I764" s="22"/>
      <c r="J764" s="25"/>
      <c r="K764" s="25"/>
    </row>
    <row r="765" spans="1:11" s="6" customFormat="1" x14ac:dyDescent="0.3">
      <c r="A765" s="21"/>
      <c r="B765" s="22"/>
      <c r="C765" s="22"/>
      <c r="D765" s="22"/>
      <c r="E765" s="23"/>
      <c r="F765" s="23"/>
      <c r="G765" s="22"/>
      <c r="H765" s="24"/>
      <c r="I765" s="22"/>
      <c r="J765" s="25"/>
      <c r="K765" s="25"/>
    </row>
    <row r="766" spans="1:11" s="6" customFormat="1" x14ac:dyDescent="0.3">
      <c r="A766" s="21"/>
      <c r="B766" s="22"/>
      <c r="C766" s="22"/>
      <c r="D766" s="22"/>
      <c r="E766" s="23"/>
      <c r="F766" s="23"/>
      <c r="G766" s="22"/>
      <c r="H766" s="24"/>
      <c r="I766" s="22"/>
      <c r="J766" s="25"/>
      <c r="K766" s="25"/>
    </row>
    <row r="767" spans="1:11" s="6" customFormat="1" x14ac:dyDescent="0.3">
      <c r="A767" s="21"/>
      <c r="B767" s="22"/>
      <c r="C767" s="22"/>
      <c r="D767" s="22"/>
      <c r="E767" s="23"/>
      <c r="F767" s="23"/>
      <c r="G767" s="22"/>
      <c r="H767" s="24"/>
      <c r="I767" s="22"/>
      <c r="J767" s="25"/>
      <c r="K767" s="25"/>
    </row>
    <row r="768" spans="1:11" s="6" customFormat="1" x14ac:dyDescent="0.3">
      <c r="A768" s="21"/>
      <c r="B768" s="22"/>
      <c r="C768" s="22"/>
      <c r="D768" s="22"/>
      <c r="E768" s="23"/>
      <c r="F768" s="23"/>
      <c r="G768" s="22"/>
      <c r="H768" s="24"/>
      <c r="I768" s="22"/>
      <c r="J768" s="25"/>
      <c r="K768" s="25"/>
    </row>
    <row r="769" spans="1:11" s="6" customFormat="1" x14ac:dyDescent="0.3">
      <c r="A769" s="21"/>
      <c r="B769" s="22"/>
      <c r="C769" s="22"/>
      <c r="D769" s="22"/>
      <c r="E769" s="23"/>
      <c r="F769" s="23"/>
      <c r="G769" s="22"/>
      <c r="H769" s="24"/>
      <c r="I769" s="22"/>
      <c r="J769" s="25"/>
      <c r="K769" s="25"/>
    </row>
    <row r="770" spans="1:11" s="6" customFormat="1" x14ac:dyDescent="0.3">
      <c r="A770" s="21"/>
      <c r="B770" s="22"/>
      <c r="C770" s="22"/>
      <c r="D770" s="22"/>
      <c r="E770" s="23"/>
      <c r="F770" s="23"/>
      <c r="G770" s="22"/>
      <c r="H770" s="24"/>
      <c r="I770" s="22"/>
      <c r="J770" s="25"/>
      <c r="K770" s="25"/>
    </row>
    <row r="771" spans="1:11" s="6" customFormat="1" x14ac:dyDescent="0.3">
      <c r="A771" s="21"/>
      <c r="B771" s="22"/>
      <c r="C771" s="22"/>
      <c r="D771" s="22"/>
      <c r="E771" s="23"/>
      <c r="F771" s="23"/>
      <c r="G771" s="22"/>
      <c r="H771" s="24"/>
      <c r="I771" s="22"/>
      <c r="J771" s="25"/>
      <c r="K771" s="25"/>
    </row>
    <row r="772" spans="1:11" s="6" customFormat="1" x14ac:dyDescent="0.3">
      <c r="A772" s="21"/>
      <c r="B772" s="22"/>
      <c r="C772" s="22"/>
      <c r="D772" s="22"/>
      <c r="E772" s="23"/>
      <c r="F772" s="23"/>
      <c r="G772" s="22"/>
      <c r="H772" s="24"/>
      <c r="I772" s="22"/>
      <c r="J772" s="25"/>
      <c r="K772" s="25"/>
    </row>
    <row r="773" spans="1:11" s="6" customFormat="1" x14ac:dyDescent="0.3">
      <c r="A773" s="21"/>
      <c r="B773" s="22"/>
      <c r="C773" s="22"/>
      <c r="D773" s="22"/>
      <c r="E773" s="23"/>
      <c r="F773" s="23"/>
      <c r="G773" s="22"/>
      <c r="H773" s="24"/>
      <c r="I773" s="22"/>
      <c r="J773" s="25"/>
      <c r="K773" s="25"/>
    </row>
    <row r="774" spans="1:11" s="6" customFormat="1" x14ac:dyDescent="0.3">
      <c r="A774" s="21"/>
      <c r="B774" s="22"/>
      <c r="C774" s="22"/>
      <c r="D774" s="22"/>
      <c r="E774" s="23"/>
      <c r="F774" s="23"/>
      <c r="G774" s="22"/>
      <c r="H774" s="24"/>
      <c r="I774" s="22"/>
      <c r="J774" s="25"/>
      <c r="K774" s="25"/>
    </row>
    <row r="775" spans="1:11" s="6" customFormat="1" x14ac:dyDescent="0.3">
      <c r="A775" s="21"/>
      <c r="B775" s="22"/>
      <c r="C775" s="22"/>
      <c r="D775" s="22"/>
      <c r="E775" s="23"/>
      <c r="F775" s="23"/>
      <c r="G775" s="22"/>
      <c r="H775" s="24"/>
      <c r="I775" s="22"/>
      <c r="J775" s="25"/>
      <c r="K775" s="25"/>
    </row>
    <row r="776" spans="1:11" s="6" customFormat="1" x14ac:dyDescent="0.3">
      <c r="A776" s="21"/>
      <c r="B776" s="22"/>
      <c r="C776" s="22"/>
      <c r="D776" s="22"/>
      <c r="E776" s="23"/>
      <c r="F776" s="23"/>
      <c r="G776" s="22"/>
      <c r="H776" s="24"/>
      <c r="I776" s="22"/>
      <c r="J776" s="25"/>
      <c r="K776" s="25"/>
    </row>
    <row r="777" spans="1:11" s="6" customFormat="1" x14ac:dyDescent="0.3">
      <c r="A777" s="21"/>
      <c r="B777" s="22"/>
      <c r="C777" s="22"/>
      <c r="D777" s="22"/>
      <c r="E777" s="23"/>
      <c r="F777" s="23"/>
      <c r="G777" s="22"/>
      <c r="H777" s="24"/>
      <c r="I777" s="22"/>
      <c r="J777" s="25"/>
      <c r="K777" s="25"/>
    </row>
    <row r="778" spans="1:11" s="6" customFormat="1" x14ac:dyDescent="0.3">
      <c r="A778" s="21"/>
      <c r="B778" s="22"/>
      <c r="C778" s="22"/>
      <c r="D778" s="22"/>
      <c r="E778" s="23"/>
      <c r="F778" s="23"/>
      <c r="G778" s="22"/>
      <c r="H778" s="24"/>
      <c r="I778" s="22"/>
      <c r="J778" s="25"/>
      <c r="K778" s="25"/>
    </row>
    <row r="779" spans="1:11" s="6" customFormat="1" x14ac:dyDescent="0.3">
      <c r="A779" s="21"/>
      <c r="B779" s="22"/>
      <c r="C779" s="22"/>
      <c r="D779" s="22"/>
      <c r="E779" s="23"/>
      <c r="F779" s="23"/>
      <c r="G779" s="22"/>
      <c r="H779" s="24"/>
      <c r="I779" s="22"/>
      <c r="J779" s="25"/>
      <c r="K779" s="25"/>
    </row>
    <row r="780" spans="1:11" s="6" customFormat="1" x14ac:dyDescent="0.3">
      <c r="A780" s="21"/>
      <c r="B780" s="22"/>
      <c r="C780" s="22"/>
      <c r="D780" s="22"/>
      <c r="E780" s="23"/>
      <c r="F780" s="23"/>
      <c r="G780" s="22"/>
      <c r="H780" s="24"/>
      <c r="I780" s="22"/>
      <c r="J780" s="25"/>
      <c r="K780" s="25"/>
    </row>
    <row r="781" spans="1:11" s="6" customFormat="1" x14ac:dyDescent="0.3">
      <c r="A781" s="21"/>
      <c r="B781" s="22"/>
      <c r="C781" s="22"/>
      <c r="D781" s="22"/>
      <c r="E781" s="23"/>
      <c r="F781" s="23"/>
      <c r="G781" s="22"/>
      <c r="H781" s="24"/>
      <c r="I781" s="22"/>
      <c r="J781" s="25"/>
      <c r="K781" s="25"/>
    </row>
    <row r="782" spans="1:11" s="6" customFormat="1" x14ac:dyDescent="0.3">
      <c r="A782" s="21"/>
      <c r="B782" s="22"/>
      <c r="C782" s="22"/>
      <c r="D782" s="22"/>
      <c r="E782" s="23"/>
      <c r="F782" s="23"/>
      <c r="G782" s="22"/>
      <c r="H782" s="24"/>
      <c r="I782" s="22"/>
      <c r="J782" s="25"/>
      <c r="K782" s="25"/>
    </row>
    <row r="783" spans="1:11" s="6" customFormat="1" x14ac:dyDescent="0.3">
      <c r="A783" s="21"/>
      <c r="B783" s="22"/>
      <c r="C783" s="22"/>
      <c r="D783" s="22"/>
      <c r="E783" s="23"/>
      <c r="F783" s="23"/>
      <c r="G783" s="22"/>
      <c r="H783" s="24"/>
      <c r="I783" s="22"/>
      <c r="J783" s="25"/>
      <c r="K783" s="25"/>
    </row>
    <row r="784" spans="1:11" s="6" customFormat="1" x14ac:dyDescent="0.3">
      <c r="A784" s="21"/>
      <c r="B784" s="22"/>
      <c r="C784" s="22"/>
      <c r="D784" s="22"/>
      <c r="E784" s="23"/>
      <c r="F784" s="23"/>
      <c r="G784" s="22"/>
      <c r="H784" s="24"/>
      <c r="I784" s="22"/>
      <c r="J784" s="25"/>
      <c r="K784" s="25"/>
    </row>
    <row r="785" spans="1:11" s="6" customFormat="1" x14ac:dyDescent="0.3">
      <c r="A785" s="21"/>
      <c r="B785" s="22"/>
      <c r="C785" s="22"/>
      <c r="D785" s="22"/>
      <c r="E785" s="23"/>
      <c r="F785" s="23"/>
      <c r="G785" s="22"/>
      <c r="H785" s="24"/>
      <c r="I785" s="22"/>
      <c r="J785" s="25"/>
      <c r="K785" s="25"/>
    </row>
    <row r="786" spans="1:11" s="6" customFormat="1" x14ac:dyDescent="0.3">
      <c r="A786" s="21"/>
      <c r="B786" s="22"/>
      <c r="C786" s="22"/>
      <c r="D786" s="22"/>
      <c r="E786" s="23"/>
      <c r="F786" s="23"/>
      <c r="G786" s="22"/>
      <c r="H786" s="24"/>
      <c r="I786" s="22"/>
      <c r="J786" s="25"/>
      <c r="K786" s="25"/>
    </row>
    <row r="787" spans="1:11" s="6" customFormat="1" x14ac:dyDescent="0.3">
      <c r="A787" s="21"/>
      <c r="B787" s="22"/>
      <c r="C787" s="22"/>
      <c r="D787" s="22"/>
      <c r="E787" s="23"/>
      <c r="F787" s="23"/>
      <c r="G787" s="22"/>
      <c r="H787" s="24"/>
      <c r="I787" s="22"/>
      <c r="J787" s="25"/>
      <c r="K787" s="25"/>
    </row>
    <row r="788" spans="1:11" s="6" customFormat="1" x14ac:dyDescent="0.3">
      <c r="A788" s="21"/>
      <c r="B788" s="22"/>
      <c r="C788" s="22"/>
      <c r="D788" s="22"/>
      <c r="E788" s="23"/>
      <c r="F788" s="23"/>
      <c r="G788" s="22"/>
      <c r="H788" s="24"/>
      <c r="I788" s="22"/>
      <c r="J788" s="25"/>
      <c r="K788" s="25"/>
    </row>
    <row r="789" spans="1:11" s="6" customFormat="1" x14ac:dyDescent="0.3">
      <c r="A789" s="21"/>
      <c r="B789" s="22"/>
      <c r="C789" s="22"/>
      <c r="D789" s="22"/>
      <c r="E789" s="23"/>
      <c r="F789" s="23"/>
      <c r="G789" s="22"/>
      <c r="H789" s="24"/>
      <c r="I789" s="22"/>
      <c r="J789" s="25"/>
      <c r="K789" s="25"/>
    </row>
    <row r="790" spans="1:11" s="6" customFormat="1" x14ac:dyDescent="0.3">
      <c r="A790" s="21"/>
      <c r="B790" s="22"/>
      <c r="C790" s="22"/>
      <c r="D790" s="22"/>
      <c r="E790" s="23"/>
      <c r="F790" s="23"/>
      <c r="G790" s="22"/>
      <c r="H790" s="24"/>
      <c r="I790" s="22"/>
      <c r="J790" s="25"/>
      <c r="K790" s="25"/>
    </row>
    <row r="791" spans="1:11" s="6" customFormat="1" x14ac:dyDescent="0.3">
      <c r="A791" s="21"/>
      <c r="B791" s="22"/>
      <c r="C791" s="22"/>
      <c r="D791" s="22"/>
      <c r="E791" s="23"/>
      <c r="F791" s="23"/>
      <c r="G791" s="22"/>
      <c r="H791" s="24"/>
      <c r="I791" s="22"/>
      <c r="J791" s="25"/>
      <c r="K791" s="25"/>
    </row>
    <row r="792" spans="1:11" s="6" customFormat="1" x14ac:dyDescent="0.3">
      <c r="A792" s="21"/>
      <c r="B792" s="22"/>
      <c r="C792" s="22"/>
      <c r="D792" s="22"/>
      <c r="E792" s="23"/>
      <c r="F792" s="23"/>
      <c r="G792" s="22"/>
      <c r="H792" s="24"/>
      <c r="I792" s="22"/>
      <c r="J792" s="25"/>
      <c r="K792" s="25"/>
    </row>
    <row r="793" spans="1:11" s="6" customFormat="1" x14ac:dyDescent="0.3">
      <c r="A793" s="21"/>
      <c r="B793" s="22"/>
      <c r="C793" s="22"/>
      <c r="D793" s="22"/>
      <c r="E793" s="23"/>
      <c r="F793" s="23"/>
      <c r="G793" s="22"/>
      <c r="H793" s="24"/>
      <c r="I793" s="22"/>
      <c r="J793" s="25"/>
      <c r="K793" s="25"/>
    </row>
    <row r="794" spans="1:11" s="6" customFormat="1" x14ac:dyDescent="0.3">
      <c r="A794" s="21"/>
      <c r="B794" s="22"/>
      <c r="C794" s="22"/>
      <c r="D794" s="22"/>
      <c r="E794" s="23"/>
      <c r="F794" s="23"/>
      <c r="G794" s="22"/>
      <c r="H794" s="24"/>
      <c r="I794" s="22"/>
      <c r="J794" s="25"/>
      <c r="K794" s="25"/>
    </row>
    <row r="795" spans="1:11" s="6" customFormat="1" x14ac:dyDescent="0.3">
      <c r="A795" s="21"/>
      <c r="B795" s="22"/>
      <c r="C795" s="22"/>
      <c r="D795" s="22"/>
      <c r="E795" s="23"/>
      <c r="F795" s="23"/>
      <c r="G795" s="22"/>
      <c r="H795" s="24"/>
      <c r="I795" s="22"/>
      <c r="J795" s="25"/>
      <c r="K795" s="25"/>
    </row>
    <row r="796" spans="1:11" s="6" customFormat="1" x14ac:dyDescent="0.3">
      <c r="A796" s="21"/>
      <c r="B796" s="22"/>
      <c r="C796" s="22"/>
      <c r="D796" s="22"/>
      <c r="E796" s="23"/>
      <c r="F796" s="23"/>
      <c r="G796" s="22"/>
      <c r="H796" s="24"/>
      <c r="I796" s="22"/>
      <c r="J796" s="25"/>
      <c r="K796" s="25"/>
    </row>
    <row r="797" spans="1:11" s="6" customFormat="1" x14ac:dyDescent="0.3">
      <c r="A797" s="21"/>
      <c r="B797" s="22"/>
      <c r="C797" s="22"/>
      <c r="D797" s="22"/>
      <c r="E797" s="23"/>
      <c r="F797" s="23"/>
      <c r="G797" s="22"/>
      <c r="H797" s="24"/>
      <c r="I797" s="22"/>
      <c r="J797" s="25"/>
      <c r="K797" s="25"/>
    </row>
    <row r="798" spans="1:11" s="6" customFormat="1" x14ac:dyDescent="0.3">
      <c r="A798" s="21"/>
      <c r="B798" s="22"/>
      <c r="C798" s="22"/>
      <c r="D798" s="22"/>
      <c r="E798" s="23"/>
      <c r="F798" s="23"/>
      <c r="G798" s="22"/>
      <c r="H798" s="24"/>
      <c r="I798" s="22"/>
      <c r="J798" s="25"/>
      <c r="K798" s="25"/>
    </row>
    <row r="799" spans="1:11" s="6" customFormat="1" x14ac:dyDescent="0.3">
      <c r="A799" s="21"/>
      <c r="B799" s="22"/>
      <c r="C799" s="22"/>
      <c r="D799" s="22"/>
      <c r="E799" s="23"/>
      <c r="F799" s="23"/>
      <c r="G799" s="22"/>
      <c r="H799" s="24"/>
      <c r="I799" s="22"/>
      <c r="J799" s="25"/>
      <c r="K799" s="25"/>
    </row>
    <row r="800" spans="1:11" s="6" customFormat="1" x14ac:dyDescent="0.3">
      <c r="A800" s="21"/>
      <c r="B800" s="22"/>
      <c r="C800" s="22"/>
      <c r="D800" s="22"/>
      <c r="E800" s="23"/>
      <c r="F800" s="23"/>
      <c r="G800" s="22"/>
      <c r="H800" s="24"/>
      <c r="I800" s="22"/>
      <c r="J800" s="25"/>
      <c r="K800" s="25"/>
    </row>
    <row r="801" spans="1:11" s="6" customFormat="1" x14ac:dyDescent="0.3">
      <c r="A801" s="21"/>
      <c r="B801" s="22"/>
      <c r="C801" s="22"/>
      <c r="D801" s="22"/>
      <c r="E801" s="23"/>
      <c r="F801" s="23"/>
      <c r="G801" s="22"/>
      <c r="H801" s="24"/>
      <c r="I801" s="22"/>
      <c r="J801" s="25"/>
      <c r="K801" s="25"/>
    </row>
    <row r="802" spans="1:11" s="6" customFormat="1" x14ac:dyDescent="0.3">
      <c r="A802" s="21"/>
      <c r="B802" s="22"/>
      <c r="C802" s="22"/>
      <c r="D802" s="22"/>
      <c r="E802" s="23"/>
      <c r="F802" s="23"/>
      <c r="G802" s="22"/>
      <c r="H802" s="24"/>
      <c r="I802" s="22"/>
      <c r="J802" s="25"/>
      <c r="K802" s="25"/>
    </row>
    <row r="803" spans="1:11" s="6" customFormat="1" x14ac:dyDescent="0.3">
      <c r="A803" s="21"/>
      <c r="B803" s="22"/>
      <c r="C803" s="22"/>
      <c r="D803" s="22"/>
      <c r="E803" s="23"/>
      <c r="F803" s="23"/>
      <c r="G803" s="22"/>
      <c r="H803" s="24"/>
      <c r="I803" s="22"/>
      <c r="J803" s="25"/>
      <c r="K803" s="25"/>
    </row>
    <row r="804" spans="1:11" s="6" customFormat="1" x14ac:dyDescent="0.3">
      <c r="A804" s="21"/>
      <c r="B804" s="22"/>
      <c r="C804" s="22"/>
      <c r="D804" s="22"/>
      <c r="E804" s="23"/>
      <c r="F804" s="23"/>
      <c r="G804" s="22"/>
      <c r="H804" s="24"/>
      <c r="I804" s="22"/>
      <c r="J804" s="25"/>
      <c r="K804" s="25"/>
    </row>
    <row r="805" spans="1:11" s="6" customFormat="1" x14ac:dyDescent="0.3">
      <c r="A805" s="21"/>
      <c r="B805" s="22"/>
      <c r="C805" s="22"/>
      <c r="D805" s="22"/>
      <c r="E805" s="23"/>
      <c r="F805" s="23"/>
      <c r="G805" s="22"/>
      <c r="H805" s="24"/>
      <c r="I805" s="22"/>
      <c r="J805" s="25"/>
      <c r="K805" s="25"/>
    </row>
    <row r="806" spans="1:11" s="6" customFormat="1" x14ac:dyDescent="0.3">
      <c r="A806" s="21"/>
      <c r="B806" s="22"/>
      <c r="C806" s="22"/>
      <c r="D806" s="22"/>
      <c r="E806" s="23"/>
      <c r="F806" s="23"/>
      <c r="G806" s="22"/>
      <c r="H806" s="24"/>
      <c r="I806" s="22"/>
      <c r="J806" s="25"/>
      <c r="K806" s="25"/>
    </row>
    <row r="807" spans="1:11" s="6" customFormat="1" x14ac:dyDescent="0.3">
      <c r="A807" s="21"/>
      <c r="B807" s="22"/>
      <c r="C807" s="22"/>
      <c r="D807" s="22"/>
      <c r="E807" s="23"/>
      <c r="F807" s="23"/>
      <c r="G807" s="22"/>
      <c r="H807" s="24"/>
      <c r="I807" s="22"/>
      <c r="J807" s="25"/>
      <c r="K807" s="25"/>
    </row>
    <row r="808" spans="1:11" s="6" customFormat="1" x14ac:dyDescent="0.3">
      <c r="A808" s="21"/>
      <c r="B808" s="22"/>
      <c r="C808" s="22"/>
      <c r="D808" s="22"/>
      <c r="E808" s="23"/>
      <c r="F808" s="23"/>
      <c r="G808" s="22"/>
      <c r="H808" s="24"/>
      <c r="I808" s="22"/>
      <c r="J808" s="25"/>
      <c r="K808" s="25"/>
    </row>
    <row r="809" spans="1:11" s="6" customFormat="1" x14ac:dyDescent="0.3">
      <c r="A809" s="21"/>
      <c r="B809" s="22"/>
      <c r="C809" s="22"/>
      <c r="D809" s="22"/>
      <c r="E809" s="23"/>
      <c r="F809" s="23"/>
      <c r="G809" s="22"/>
      <c r="H809" s="24"/>
      <c r="I809" s="22"/>
      <c r="J809" s="25"/>
      <c r="K809" s="25"/>
    </row>
    <row r="810" spans="1:11" s="6" customFormat="1" x14ac:dyDescent="0.3">
      <c r="A810" s="21"/>
      <c r="B810" s="22"/>
      <c r="C810" s="22"/>
      <c r="D810" s="22"/>
      <c r="E810" s="23"/>
      <c r="F810" s="23"/>
      <c r="G810" s="22"/>
      <c r="H810" s="24"/>
      <c r="I810" s="22"/>
      <c r="J810" s="25"/>
      <c r="K810" s="25"/>
    </row>
    <row r="811" spans="1:11" s="6" customFormat="1" x14ac:dyDescent="0.3">
      <c r="A811" s="21"/>
      <c r="B811" s="22"/>
      <c r="C811" s="22"/>
      <c r="D811" s="22"/>
      <c r="E811" s="23"/>
      <c r="F811" s="23"/>
      <c r="G811" s="22"/>
      <c r="H811" s="24"/>
      <c r="I811" s="22"/>
      <c r="J811" s="25"/>
      <c r="K811" s="25"/>
    </row>
    <row r="812" spans="1:11" s="6" customFormat="1" x14ac:dyDescent="0.3">
      <c r="A812" s="21"/>
      <c r="B812" s="22"/>
      <c r="C812" s="22"/>
      <c r="D812" s="22"/>
      <c r="E812" s="23"/>
      <c r="F812" s="23"/>
      <c r="G812" s="22"/>
      <c r="H812" s="24"/>
      <c r="I812" s="22"/>
      <c r="J812" s="25"/>
      <c r="K812" s="25"/>
    </row>
    <row r="813" spans="1:11" s="6" customFormat="1" x14ac:dyDescent="0.3">
      <c r="A813" s="21"/>
      <c r="B813" s="22"/>
      <c r="C813" s="22"/>
      <c r="D813" s="22"/>
      <c r="E813" s="23"/>
      <c r="F813" s="23"/>
      <c r="G813" s="22"/>
      <c r="H813" s="24"/>
      <c r="I813" s="22"/>
      <c r="J813" s="25"/>
      <c r="K813" s="25"/>
    </row>
    <row r="814" spans="1:11" s="6" customFormat="1" x14ac:dyDescent="0.3">
      <c r="A814" s="21"/>
      <c r="B814" s="22"/>
      <c r="C814" s="22"/>
      <c r="D814" s="22"/>
      <c r="E814" s="23"/>
      <c r="F814" s="23"/>
      <c r="G814" s="22"/>
      <c r="H814" s="24"/>
      <c r="I814" s="22"/>
      <c r="J814" s="25"/>
      <c r="K814" s="25"/>
    </row>
    <row r="815" spans="1:11" s="6" customFormat="1" x14ac:dyDescent="0.3">
      <c r="A815" s="21"/>
      <c r="B815" s="22"/>
      <c r="C815" s="22"/>
      <c r="D815" s="22"/>
      <c r="E815" s="23"/>
      <c r="F815" s="23"/>
      <c r="G815" s="22"/>
      <c r="H815" s="24"/>
      <c r="I815" s="22"/>
      <c r="J815" s="25"/>
      <c r="K815" s="25"/>
    </row>
    <row r="816" spans="1:11" s="6" customFormat="1" x14ac:dyDescent="0.3">
      <c r="A816" s="21"/>
      <c r="B816" s="22"/>
      <c r="C816" s="22"/>
      <c r="D816" s="22"/>
      <c r="E816" s="23"/>
      <c r="F816" s="23"/>
      <c r="G816" s="22"/>
      <c r="H816" s="24"/>
      <c r="I816" s="22"/>
      <c r="J816" s="25"/>
      <c r="K816" s="25"/>
    </row>
    <row r="817" spans="1:11" s="6" customFormat="1" x14ac:dyDescent="0.3">
      <c r="A817" s="21"/>
      <c r="B817" s="22"/>
      <c r="C817" s="22"/>
      <c r="D817" s="22"/>
      <c r="E817" s="23"/>
      <c r="F817" s="23"/>
      <c r="G817" s="22"/>
      <c r="H817" s="24"/>
      <c r="I817" s="22"/>
      <c r="J817" s="25"/>
      <c r="K817" s="25"/>
    </row>
    <row r="818" spans="1:11" s="6" customFormat="1" x14ac:dyDescent="0.3">
      <c r="A818" s="21"/>
      <c r="B818" s="22"/>
      <c r="C818" s="22"/>
      <c r="D818" s="22"/>
      <c r="E818" s="23"/>
      <c r="F818" s="23"/>
      <c r="G818" s="22"/>
      <c r="H818" s="24"/>
      <c r="I818" s="22"/>
      <c r="J818" s="25"/>
      <c r="K818" s="25"/>
    </row>
    <row r="819" spans="1:11" s="6" customFormat="1" x14ac:dyDescent="0.3">
      <c r="A819" s="21"/>
      <c r="B819" s="22"/>
      <c r="C819" s="22"/>
      <c r="D819" s="22"/>
      <c r="E819" s="23"/>
      <c r="F819" s="23"/>
      <c r="G819" s="22"/>
      <c r="H819" s="24"/>
      <c r="I819" s="22"/>
      <c r="J819" s="25"/>
      <c r="K819" s="25"/>
    </row>
    <row r="820" spans="1:11" s="6" customFormat="1" x14ac:dyDescent="0.3">
      <c r="A820" s="21"/>
      <c r="B820" s="22"/>
      <c r="C820" s="22"/>
      <c r="D820" s="22"/>
      <c r="E820" s="23"/>
      <c r="F820" s="23"/>
      <c r="G820" s="22"/>
      <c r="H820" s="24"/>
      <c r="I820" s="22"/>
      <c r="J820" s="25"/>
      <c r="K820" s="25"/>
    </row>
    <row r="821" spans="1:11" s="6" customFormat="1" x14ac:dyDescent="0.3">
      <c r="A821" s="21"/>
      <c r="B821" s="22"/>
      <c r="C821" s="22"/>
      <c r="D821" s="22"/>
      <c r="E821" s="23"/>
      <c r="F821" s="23"/>
      <c r="G821" s="22"/>
      <c r="H821" s="24"/>
      <c r="I821" s="22"/>
      <c r="J821" s="25"/>
      <c r="K821" s="25"/>
    </row>
    <row r="822" spans="1:11" s="6" customFormat="1" x14ac:dyDescent="0.3">
      <c r="A822" s="21"/>
      <c r="B822" s="22"/>
      <c r="C822" s="22"/>
      <c r="D822" s="22"/>
      <c r="E822" s="23"/>
      <c r="F822" s="23"/>
      <c r="G822" s="22"/>
      <c r="H822" s="24"/>
      <c r="I822" s="22"/>
      <c r="J822" s="25"/>
      <c r="K822" s="25"/>
    </row>
    <row r="823" spans="1:11" s="6" customFormat="1" x14ac:dyDescent="0.3">
      <c r="A823" s="21"/>
      <c r="B823" s="22"/>
      <c r="C823" s="22"/>
      <c r="D823" s="22"/>
      <c r="E823" s="23"/>
      <c r="F823" s="23"/>
      <c r="G823" s="22"/>
      <c r="H823" s="24"/>
      <c r="I823" s="22"/>
      <c r="J823" s="25"/>
      <c r="K823" s="25"/>
    </row>
    <row r="824" spans="1:11" s="6" customFormat="1" x14ac:dyDescent="0.3">
      <c r="A824" s="21"/>
      <c r="B824" s="22"/>
      <c r="C824" s="22"/>
      <c r="D824" s="22"/>
      <c r="E824" s="23"/>
      <c r="F824" s="23"/>
      <c r="G824" s="22"/>
      <c r="H824" s="24"/>
      <c r="I824" s="22"/>
      <c r="J824" s="25"/>
      <c r="K824" s="25"/>
    </row>
    <row r="825" spans="1:11" s="6" customFormat="1" x14ac:dyDescent="0.3">
      <c r="A825" s="21"/>
      <c r="B825" s="22"/>
      <c r="C825" s="22"/>
      <c r="D825" s="22"/>
      <c r="E825" s="23"/>
      <c r="F825" s="23"/>
      <c r="G825" s="22"/>
      <c r="H825" s="24"/>
      <c r="I825" s="22"/>
      <c r="J825" s="25"/>
      <c r="K825" s="25"/>
    </row>
    <row r="826" spans="1:11" s="6" customFormat="1" x14ac:dyDescent="0.3">
      <c r="A826" s="21"/>
      <c r="B826" s="22"/>
      <c r="C826" s="22"/>
      <c r="D826" s="22"/>
      <c r="E826" s="23"/>
      <c r="F826" s="23"/>
      <c r="G826" s="22"/>
      <c r="H826" s="24"/>
      <c r="I826" s="22"/>
      <c r="J826" s="25"/>
      <c r="K826" s="25"/>
    </row>
    <row r="827" spans="1:11" s="6" customFormat="1" x14ac:dyDescent="0.3">
      <c r="A827" s="21"/>
      <c r="B827" s="22"/>
      <c r="C827" s="22"/>
      <c r="D827" s="22"/>
      <c r="E827" s="23"/>
      <c r="F827" s="23"/>
      <c r="G827" s="22"/>
      <c r="H827" s="24"/>
      <c r="I827" s="22"/>
      <c r="J827" s="25"/>
      <c r="K827" s="25"/>
    </row>
    <row r="828" spans="1:11" s="6" customFormat="1" x14ac:dyDescent="0.3">
      <c r="A828" s="21"/>
      <c r="B828" s="22"/>
      <c r="C828" s="22"/>
      <c r="D828" s="22"/>
      <c r="E828" s="23"/>
      <c r="F828" s="23"/>
      <c r="G828" s="22"/>
      <c r="H828" s="24"/>
      <c r="I828" s="22"/>
      <c r="J828" s="25"/>
      <c r="K828" s="25"/>
    </row>
    <row r="829" spans="1:11" s="6" customFormat="1" x14ac:dyDescent="0.3">
      <c r="A829" s="21"/>
      <c r="B829" s="22"/>
      <c r="C829" s="22"/>
      <c r="D829" s="22"/>
      <c r="E829" s="23"/>
      <c r="F829" s="23"/>
      <c r="G829" s="22"/>
      <c r="H829" s="24"/>
      <c r="I829" s="22"/>
      <c r="J829" s="25"/>
      <c r="K829" s="25"/>
    </row>
    <row r="830" spans="1:11" s="6" customFormat="1" x14ac:dyDescent="0.3">
      <c r="A830" s="21"/>
      <c r="B830" s="22"/>
      <c r="C830" s="22"/>
      <c r="D830" s="22"/>
      <c r="E830" s="23"/>
      <c r="F830" s="23"/>
      <c r="G830" s="22"/>
      <c r="H830" s="24"/>
      <c r="I830" s="22"/>
      <c r="J830" s="25"/>
      <c r="K830" s="25"/>
    </row>
    <row r="831" spans="1:11" s="6" customFormat="1" x14ac:dyDescent="0.3">
      <c r="A831" s="21"/>
      <c r="B831" s="22"/>
      <c r="C831" s="22"/>
      <c r="D831" s="22"/>
      <c r="E831" s="23"/>
      <c r="F831" s="23"/>
      <c r="G831" s="22"/>
      <c r="H831" s="24"/>
      <c r="I831" s="22"/>
      <c r="J831" s="25"/>
      <c r="K831" s="25"/>
    </row>
    <row r="832" spans="1:11" s="6" customFormat="1" x14ac:dyDescent="0.3">
      <c r="A832" s="21"/>
      <c r="B832" s="22"/>
      <c r="C832" s="22"/>
      <c r="D832" s="22"/>
      <c r="E832" s="23"/>
      <c r="F832" s="23"/>
      <c r="G832" s="22"/>
      <c r="H832" s="24"/>
      <c r="I832" s="22"/>
      <c r="J832" s="25"/>
      <c r="K832" s="25"/>
    </row>
    <row r="833" spans="1:11" s="6" customFormat="1" x14ac:dyDescent="0.3">
      <c r="A833" s="21"/>
      <c r="B833" s="22"/>
      <c r="C833" s="22"/>
      <c r="D833" s="22"/>
      <c r="E833" s="23"/>
      <c r="F833" s="23"/>
      <c r="G833" s="22"/>
      <c r="H833" s="24"/>
      <c r="I833" s="22"/>
      <c r="J833" s="25"/>
      <c r="K833" s="25"/>
    </row>
    <row r="834" spans="1:11" s="6" customFormat="1" x14ac:dyDescent="0.3">
      <c r="A834" s="21"/>
      <c r="B834" s="22"/>
      <c r="C834" s="22"/>
      <c r="D834" s="22"/>
      <c r="E834" s="23"/>
      <c r="F834" s="23"/>
      <c r="G834" s="22"/>
      <c r="H834" s="24"/>
      <c r="I834" s="22"/>
      <c r="J834" s="25"/>
      <c r="K834" s="25"/>
    </row>
    <row r="835" spans="1:11" s="6" customFormat="1" x14ac:dyDescent="0.3">
      <c r="A835" s="21"/>
      <c r="B835" s="22"/>
      <c r="C835" s="22"/>
      <c r="D835" s="22"/>
      <c r="E835" s="23"/>
      <c r="F835" s="23"/>
      <c r="G835" s="22"/>
      <c r="H835" s="24"/>
      <c r="I835" s="22"/>
      <c r="J835" s="25"/>
      <c r="K835" s="25"/>
    </row>
    <row r="836" spans="1:11" s="6" customFormat="1" x14ac:dyDescent="0.3">
      <c r="A836" s="21"/>
      <c r="B836" s="22"/>
      <c r="C836" s="22"/>
      <c r="D836" s="22"/>
      <c r="E836" s="23"/>
      <c r="F836" s="23"/>
      <c r="G836" s="22"/>
      <c r="H836" s="24"/>
      <c r="I836" s="22"/>
      <c r="J836" s="25"/>
      <c r="K836" s="25"/>
    </row>
    <row r="837" spans="1:11" s="6" customFormat="1" x14ac:dyDescent="0.3">
      <c r="A837" s="21"/>
      <c r="B837" s="22"/>
      <c r="C837" s="22"/>
      <c r="D837" s="22"/>
      <c r="E837" s="23"/>
      <c r="F837" s="23"/>
      <c r="G837" s="22"/>
      <c r="H837" s="24"/>
      <c r="I837" s="22"/>
      <c r="J837" s="25"/>
      <c r="K837" s="25"/>
    </row>
    <row r="838" spans="1:11" s="6" customFormat="1" x14ac:dyDescent="0.3">
      <c r="A838" s="21"/>
      <c r="B838" s="22"/>
      <c r="C838" s="22"/>
      <c r="D838" s="22"/>
      <c r="E838" s="23"/>
      <c r="F838" s="23"/>
      <c r="G838" s="22"/>
      <c r="H838" s="24"/>
      <c r="I838" s="22"/>
      <c r="J838" s="25"/>
      <c r="K838" s="25"/>
    </row>
    <row r="839" spans="1:11" s="6" customFormat="1" x14ac:dyDescent="0.3">
      <c r="A839" s="21"/>
      <c r="B839" s="22"/>
      <c r="C839" s="22"/>
      <c r="D839" s="22"/>
      <c r="E839" s="23"/>
      <c r="F839" s="23"/>
      <c r="G839" s="22"/>
      <c r="H839" s="24"/>
      <c r="I839" s="22"/>
      <c r="J839" s="25"/>
      <c r="K839" s="25"/>
    </row>
    <row r="840" spans="1:11" s="6" customFormat="1" x14ac:dyDescent="0.3">
      <c r="A840" s="21"/>
      <c r="B840" s="22"/>
      <c r="C840" s="22"/>
      <c r="D840" s="22"/>
      <c r="E840" s="23"/>
      <c r="F840" s="23"/>
      <c r="G840" s="22"/>
      <c r="H840" s="24"/>
      <c r="I840" s="22"/>
      <c r="J840" s="25"/>
      <c r="K840" s="25"/>
    </row>
    <row r="841" spans="1:11" s="6" customFormat="1" x14ac:dyDescent="0.3">
      <c r="A841" s="21"/>
      <c r="B841" s="22"/>
      <c r="C841" s="22"/>
      <c r="D841" s="22"/>
      <c r="E841" s="23"/>
      <c r="F841" s="23"/>
      <c r="G841" s="22"/>
      <c r="H841" s="24"/>
      <c r="I841" s="22"/>
      <c r="J841" s="25"/>
      <c r="K841" s="25"/>
    </row>
    <row r="842" spans="1:11" s="6" customFormat="1" x14ac:dyDescent="0.3">
      <c r="A842" s="21"/>
      <c r="B842" s="22"/>
      <c r="C842" s="22"/>
      <c r="D842" s="22"/>
      <c r="E842" s="23"/>
      <c r="F842" s="23"/>
      <c r="G842" s="22"/>
      <c r="H842" s="24"/>
      <c r="I842" s="22"/>
      <c r="J842" s="25"/>
      <c r="K842" s="25"/>
    </row>
    <row r="843" spans="1:11" s="6" customFormat="1" x14ac:dyDescent="0.3">
      <c r="A843" s="21"/>
      <c r="B843" s="22"/>
      <c r="C843" s="22"/>
      <c r="D843" s="22"/>
      <c r="E843" s="23"/>
      <c r="F843" s="23"/>
      <c r="G843" s="22"/>
      <c r="H843" s="24"/>
      <c r="I843" s="22"/>
      <c r="J843" s="25"/>
      <c r="K843" s="25"/>
    </row>
    <row r="844" spans="1:11" s="6" customFormat="1" x14ac:dyDescent="0.3">
      <c r="A844" s="21"/>
      <c r="B844" s="22"/>
      <c r="C844" s="22"/>
      <c r="D844" s="22"/>
      <c r="E844" s="23"/>
      <c r="F844" s="23"/>
      <c r="G844" s="22"/>
      <c r="H844" s="24"/>
      <c r="I844" s="22"/>
      <c r="J844" s="25"/>
      <c r="K844" s="25"/>
    </row>
    <row r="845" spans="1:11" s="6" customFormat="1" x14ac:dyDescent="0.3">
      <c r="A845" s="21"/>
      <c r="B845" s="22"/>
      <c r="C845" s="22"/>
      <c r="D845" s="22"/>
      <c r="E845" s="23"/>
      <c r="F845" s="23"/>
      <c r="G845" s="22"/>
      <c r="H845" s="24"/>
      <c r="I845" s="22"/>
      <c r="J845" s="25"/>
      <c r="K845" s="25"/>
    </row>
    <row r="846" spans="1:11" s="6" customFormat="1" x14ac:dyDescent="0.3">
      <c r="A846" s="21"/>
      <c r="B846" s="22"/>
      <c r="C846" s="22"/>
      <c r="D846" s="22"/>
      <c r="E846" s="23"/>
      <c r="F846" s="23"/>
      <c r="G846" s="22"/>
      <c r="H846" s="24"/>
      <c r="I846" s="22"/>
      <c r="J846" s="25"/>
      <c r="K846" s="25"/>
    </row>
    <row r="847" spans="1:11" s="6" customFormat="1" x14ac:dyDescent="0.3">
      <c r="A847" s="21"/>
      <c r="B847" s="22"/>
      <c r="C847" s="22"/>
      <c r="D847" s="22"/>
      <c r="E847" s="23"/>
      <c r="F847" s="23"/>
      <c r="G847" s="22"/>
      <c r="H847" s="24"/>
      <c r="I847" s="22"/>
      <c r="J847" s="25"/>
      <c r="K847" s="25"/>
    </row>
    <row r="848" spans="1:11" s="6" customFormat="1" x14ac:dyDescent="0.3">
      <c r="A848" s="21"/>
      <c r="B848" s="22"/>
      <c r="C848" s="22"/>
      <c r="D848" s="22"/>
      <c r="E848" s="23"/>
      <c r="F848" s="23"/>
      <c r="G848" s="22"/>
      <c r="H848" s="24"/>
      <c r="I848" s="22"/>
      <c r="J848" s="25"/>
      <c r="K848" s="25"/>
    </row>
    <row r="849" spans="1:11" s="6" customFormat="1" x14ac:dyDescent="0.3">
      <c r="A849" s="21"/>
      <c r="B849" s="22"/>
      <c r="C849" s="22"/>
      <c r="D849" s="22"/>
      <c r="E849" s="23"/>
      <c r="F849" s="23"/>
      <c r="G849" s="22"/>
      <c r="H849" s="24"/>
      <c r="I849" s="22"/>
      <c r="J849" s="25"/>
      <c r="K849" s="25"/>
    </row>
    <row r="850" spans="1:11" s="6" customFormat="1" x14ac:dyDescent="0.3">
      <c r="A850" s="21"/>
      <c r="B850" s="22"/>
      <c r="C850" s="22"/>
      <c r="D850" s="22"/>
      <c r="E850" s="23"/>
      <c r="F850" s="23"/>
      <c r="G850" s="22"/>
      <c r="H850" s="24"/>
      <c r="I850" s="22"/>
      <c r="J850" s="25"/>
      <c r="K850" s="25"/>
    </row>
    <row r="851" spans="1:11" s="6" customFormat="1" x14ac:dyDescent="0.3">
      <c r="A851" s="21"/>
      <c r="B851" s="22"/>
      <c r="C851" s="22"/>
      <c r="D851" s="22"/>
      <c r="E851" s="23"/>
      <c r="F851" s="23"/>
      <c r="G851" s="22"/>
      <c r="H851" s="24"/>
      <c r="I851" s="22"/>
      <c r="J851" s="25"/>
      <c r="K851" s="25"/>
    </row>
    <row r="852" spans="1:11" s="6" customFormat="1" x14ac:dyDescent="0.3">
      <c r="A852" s="21"/>
      <c r="B852" s="22"/>
      <c r="C852" s="22"/>
      <c r="D852" s="22"/>
      <c r="E852" s="23"/>
      <c r="F852" s="23"/>
      <c r="G852" s="22"/>
      <c r="H852" s="24"/>
      <c r="I852" s="22"/>
      <c r="J852" s="25"/>
      <c r="K852" s="25"/>
    </row>
    <row r="853" spans="1:11" s="6" customFormat="1" x14ac:dyDescent="0.3">
      <c r="A853" s="21"/>
      <c r="B853" s="22"/>
      <c r="C853" s="22"/>
      <c r="D853" s="22"/>
      <c r="E853" s="23"/>
      <c r="F853" s="23"/>
      <c r="G853" s="22"/>
      <c r="H853" s="24"/>
      <c r="I853" s="22"/>
      <c r="J853" s="25"/>
      <c r="K853" s="25"/>
    </row>
    <row r="854" spans="1:11" s="6" customFormat="1" x14ac:dyDescent="0.3">
      <c r="A854" s="21"/>
      <c r="B854" s="22"/>
      <c r="C854" s="22"/>
      <c r="D854" s="22"/>
      <c r="E854" s="23"/>
      <c r="F854" s="23"/>
      <c r="G854" s="22"/>
      <c r="H854" s="24"/>
      <c r="I854" s="22"/>
      <c r="J854" s="25"/>
      <c r="K854" s="25"/>
    </row>
    <row r="855" spans="1:11" s="6" customFormat="1" x14ac:dyDescent="0.3">
      <c r="A855" s="21"/>
      <c r="B855" s="22"/>
      <c r="C855" s="22"/>
      <c r="D855" s="22"/>
      <c r="E855" s="23"/>
      <c r="F855" s="23"/>
      <c r="G855" s="22"/>
      <c r="H855" s="24"/>
      <c r="I855" s="22"/>
      <c r="J855" s="25"/>
      <c r="K855" s="25"/>
    </row>
    <row r="856" spans="1:11" s="6" customFormat="1" x14ac:dyDescent="0.3">
      <c r="A856" s="21"/>
      <c r="B856" s="22"/>
      <c r="C856" s="22"/>
      <c r="D856" s="22"/>
      <c r="E856" s="23"/>
      <c r="F856" s="23"/>
      <c r="G856" s="22"/>
      <c r="H856" s="24"/>
      <c r="I856" s="22"/>
      <c r="J856" s="25"/>
      <c r="K856" s="25"/>
    </row>
    <row r="857" spans="1:11" s="6" customFormat="1" x14ac:dyDescent="0.3">
      <c r="A857" s="21"/>
      <c r="B857" s="22"/>
      <c r="C857" s="22"/>
      <c r="D857" s="22"/>
      <c r="E857" s="23"/>
      <c r="F857" s="23"/>
      <c r="G857" s="22"/>
      <c r="H857" s="24"/>
      <c r="I857" s="22"/>
      <c r="J857" s="25"/>
      <c r="K857" s="25"/>
    </row>
    <row r="858" spans="1:11" s="6" customFormat="1" x14ac:dyDescent="0.3">
      <c r="A858" s="21"/>
      <c r="B858" s="22"/>
      <c r="C858" s="22"/>
      <c r="D858" s="22"/>
      <c r="E858" s="23"/>
      <c r="F858" s="23"/>
      <c r="G858" s="22"/>
      <c r="H858" s="24"/>
      <c r="I858" s="22"/>
      <c r="J858" s="25"/>
      <c r="K858" s="25"/>
    </row>
    <row r="859" spans="1:11" s="6" customFormat="1" x14ac:dyDescent="0.3">
      <c r="A859" s="21"/>
      <c r="B859" s="22"/>
      <c r="C859" s="22"/>
      <c r="D859" s="22"/>
      <c r="E859" s="23"/>
      <c r="F859" s="23"/>
      <c r="G859" s="22"/>
      <c r="H859" s="24"/>
      <c r="I859" s="22"/>
      <c r="J859" s="25"/>
      <c r="K859" s="25"/>
    </row>
    <row r="860" spans="1:11" s="6" customFormat="1" x14ac:dyDescent="0.3">
      <c r="A860" s="21"/>
      <c r="B860" s="22"/>
      <c r="C860" s="22"/>
      <c r="D860" s="22"/>
      <c r="E860" s="23"/>
      <c r="F860" s="23"/>
      <c r="G860" s="22"/>
      <c r="H860" s="24"/>
      <c r="I860" s="22"/>
      <c r="J860" s="25"/>
      <c r="K860" s="25"/>
    </row>
    <row r="861" spans="1:11" s="6" customFormat="1" x14ac:dyDescent="0.3">
      <c r="A861" s="21"/>
      <c r="B861" s="22"/>
      <c r="C861" s="22"/>
      <c r="D861" s="22"/>
      <c r="E861" s="23"/>
      <c r="F861" s="23"/>
      <c r="G861" s="22"/>
      <c r="H861" s="24"/>
      <c r="I861" s="22"/>
      <c r="J861" s="25"/>
      <c r="K861" s="25"/>
    </row>
    <row r="862" spans="1:11" s="6" customFormat="1" x14ac:dyDescent="0.3">
      <c r="A862" s="21"/>
      <c r="B862" s="22"/>
      <c r="C862" s="22"/>
      <c r="D862" s="22"/>
      <c r="E862" s="23"/>
      <c r="F862" s="23"/>
      <c r="G862" s="22"/>
      <c r="H862" s="24"/>
      <c r="I862" s="22"/>
      <c r="J862" s="25"/>
      <c r="K862" s="25"/>
    </row>
    <row r="863" spans="1:11" s="6" customFormat="1" x14ac:dyDescent="0.3">
      <c r="A863" s="21"/>
      <c r="B863" s="22"/>
      <c r="C863" s="22"/>
      <c r="D863" s="22"/>
      <c r="E863" s="23"/>
      <c r="F863" s="23"/>
      <c r="G863" s="22"/>
      <c r="H863" s="24"/>
      <c r="I863" s="22"/>
      <c r="J863" s="25"/>
      <c r="K863" s="25"/>
    </row>
    <row r="864" spans="1:11" s="6" customFormat="1" x14ac:dyDescent="0.3">
      <c r="A864" s="21"/>
      <c r="B864" s="22"/>
      <c r="C864" s="22"/>
      <c r="D864" s="22"/>
      <c r="E864" s="23"/>
      <c r="F864" s="23"/>
      <c r="G864" s="22"/>
      <c r="H864" s="24"/>
      <c r="I864" s="22"/>
      <c r="J864" s="25"/>
      <c r="K864" s="25"/>
    </row>
    <row r="865" spans="1:11" s="6" customFormat="1" x14ac:dyDescent="0.3">
      <c r="A865" s="21"/>
      <c r="B865" s="22"/>
      <c r="C865" s="22"/>
      <c r="D865" s="22"/>
      <c r="E865" s="23"/>
      <c r="F865" s="23"/>
      <c r="G865" s="22"/>
      <c r="H865" s="24"/>
      <c r="I865" s="22"/>
      <c r="J865" s="25"/>
      <c r="K865" s="25"/>
    </row>
    <row r="866" spans="1:11" s="6" customFormat="1" x14ac:dyDescent="0.3">
      <c r="A866" s="21"/>
      <c r="B866" s="22"/>
      <c r="C866" s="22"/>
      <c r="D866" s="22"/>
      <c r="E866" s="23"/>
      <c r="F866" s="23"/>
      <c r="G866" s="22"/>
      <c r="H866" s="24"/>
      <c r="I866" s="22"/>
      <c r="J866" s="25"/>
      <c r="K866" s="25"/>
    </row>
    <row r="867" spans="1:11" s="6" customFormat="1" x14ac:dyDescent="0.3">
      <c r="A867" s="21"/>
      <c r="B867" s="22"/>
      <c r="C867" s="22"/>
      <c r="D867" s="22"/>
      <c r="E867" s="23"/>
      <c r="F867" s="23"/>
      <c r="G867" s="22"/>
      <c r="H867" s="24"/>
      <c r="I867" s="22"/>
      <c r="J867" s="25"/>
      <c r="K867" s="25"/>
    </row>
    <row r="868" spans="1:11" s="6" customFormat="1" x14ac:dyDescent="0.3">
      <c r="A868" s="21"/>
      <c r="B868" s="22"/>
      <c r="C868" s="22"/>
      <c r="D868" s="22"/>
      <c r="E868" s="23"/>
      <c r="F868" s="23"/>
      <c r="G868" s="22"/>
      <c r="H868" s="24"/>
      <c r="I868" s="22"/>
      <c r="J868" s="25"/>
      <c r="K868" s="25"/>
    </row>
    <row r="869" spans="1:11" s="6" customFormat="1" x14ac:dyDescent="0.3">
      <c r="A869" s="21"/>
      <c r="B869" s="22"/>
      <c r="C869" s="22"/>
      <c r="D869" s="22"/>
      <c r="E869" s="23"/>
      <c r="F869" s="23"/>
      <c r="G869" s="22"/>
      <c r="H869" s="24"/>
      <c r="I869" s="22"/>
      <c r="J869" s="25"/>
      <c r="K869" s="25"/>
    </row>
    <row r="870" spans="1:11" s="6" customFormat="1" x14ac:dyDescent="0.3">
      <c r="A870" s="21"/>
      <c r="B870" s="22"/>
      <c r="C870" s="22"/>
      <c r="D870" s="22"/>
      <c r="E870" s="23"/>
      <c r="F870" s="23"/>
      <c r="G870" s="22"/>
      <c r="H870" s="24"/>
      <c r="I870" s="22"/>
      <c r="J870" s="25"/>
      <c r="K870" s="25"/>
    </row>
    <row r="871" spans="1:11" s="6" customFormat="1" x14ac:dyDescent="0.3">
      <c r="A871" s="21"/>
      <c r="B871" s="22"/>
      <c r="C871" s="22"/>
      <c r="D871" s="22"/>
      <c r="E871" s="23"/>
      <c r="F871" s="23"/>
      <c r="G871" s="22"/>
      <c r="H871" s="24"/>
      <c r="I871" s="22"/>
      <c r="J871" s="25"/>
      <c r="K871" s="25"/>
    </row>
    <row r="872" spans="1:11" s="6" customFormat="1" x14ac:dyDescent="0.3">
      <c r="A872" s="21"/>
      <c r="B872" s="22"/>
      <c r="C872" s="22"/>
      <c r="D872" s="22"/>
      <c r="E872" s="23"/>
      <c r="F872" s="23"/>
      <c r="G872" s="22"/>
      <c r="H872" s="24"/>
      <c r="I872" s="22"/>
      <c r="J872" s="25"/>
      <c r="K872" s="25"/>
    </row>
    <row r="873" spans="1:11" s="6" customFormat="1" x14ac:dyDescent="0.3">
      <c r="A873" s="21"/>
      <c r="B873" s="22"/>
      <c r="C873" s="22"/>
      <c r="D873" s="22"/>
      <c r="E873" s="23"/>
      <c r="F873" s="23"/>
      <c r="G873" s="22"/>
      <c r="H873" s="24"/>
      <c r="I873" s="22"/>
      <c r="J873" s="25"/>
      <c r="K873" s="25"/>
    </row>
    <row r="874" spans="1:11" s="6" customFormat="1" x14ac:dyDescent="0.3">
      <c r="A874" s="21"/>
      <c r="B874" s="22"/>
      <c r="C874" s="22"/>
      <c r="D874" s="22"/>
      <c r="E874" s="23"/>
      <c r="F874" s="23"/>
      <c r="G874" s="22"/>
      <c r="H874" s="24"/>
      <c r="I874" s="22"/>
      <c r="J874" s="25"/>
      <c r="K874" s="25"/>
    </row>
    <row r="875" spans="1:11" s="6" customFormat="1" x14ac:dyDescent="0.3">
      <c r="A875" s="21"/>
      <c r="B875" s="22"/>
      <c r="C875" s="22"/>
      <c r="D875" s="22"/>
      <c r="E875" s="23"/>
      <c r="F875" s="23"/>
      <c r="G875" s="22"/>
      <c r="H875" s="24"/>
      <c r="I875" s="22"/>
      <c r="J875" s="25"/>
      <c r="K875" s="25"/>
    </row>
    <row r="876" spans="1:11" s="6" customFormat="1" x14ac:dyDescent="0.3">
      <c r="A876" s="21"/>
      <c r="B876" s="22"/>
      <c r="C876" s="22"/>
      <c r="D876" s="22"/>
      <c r="E876" s="23"/>
      <c r="F876" s="23"/>
      <c r="G876" s="22"/>
      <c r="H876" s="24"/>
      <c r="I876" s="22"/>
      <c r="J876" s="25"/>
      <c r="K876" s="25"/>
    </row>
    <row r="877" spans="1:11" s="6" customFormat="1" x14ac:dyDescent="0.3">
      <c r="A877" s="21"/>
      <c r="B877" s="22"/>
      <c r="C877" s="22"/>
      <c r="D877" s="22"/>
      <c r="E877" s="23"/>
      <c r="F877" s="23"/>
      <c r="G877" s="22"/>
      <c r="H877" s="24"/>
      <c r="I877" s="22"/>
      <c r="J877" s="25"/>
      <c r="K877" s="25"/>
    </row>
    <row r="878" spans="1:11" s="6" customFormat="1" x14ac:dyDescent="0.3">
      <c r="A878" s="21"/>
      <c r="B878" s="22"/>
      <c r="C878" s="22"/>
      <c r="D878" s="22"/>
      <c r="E878" s="23"/>
      <c r="F878" s="23"/>
      <c r="G878" s="22"/>
      <c r="H878" s="24"/>
      <c r="I878" s="22"/>
      <c r="J878" s="25"/>
      <c r="K878" s="25"/>
    </row>
    <row r="879" spans="1:11" s="6" customFormat="1" x14ac:dyDescent="0.3">
      <c r="A879" s="21"/>
      <c r="B879" s="22"/>
      <c r="C879" s="22"/>
      <c r="D879" s="22"/>
      <c r="E879" s="23"/>
      <c r="F879" s="23"/>
      <c r="G879" s="22"/>
      <c r="H879" s="24"/>
      <c r="I879" s="22"/>
      <c r="J879" s="25"/>
      <c r="K879" s="25"/>
    </row>
    <row r="880" spans="1:11" s="6" customFormat="1" x14ac:dyDescent="0.3">
      <c r="A880" s="21"/>
      <c r="B880" s="22"/>
      <c r="C880" s="22"/>
      <c r="D880" s="22"/>
      <c r="E880" s="23"/>
      <c r="F880" s="23"/>
      <c r="G880" s="22"/>
      <c r="H880" s="24"/>
      <c r="I880" s="22"/>
      <c r="J880" s="25"/>
      <c r="K880" s="25"/>
    </row>
    <row r="881" spans="1:11" s="6" customFormat="1" x14ac:dyDescent="0.3">
      <c r="A881" s="21"/>
      <c r="B881" s="22"/>
      <c r="C881" s="22"/>
      <c r="D881" s="22"/>
      <c r="E881" s="23"/>
      <c r="F881" s="23"/>
      <c r="G881" s="22"/>
      <c r="H881" s="24"/>
      <c r="I881" s="22"/>
      <c r="J881" s="25"/>
      <c r="K881" s="25"/>
    </row>
    <row r="882" spans="1:11" s="6" customFormat="1" x14ac:dyDescent="0.3">
      <c r="A882" s="21"/>
      <c r="B882" s="22"/>
      <c r="C882" s="22"/>
      <c r="D882" s="22"/>
      <c r="E882" s="23"/>
      <c r="F882" s="23"/>
      <c r="G882" s="22"/>
      <c r="H882" s="24"/>
      <c r="I882" s="22"/>
      <c r="J882" s="25"/>
      <c r="K882" s="25"/>
    </row>
    <row r="883" spans="1:11" s="6" customFormat="1" x14ac:dyDescent="0.3">
      <c r="A883" s="21"/>
      <c r="B883" s="22"/>
      <c r="C883" s="22"/>
      <c r="D883" s="22"/>
      <c r="E883" s="23"/>
      <c r="F883" s="23"/>
      <c r="G883" s="22"/>
      <c r="H883" s="24"/>
      <c r="I883" s="22"/>
      <c r="J883" s="25"/>
      <c r="K883" s="25"/>
    </row>
    <row r="884" spans="1:11" s="6" customFormat="1" x14ac:dyDescent="0.3">
      <c r="A884" s="21"/>
      <c r="B884" s="22"/>
      <c r="C884" s="22"/>
      <c r="D884" s="22"/>
      <c r="E884" s="23"/>
      <c r="F884" s="23"/>
      <c r="G884" s="22"/>
      <c r="H884" s="24"/>
      <c r="I884" s="22"/>
      <c r="J884" s="25"/>
      <c r="K884" s="25"/>
    </row>
    <row r="885" spans="1:11" s="6" customFormat="1" x14ac:dyDescent="0.3">
      <c r="A885" s="21"/>
      <c r="B885" s="22"/>
      <c r="C885" s="22"/>
      <c r="D885" s="22"/>
      <c r="E885" s="23"/>
      <c r="F885" s="23"/>
      <c r="G885" s="22"/>
      <c r="H885" s="24"/>
      <c r="I885" s="22"/>
      <c r="J885" s="25"/>
      <c r="K885" s="25"/>
    </row>
    <row r="886" spans="1:11" s="6" customFormat="1" x14ac:dyDescent="0.3">
      <c r="A886" s="21"/>
      <c r="B886" s="22"/>
      <c r="C886" s="22"/>
      <c r="D886" s="22"/>
      <c r="E886" s="23"/>
      <c r="F886" s="23"/>
      <c r="G886" s="22"/>
      <c r="H886" s="24"/>
      <c r="I886" s="22"/>
      <c r="J886" s="25"/>
      <c r="K886" s="25"/>
    </row>
    <row r="887" spans="1:11" s="6" customFormat="1" x14ac:dyDescent="0.3">
      <c r="A887" s="21"/>
      <c r="B887" s="22"/>
      <c r="C887" s="22"/>
      <c r="D887" s="22"/>
      <c r="E887" s="23"/>
      <c r="F887" s="23"/>
      <c r="G887" s="22"/>
      <c r="H887" s="24"/>
      <c r="I887" s="22"/>
      <c r="J887" s="25"/>
      <c r="K887" s="25"/>
    </row>
    <row r="888" spans="1:11" s="6" customFormat="1" x14ac:dyDescent="0.3">
      <c r="A888" s="21"/>
      <c r="B888" s="22"/>
      <c r="C888" s="22"/>
      <c r="D888" s="22"/>
      <c r="E888" s="23"/>
      <c r="F888" s="23"/>
      <c r="G888" s="22"/>
      <c r="H888" s="24"/>
      <c r="I888" s="22"/>
      <c r="J888" s="25"/>
      <c r="K888" s="25"/>
    </row>
    <row r="889" spans="1:11" s="6" customFormat="1" x14ac:dyDescent="0.3">
      <c r="A889" s="21"/>
      <c r="B889" s="22"/>
      <c r="C889" s="22"/>
      <c r="D889" s="22"/>
      <c r="E889" s="23"/>
      <c r="F889" s="23"/>
      <c r="G889" s="22"/>
      <c r="H889" s="24"/>
      <c r="I889" s="22"/>
      <c r="J889" s="25"/>
      <c r="K889" s="25"/>
    </row>
    <row r="890" spans="1:11" s="6" customFormat="1" x14ac:dyDescent="0.3">
      <c r="A890" s="21"/>
      <c r="B890" s="22"/>
      <c r="C890" s="22"/>
      <c r="D890" s="22"/>
      <c r="E890" s="23"/>
      <c r="F890" s="23"/>
      <c r="G890" s="22"/>
      <c r="H890" s="24"/>
      <c r="I890" s="22"/>
      <c r="J890" s="25"/>
      <c r="K890" s="25"/>
    </row>
    <row r="891" spans="1:11" s="6" customFormat="1" x14ac:dyDescent="0.3">
      <c r="A891" s="21"/>
      <c r="B891" s="22"/>
      <c r="C891" s="22"/>
      <c r="D891" s="22"/>
      <c r="E891" s="23"/>
      <c r="F891" s="23"/>
      <c r="G891" s="22"/>
      <c r="H891" s="24"/>
      <c r="I891" s="22"/>
      <c r="J891" s="25"/>
      <c r="K891" s="25"/>
    </row>
    <row r="892" spans="1:11" s="6" customFormat="1" x14ac:dyDescent="0.3">
      <c r="A892" s="21"/>
      <c r="B892" s="22"/>
      <c r="C892" s="22"/>
      <c r="D892" s="22"/>
      <c r="E892" s="23"/>
      <c r="F892" s="23"/>
      <c r="G892" s="22"/>
      <c r="H892" s="24"/>
      <c r="I892" s="22"/>
      <c r="J892" s="25"/>
      <c r="K892" s="25"/>
    </row>
    <row r="893" spans="1:11" s="6" customFormat="1" x14ac:dyDescent="0.3">
      <c r="A893" s="21"/>
      <c r="B893" s="22"/>
      <c r="C893" s="22"/>
      <c r="D893" s="22"/>
      <c r="E893" s="23"/>
      <c r="F893" s="23"/>
      <c r="G893" s="22"/>
      <c r="H893" s="24"/>
      <c r="I893" s="22"/>
      <c r="J893" s="25"/>
      <c r="K893" s="25"/>
    </row>
    <row r="894" spans="1:11" s="6" customFormat="1" x14ac:dyDescent="0.3">
      <c r="A894" s="21"/>
      <c r="B894" s="22"/>
      <c r="C894" s="22"/>
      <c r="D894" s="22"/>
      <c r="E894" s="23"/>
      <c r="F894" s="23"/>
      <c r="G894" s="22"/>
      <c r="H894" s="24"/>
      <c r="I894" s="22"/>
      <c r="J894" s="25"/>
      <c r="K894" s="25"/>
    </row>
    <row r="895" spans="1:11" s="6" customFormat="1" x14ac:dyDescent="0.3">
      <c r="A895" s="21"/>
      <c r="B895" s="22"/>
      <c r="C895" s="22"/>
      <c r="D895" s="22"/>
      <c r="E895" s="23"/>
      <c r="F895" s="23"/>
      <c r="G895" s="22"/>
      <c r="H895" s="24"/>
      <c r="I895" s="22"/>
      <c r="J895" s="25"/>
      <c r="K895" s="25"/>
    </row>
    <row r="896" spans="1:11" s="6" customFormat="1" x14ac:dyDescent="0.3">
      <c r="A896" s="21"/>
      <c r="B896" s="22"/>
      <c r="C896" s="22"/>
      <c r="D896" s="22"/>
      <c r="E896" s="23"/>
      <c r="F896" s="23"/>
      <c r="G896" s="22"/>
      <c r="H896" s="24"/>
      <c r="I896" s="22"/>
      <c r="J896" s="25"/>
      <c r="K896" s="25"/>
    </row>
    <row r="897" spans="1:11" s="6" customFormat="1" x14ac:dyDescent="0.3">
      <c r="A897" s="21"/>
      <c r="B897" s="22"/>
      <c r="C897" s="22"/>
      <c r="D897" s="22"/>
      <c r="E897" s="23"/>
      <c r="F897" s="23"/>
      <c r="G897" s="22"/>
      <c r="H897" s="24"/>
      <c r="I897" s="22"/>
      <c r="J897" s="25"/>
      <c r="K897" s="25"/>
    </row>
    <row r="898" spans="1:11" s="6" customFormat="1" x14ac:dyDescent="0.3">
      <c r="A898" s="21"/>
      <c r="B898" s="22"/>
      <c r="C898" s="22"/>
      <c r="D898" s="22"/>
      <c r="E898" s="23"/>
      <c r="F898" s="23"/>
      <c r="G898" s="22"/>
      <c r="H898" s="24"/>
      <c r="I898" s="22"/>
      <c r="J898" s="25"/>
      <c r="K898" s="25"/>
    </row>
    <row r="899" spans="1:11" s="6" customFormat="1" x14ac:dyDescent="0.3">
      <c r="A899" s="21"/>
      <c r="B899" s="22"/>
      <c r="C899" s="22"/>
      <c r="D899" s="22"/>
      <c r="E899" s="23"/>
      <c r="F899" s="23"/>
      <c r="G899" s="22"/>
      <c r="H899" s="24"/>
      <c r="I899" s="22"/>
      <c r="J899" s="25"/>
      <c r="K899" s="25"/>
    </row>
    <row r="900" spans="1:11" s="6" customFormat="1" x14ac:dyDescent="0.3">
      <c r="A900" s="21"/>
      <c r="B900" s="22"/>
      <c r="C900" s="22"/>
      <c r="D900" s="22"/>
      <c r="E900" s="23"/>
      <c r="F900" s="23"/>
      <c r="G900" s="22"/>
      <c r="H900" s="24"/>
      <c r="I900" s="22"/>
      <c r="J900" s="25"/>
      <c r="K900" s="25"/>
    </row>
    <row r="901" spans="1:11" s="6" customFormat="1" x14ac:dyDescent="0.3">
      <c r="A901" s="21"/>
      <c r="B901" s="22"/>
      <c r="C901" s="22"/>
      <c r="D901" s="22"/>
      <c r="E901" s="23"/>
      <c r="F901" s="23"/>
      <c r="G901" s="22"/>
      <c r="H901" s="24"/>
      <c r="I901" s="22"/>
      <c r="J901" s="25"/>
      <c r="K901" s="25"/>
    </row>
    <row r="902" spans="1:11" s="6" customFormat="1" x14ac:dyDescent="0.3">
      <c r="A902" s="21"/>
      <c r="B902" s="22"/>
      <c r="C902" s="22"/>
      <c r="D902" s="22"/>
      <c r="E902" s="23"/>
      <c r="F902" s="23"/>
      <c r="G902" s="22"/>
      <c r="H902" s="24"/>
      <c r="I902" s="22"/>
      <c r="J902" s="25"/>
      <c r="K902" s="25"/>
    </row>
    <row r="903" spans="1:11" s="6" customFormat="1" x14ac:dyDescent="0.3">
      <c r="A903" s="21"/>
      <c r="B903" s="22"/>
      <c r="C903" s="22"/>
      <c r="D903" s="22"/>
      <c r="E903" s="23"/>
      <c r="F903" s="23"/>
      <c r="G903" s="22"/>
      <c r="H903" s="24"/>
      <c r="I903" s="22"/>
      <c r="J903" s="25"/>
      <c r="K903" s="25"/>
    </row>
    <row r="904" spans="1:11" s="6" customFormat="1" x14ac:dyDescent="0.3">
      <c r="A904" s="21"/>
      <c r="B904" s="22"/>
      <c r="C904" s="22"/>
      <c r="D904" s="22"/>
      <c r="E904" s="23"/>
      <c r="F904" s="23"/>
      <c r="G904" s="22"/>
      <c r="H904" s="24"/>
      <c r="I904" s="22"/>
      <c r="J904" s="25"/>
      <c r="K904" s="25"/>
    </row>
    <row r="905" spans="1:11" s="6" customFormat="1" x14ac:dyDescent="0.3">
      <c r="A905" s="21"/>
      <c r="B905" s="22"/>
      <c r="C905" s="22"/>
      <c r="D905" s="22"/>
      <c r="E905" s="23"/>
      <c r="F905" s="23"/>
      <c r="G905" s="22"/>
      <c r="H905" s="24"/>
      <c r="I905" s="22"/>
      <c r="J905" s="25"/>
      <c r="K905" s="25"/>
    </row>
    <row r="906" spans="1:11" s="6" customFormat="1" x14ac:dyDescent="0.3">
      <c r="A906" s="21"/>
      <c r="B906" s="22"/>
      <c r="C906" s="22"/>
      <c r="D906" s="22"/>
      <c r="E906" s="23"/>
      <c r="F906" s="23"/>
      <c r="G906" s="22"/>
      <c r="H906" s="24"/>
      <c r="I906" s="22"/>
      <c r="J906" s="25"/>
      <c r="K906" s="25"/>
    </row>
    <row r="907" spans="1:11" s="6" customFormat="1" x14ac:dyDescent="0.3">
      <c r="A907" s="21"/>
      <c r="B907" s="22"/>
      <c r="C907" s="22"/>
      <c r="D907" s="22"/>
      <c r="E907" s="23"/>
      <c r="F907" s="23"/>
      <c r="G907" s="22"/>
      <c r="H907" s="24"/>
      <c r="I907" s="22"/>
      <c r="J907" s="25"/>
      <c r="K907" s="25"/>
    </row>
    <row r="908" spans="1:11" s="6" customFormat="1" x14ac:dyDescent="0.3">
      <c r="A908" s="21"/>
      <c r="B908" s="22"/>
      <c r="C908" s="22"/>
      <c r="D908" s="22"/>
      <c r="E908" s="23"/>
      <c r="F908" s="23"/>
      <c r="G908" s="22"/>
      <c r="H908" s="24"/>
      <c r="I908" s="22"/>
      <c r="J908" s="25"/>
      <c r="K908" s="25"/>
    </row>
    <row r="909" spans="1:11" s="6" customFormat="1" x14ac:dyDescent="0.3">
      <c r="A909" s="21"/>
      <c r="B909" s="22"/>
      <c r="C909" s="22"/>
      <c r="D909" s="22"/>
      <c r="E909" s="23"/>
      <c r="F909" s="23"/>
      <c r="G909" s="22"/>
      <c r="H909" s="24"/>
      <c r="I909" s="22"/>
      <c r="J909" s="25"/>
      <c r="K909" s="25"/>
    </row>
    <row r="910" spans="1:11" s="6" customFormat="1" x14ac:dyDescent="0.3">
      <c r="A910" s="21"/>
      <c r="B910" s="22"/>
      <c r="C910" s="22"/>
      <c r="D910" s="22"/>
      <c r="E910" s="23"/>
      <c r="F910" s="23"/>
      <c r="G910" s="22"/>
      <c r="H910" s="24"/>
      <c r="I910" s="22"/>
      <c r="J910" s="25"/>
      <c r="K910" s="25"/>
    </row>
    <row r="911" spans="1:11" s="6" customFormat="1" x14ac:dyDescent="0.3">
      <c r="A911" s="21"/>
      <c r="B911" s="22"/>
      <c r="C911" s="22"/>
      <c r="D911" s="22"/>
      <c r="E911" s="23"/>
      <c r="F911" s="23"/>
      <c r="G911" s="22"/>
      <c r="H911" s="24"/>
      <c r="I911" s="22"/>
      <c r="J911" s="25"/>
      <c r="K911" s="25"/>
    </row>
    <row r="912" spans="1:11" s="6" customFormat="1" x14ac:dyDescent="0.3">
      <c r="A912" s="21"/>
      <c r="B912" s="22"/>
      <c r="C912" s="22"/>
      <c r="D912" s="22"/>
      <c r="E912" s="23"/>
      <c r="F912" s="23"/>
      <c r="G912" s="22"/>
      <c r="H912" s="24"/>
      <c r="I912" s="22"/>
      <c r="J912" s="25"/>
      <c r="K912" s="25"/>
    </row>
    <row r="913" spans="1:11" s="6" customFormat="1" x14ac:dyDescent="0.3">
      <c r="A913" s="21"/>
      <c r="B913" s="22"/>
      <c r="C913" s="22"/>
      <c r="D913" s="22"/>
      <c r="E913" s="23"/>
      <c r="F913" s="23"/>
      <c r="G913" s="22"/>
      <c r="H913" s="24"/>
      <c r="I913" s="22"/>
      <c r="J913" s="25"/>
      <c r="K913" s="25"/>
    </row>
    <row r="914" spans="1:11" s="6" customFormat="1" x14ac:dyDescent="0.3">
      <c r="A914" s="21"/>
      <c r="B914" s="22"/>
      <c r="C914" s="22"/>
      <c r="D914" s="22"/>
      <c r="E914" s="23"/>
      <c r="F914" s="23"/>
      <c r="G914" s="22"/>
      <c r="H914" s="24"/>
      <c r="I914" s="22"/>
      <c r="J914" s="25"/>
      <c r="K914" s="25"/>
    </row>
    <row r="915" spans="1:11" s="6" customFormat="1" x14ac:dyDescent="0.3">
      <c r="A915" s="21"/>
      <c r="B915" s="22"/>
      <c r="C915" s="22"/>
      <c r="D915" s="22"/>
      <c r="E915" s="23"/>
      <c r="F915" s="23"/>
      <c r="G915" s="22"/>
      <c r="H915" s="24"/>
      <c r="I915" s="22"/>
      <c r="J915" s="25"/>
      <c r="K915" s="25"/>
    </row>
    <row r="916" spans="1:11" s="6" customFormat="1" x14ac:dyDescent="0.3">
      <c r="A916" s="21"/>
      <c r="B916" s="22"/>
      <c r="C916" s="22"/>
      <c r="D916" s="22"/>
      <c r="E916" s="23"/>
      <c r="F916" s="23"/>
      <c r="G916" s="22"/>
      <c r="H916" s="24"/>
      <c r="I916" s="22"/>
      <c r="J916" s="25"/>
      <c r="K916" s="25"/>
    </row>
    <row r="917" spans="1:11" s="6" customFormat="1" x14ac:dyDescent="0.3">
      <c r="A917" s="21"/>
      <c r="B917" s="22"/>
      <c r="C917" s="22"/>
      <c r="D917" s="22"/>
      <c r="E917" s="23"/>
      <c r="F917" s="23"/>
      <c r="G917" s="22"/>
      <c r="H917" s="24"/>
      <c r="I917" s="22"/>
      <c r="J917" s="25"/>
      <c r="K917" s="25"/>
    </row>
    <row r="918" spans="1:11" s="6" customFormat="1" x14ac:dyDescent="0.3">
      <c r="A918" s="21"/>
      <c r="B918" s="22"/>
      <c r="C918" s="22"/>
      <c r="D918" s="22"/>
      <c r="E918" s="23"/>
      <c r="F918" s="23"/>
      <c r="G918" s="22"/>
      <c r="H918" s="24"/>
      <c r="I918" s="22"/>
      <c r="J918" s="25"/>
      <c r="K918" s="25"/>
    </row>
    <row r="919" spans="1:11" s="6" customFormat="1" x14ac:dyDescent="0.3">
      <c r="A919" s="21"/>
      <c r="B919" s="22"/>
      <c r="C919" s="22"/>
      <c r="D919" s="22"/>
      <c r="E919" s="23"/>
      <c r="F919" s="23"/>
      <c r="G919" s="22"/>
      <c r="H919" s="24"/>
      <c r="I919" s="22"/>
      <c r="J919" s="25"/>
      <c r="K919" s="25"/>
    </row>
    <row r="920" spans="1:11" s="6" customFormat="1" x14ac:dyDescent="0.3">
      <c r="A920" s="21"/>
      <c r="B920" s="22"/>
      <c r="C920" s="22"/>
      <c r="D920" s="22"/>
      <c r="E920" s="23"/>
      <c r="F920" s="23"/>
      <c r="G920" s="22"/>
      <c r="H920" s="24"/>
      <c r="I920" s="22"/>
      <c r="J920" s="25"/>
      <c r="K920" s="25"/>
    </row>
    <row r="921" spans="1:11" s="6" customFormat="1" x14ac:dyDescent="0.3">
      <c r="A921" s="21"/>
      <c r="B921" s="22"/>
      <c r="C921" s="22"/>
      <c r="D921" s="22"/>
      <c r="E921" s="23"/>
      <c r="F921" s="23"/>
      <c r="G921" s="22"/>
      <c r="H921" s="24"/>
      <c r="I921" s="22"/>
      <c r="J921" s="25"/>
      <c r="K921" s="25"/>
    </row>
    <row r="922" spans="1:11" s="6" customFormat="1" x14ac:dyDescent="0.3">
      <c r="A922" s="21"/>
      <c r="B922" s="22"/>
      <c r="C922" s="22"/>
      <c r="D922" s="22"/>
      <c r="E922" s="23"/>
      <c r="F922" s="23"/>
      <c r="G922" s="22"/>
      <c r="H922" s="24"/>
      <c r="I922" s="22"/>
      <c r="J922" s="25"/>
      <c r="K922" s="25"/>
    </row>
    <row r="923" spans="1:11" s="6" customFormat="1" x14ac:dyDescent="0.3">
      <c r="A923" s="21"/>
      <c r="B923" s="22"/>
      <c r="C923" s="22"/>
      <c r="D923" s="22"/>
      <c r="E923" s="23"/>
      <c r="F923" s="23"/>
      <c r="G923" s="22"/>
      <c r="H923" s="24"/>
      <c r="I923" s="22"/>
      <c r="J923" s="25"/>
      <c r="K923" s="25"/>
    </row>
    <row r="924" spans="1:11" s="6" customFormat="1" x14ac:dyDescent="0.3">
      <c r="A924" s="21"/>
      <c r="B924" s="22"/>
      <c r="C924" s="22"/>
      <c r="D924" s="22"/>
      <c r="E924" s="23"/>
      <c r="F924" s="23"/>
      <c r="G924" s="22"/>
      <c r="H924" s="24"/>
      <c r="I924" s="22"/>
      <c r="J924" s="25"/>
      <c r="K924" s="25"/>
    </row>
    <row r="925" spans="1:11" s="6" customFormat="1" x14ac:dyDescent="0.3">
      <c r="A925" s="21"/>
      <c r="B925" s="22"/>
      <c r="C925" s="22"/>
      <c r="D925" s="22"/>
      <c r="E925" s="23"/>
      <c r="F925" s="23"/>
      <c r="G925" s="22"/>
      <c r="H925" s="24"/>
      <c r="I925" s="22"/>
      <c r="J925" s="25"/>
      <c r="K925" s="25"/>
    </row>
    <row r="926" spans="1:11" s="6" customFormat="1" x14ac:dyDescent="0.3">
      <c r="A926" s="21"/>
      <c r="B926" s="22"/>
      <c r="C926" s="22"/>
      <c r="D926" s="22"/>
      <c r="E926" s="23"/>
      <c r="F926" s="23"/>
      <c r="G926" s="22"/>
      <c r="H926" s="24"/>
      <c r="I926" s="22"/>
      <c r="J926" s="25"/>
      <c r="K926" s="25"/>
    </row>
    <row r="927" spans="1:11" s="6" customFormat="1" x14ac:dyDescent="0.3">
      <c r="A927" s="21"/>
      <c r="B927" s="22"/>
      <c r="C927" s="22"/>
      <c r="D927" s="22"/>
      <c r="E927" s="23"/>
      <c r="F927" s="23"/>
      <c r="G927" s="22"/>
      <c r="H927" s="24"/>
      <c r="I927" s="22"/>
      <c r="J927" s="25"/>
      <c r="K927" s="25"/>
    </row>
    <row r="928" spans="1:11" s="6" customFormat="1" x14ac:dyDescent="0.3">
      <c r="A928" s="21"/>
      <c r="B928" s="22"/>
      <c r="C928" s="22"/>
      <c r="D928" s="22"/>
      <c r="E928" s="23"/>
      <c r="F928" s="23"/>
      <c r="G928" s="22"/>
      <c r="H928" s="24"/>
      <c r="I928" s="22"/>
      <c r="J928" s="25"/>
      <c r="K928" s="25"/>
    </row>
    <row r="929" spans="1:11" s="6" customFormat="1" x14ac:dyDescent="0.3">
      <c r="A929" s="21"/>
      <c r="B929" s="22"/>
      <c r="C929" s="22"/>
      <c r="D929" s="22"/>
      <c r="E929" s="23"/>
      <c r="F929" s="23"/>
      <c r="G929" s="22"/>
      <c r="H929" s="24"/>
      <c r="I929" s="22"/>
      <c r="J929" s="25"/>
      <c r="K929" s="25"/>
    </row>
    <row r="930" spans="1:11" s="6" customFormat="1" x14ac:dyDescent="0.3">
      <c r="A930" s="21"/>
      <c r="B930" s="22"/>
      <c r="C930" s="22"/>
      <c r="D930" s="22"/>
      <c r="E930" s="23"/>
      <c r="F930" s="23"/>
      <c r="G930" s="22"/>
      <c r="H930" s="24"/>
      <c r="I930" s="22"/>
      <c r="J930" s="25"/>
      <c r="K930" s="25"/>
    </row>
    <row r="931" spans="1:11" s="6" customFormat="1" x14ac:dyDescent="0.3">
      <c r="A931" s="21"/>
      <c r="B931" s="22"/>
      <c r="C931" s="22"/>
      <c r="D931" s="22"/>
      <c r="E931" s="23"/>
      <c r="F931" s="23"/>
      <c r="G931" s="22"/>
      <c r="H931" s="24"/>
      <c r="I931" s="22"/>
      <c r="J931" s="25"/>
      <c r="K931" s="25"/>
    </row>
    <row r="932" spans="1:11" s="6" customFormat="1" x14ac:dyDescent="0.3">
      <c r="A932" s="21"/>
      <c r="B932" s="22"/>
      <c r="C932" s="22"/>
      <c r="D932" s="22"/>
      <c r="E932" s="23"/>
      <c r="F932" s="23"/>
      <c r="G932" s="22"/>
      <c r="H932" s="24"/>
      <c r="I932" s="22"/>
      <c r="J932" s="25"/>
      <c r="K932" s="25"/>
    </row>
    <row r="933" spans="1:11" s="6" customFormat="1" x14ac:dyDescent="0.3">
      <c r="A933" s="21"/>
      <c r="B933" s="22"/>
      <c r="C933" s="22"/>
      <c r="D933" s="22"/>
      <c r="E933" s="23"/>
      <c r="F933" s="23"/>
      <c r="G933" s="22"/>
      <c r="H933" s="24"/>
      <c r="I933" s="22"/>
      <c r="J933" s="25"/>
      <c r="K933" s="25"/>
    </row>
    <row r="934" spans="1:11" s="6" customFormat="1" x14ac:dyDescent="0.3">
      <c r="A934" s="21"/>
      <c r="B934" s="22"/>
      <c r="C934" s="22"/>
      <c r="D934" s="22"/>
      <c r="E934" s="23"/>
      <c r="F934" s="23"/>
      <c r="G934" s="22"/>
      <c r="H934" s="24"/>
      <c r="I934" s="22"/>
      <c r="J934" s="25"/>
      <c r="K934" s="25"/>
    </row>
    <row r="935" spans="1:11" s="6" customFormat="1" x14ac:dyDescent="0.3">
      <c r="A935" s="21"/>
      <c r="B935" s="22"/>
      <c r="C935" s="22"/>
      <c r="D935" s="22"/>
      <c r="E935" s="23"/>
      <c r="F935" s="23"/>
      <c r="G935" s="22"/>
      <c r="H935" s="24"/>
      <c r="I935" s="22"/>
      <c r="J935" s="25"/>
      <c r="K935" s="25"/>
    </row>
    <row r="936" spans="1:11" s="6" customFormat="1" x14ac:dyDescent="0.3">
      <c r="A936" s="21"/>
      <c r="B936" s="22"/>
      <c r="C936" s="22"/>
      <c r="D936" s="22"/>
      <c r="E936" s="23"/>
      <c r="F936" s="23"/>
      <c r="G936" s="22"/>
      <c r="H936" s="24"/>
      <c r="I936" s="22"/>
      <c r="J936" s="25"/>
      <c r="K936" s="25"/>
    </row>
    <row r="937" spans="1:11" s="6" customFormat="1" x14ac:dyDescent="0.3">
      <c r="A937" s="21"/>
      <c r="B937" s="22"/>
      <c r="C937" s="22"/>
      <c r="D937" s="22"/>
      <c r="E937" s="23"/>
      <c r="F937" s="23"/>
      <c r="G937" s="22"/>
      <c r="H937" s="24"/>
      <c r="I937" s="22"/>
      <c r="J937" s="25"/>
      <c r="K937" s="25"/>
    </row>
    <row r="938" spans="1:11" s="6" customFormat="1" x14ac:dyDescent="0.3">
      <c r="A938" s="21"/>
      <c r="B938" s="22"/>
      <c r="C938" s="22"/>
      <c r="D938" s="22"/>
      <c r="E938" s="23"/>
      <c r="F938" s="23"/>
      <c r="G938" s="22"/>
      <c r="H938" s="24"/>
      <c r="I938" s="22"/>
      <c r="J938" s="25"/>
      <c r="K938" s="25"/>
    </row>
    <row r="939" spans="1:11" s="6" customFormat="1" x14ac:dyDescent="0.3">
      <c r="A939" s="21"/>
      <c r="B939" s="22"/>
      <c r="C939" s="22"/>
      <c r="D939" s="22"/>
      <c r="E939" s="23"/>
      <c r="F939" s="23"/>
      <c r="G939" s="22"/>
      <c r="H939" s="24"/>
      <c r="I939" s="22"/>
      <c r="J939" s="25"/>
      <c r="K939" s="25"/>
    </row>
    <row r="940" spans="1:11" s="6" customFormat="1" x14ac:dyDescent="0.3">
      <c r="A940" s="21"/>
      <c r="B940" s="22"/>
      <c r="C940" s="22"/>
      <c r="D940" s="22"/>
      <c r="E940" s="23"/>
      <c r="F940" s="23"/>
      <c r="G940" s="22"/>
      <c r="H940" s="24"/>
      <c r="I940" s="22"/>
      <c r="J940" s="25"/>
      <c r="K940" s="25"/>
    </row>
    <row r="941" spans="1:11" s="6" customFormat="1" x14ac:dyDescent="0.3">
      <c r="A941" s="21"/>
      <c r="B941" s="22"/>
      <c r="C941" s="22"/>
      <c r="D941" s="22"/>
      <c r="E941" s="23"/>
      <c r="F941" s="23"/>
      <c r="G941" s="22"/>
      <c r="H941" s="24"/>
      <c r="I941" s="22"/>
      <c r="J941" s="25"/>
      <c r="K941" s="25"/>
    </row>
    <row r="942" spans="1:11" s="6" customFormat="1" x14ac:dyDescent="0.3">
      <c r="A942" s="21"/>
      <c r="B942" s="22"/>
      <c r="C942" s="22"/>
      <c r="D942" s="22"/>
      <c r="E942" s="23"/>
      <c r="F942" s="23"/>
      <c r="G942" s="22"/>
      <c r="H942" s="24"/>
      <c r="I942" s="22"/>
      <c r="J942" s="25"/>
      <c r="K942" s="25"/>
    </row>
    <row r="943" spans="1:11" s="6" customFormat="1" x14ac:dyDescent="0.3">
      <c r="A943" s="21"/>
      <c r="B943" s="22"/>
      <c r="C943" s="22"/>
      <c r="D943" s="22"/>
      <c r="E943" s="23"/>
      <c r="F943" s="23"/>
      <c r="G943" s="22"/>
      <c r="H943" s="24"/>
      <c r="I943" s="22"/>
      <c r="J943" s="25"/>
      <c r="K943" s="25"/>
    </row>
    <row r="944" spans="1:11" s="6" customFormat="1" x14ac:dyDescent="0.3">
      <c r="A944" s="21"/>
      <c r="B944" s="22"/>
      <c r="C944" s="22"/>
      <c r="D944" s="22"/>
      <c r="E944" s="23"/>
      <c r="F944" s="23"/>
      <c r="G944" s="22"/>
      <c r="H944" s="24"/>
      <c r="I944" s="22"/>
      <c r="J944" s="25"/>
      <c r="K944" s="25"/>
    </row>
    <row r="945" spans="1:11" s="6" customFormat="1" x14ac:dyDescent="0.3">
      <c r="A945" s="21"/>
      <c r="B945" s="22"/>
      <c r="C945" s="22"/>
      <c r="D945" s="22"/>
      <c r="E945" s="23"/>
      <c r="F945" s="23"/>
      <c r="G945" s="22"/>
      <c r="H945" s="24"/>
      <c r="I945" s="22"/>
      <c r="J945" s="25"/>
      <c r="K945" s="25"/>
    </row>
    <row r="946" spans="1:11" s="6" customFormat="1" x14ac:dyDescent="0.3">
      <c r="A946" s="21"/>
      <c r="B946" s="22"/>
      <c r="C946" s="22"/>
      <c r="D946" s="22"/>
      <c r="E946" s="23"/>
      <c r="F946" s="23"/>
      <c r="G946" s="22"/>
      <c r="H946" s="24"/>
      <c r="I946" s="22"/>
      <c r="J946" s="25"/>
      <c r="K946" s="25"/>
    </row>
    <row r="947" spans="1:11" s="6" customFormat="1" x14ac:dyDescent="0.3">
      <c r="A947" s="21"/>
      <c r="B947" s="22"/>
      <c r="C947" s="22"/>
      <c r="D947" s="22"/>
      <c r="E947" s="23"/>
      <c r="F947" s="23"/>
      <c r="G947" s="22"/>
      <c r="H947" s="24"/>
      <c r="I947" s="22"/>
      <c r="J947" s="25"/>
      <c r="K947" s="25"/>
    </row>
    <row r="948" spans="1:11" s="6" customFormat="1" x14ac:dyDescent="0.3">
      <c r="A948" s="21"/>
      <c r="B948" s="22"/>
      <c r="C948" s="22"/>
      <c r="D948" s="22"/>
      <c r="E948" s="23"/>
      <c r="F948" s="23"/>
      <c r="G948" s="22"/>
      <c r="H948" s="24"/>
      <c r="I948" s="22"/>
      <c r="J948" s="25"/>
      <c r="K948" s="25"/>
    </row>
    <row r="949" spans="1:11" s="6" customFormat="1" x14ac:dyDescent="0.3">
      <c r="A949" s="21"/>
      <c r="B949" s="22"/>
      <c r="C949" s="22"/>
      <c r="D949" s="22"/>
      <c r="E949" s="23"/>
      <c r="F949" s="23"/>
      <c r="G949" s="22"/>
      <c r="H949" s="24"/>
      <c r="I949" s="22"/>
      <c r="J949" s="25"/>
      <c r="K949" s="25"/>
    </row>
    <row r="950" spans="1:11" s="6" customFormat="1" x14ac:dyDescent="0.3">
      <c r="A950" s="21"/>
      <c r="B950" s="22"/>
      <c r="C950" s="22"/>
      <c r="D950" s="22"/>
      <c r="E950" s="23"/>
      <c r="F950" s="23"/>
      <c r="G950" s="22"/>
      <c r="H950" s="24"/>
      <c r="I950" s="22"/>
      <c r="J950" s="25"/>
      <c r="K950" s="25"/>
    </row>
    <row r="951" spans="1:11" s="6" customFormat="1" x14ac:dyDescent="0.3">
      <c r="A951" s="21"/>
      <c r="B951" s="22"/>
      <c r="C951" s="22"/>
      <c r="D951" s="22"/>
      <c r="E951" s="23"/>
      <c r="F951" s="23"/>
      <c r="G951" s="22"/>
      <c r="H951" s="24"/>
      <c r="I951" s="22"/>
      <c r="J951" s="25"/>
      <c r="K951" s="25"/>
    </row>
    <row r="952" spans="1:11" s="6" customFormat="1" x14ac:dyDescent="0.3">
      <c r="A952" s="21"/>
      <c r="B952" s="22"/>
      <c r="C952" s="22"/>
      <c r="D952" s="22"/>
      <c r="E952" s="23"/>
      <c r="F952" s="23"/>
      <c r="G952" s="22"/>
      <c r="H952" s="24"/>
      <c r="I952" s="22"/>
      <c r="J952" s="25"/>
      <c r="K952" s="25"/>
    </row>
    <row r="953" spans="1:11" s="6" customFormat="1" x14ac:dyDescent="0.3">
      <c r="A953" s="21"/>
      <c r="B953" s="22"/>
      <c r="C953" s="22"/>
      <c r="D953" s="22"/>
      <c r="E953" s="23"/>
      <c r="F953" s="23"/>
      <c r="G953" s="22"/>
      <c r="H953" s="24"/>
      <c r="I953" s="22"/>
      <c r="J953" s="25"/>
      <c r="K953" s="25"/>
    </row>
    <row r="954" spans="1:11" s="6" customFormat="1" x14ac:dyDescent="0.3">
      <c r="A954" s="21"/>
      <c r="B954" s="22"/>
      <c r="C954" s="22"/>
      <c r="D954" s="22"/>
      <c r="E954" s="23"/>
      <c r="F954" s="23"/>
      <c r="G954" s="22"/>
      <c r="H954" s="24"/>
      <c r="I954" s="22"/>
      <c r="J954" s="25"/>
      <c r="K954" s="25"/>
    </row>
    <row r="955" spans="1:11" s="6" customFormat="1" x14ac:dyDescent="0.3">
      <c r="A955" s="21"/>
      <c r="B955" s="22"/>
      <c r="C955" s="22"/>
      <c r="D955" s="22"/>
      <c r="E955" s="23"/>
      <c r="F955" s="23"/>
      <c r="G955" s="22"/>
      <c r="H955" s="24"/>
      <c r="I955" s="22"/>
      <c r="J955" s="25"/>
      <c r="K955" s="25"/>
    </row>
    <row r="956" spans="1:11" s="6" customFormat="1" x14ac:dyDescent="0.3">
      <c r="A956" s="21"/>
      <c r="B956" s="22"/>
      <c r="C956" s="22"/>
      <c r="D956" s="22"/>
      <c r="E956" s="23"/>
      <c r="F956" s="23"/>
      <c r="G956" s="22"/>
      <c r="H956" s="24"/>
      <c r="I956" s="22"/>
      <c r="J956" s="25"/>
      <c r="K956" s="25"/>
    </row>
    <row r="957" spans="1:11" s="6" customFormat="1" x14ac:dyDescent="0.3">
      <c r="A957" s="21"/>
      <c r="B957" s="22"/>
      <c r="C957" s="22"/>
      <c r="D957" s="22"/>
      <c r="E957" s="23"/>
      <c r="F957" s="23"/>
      <c r="G957" s="22"/>
      <c r="H957" s="24"/>
      <c r="I957" s="22"/>
      <c r="J957" s="25"/>
      <c r="K957" s="25"/>
    </row>
    <row r="958" spans="1:11" s="6" customFormat="1" x14ac:dyDescent="0.3">
      <c r="A958" s="21"/>
      <c r="B958" s="22"/>
      <c r="C958" s="22"/>
      <c r="D958" s="22"/>
      <c r="E958" s="23"/>
      <c r="F958" s="23"/>
      <c r="G958" s="22"/>
      <c r="H958" s="24"/>
      <c r="I958" s="22"/>
      <c r="J958" s="25"/>
      <c r="K958" s="25"/>
    </row>
    <row r="959" spans="1:11" s="6" customFormat="1" x14ac:dyDescent="0.3">
      <c r="A959" s="21"/>
      <c r="B959" s="22"/>
      <c r="C959" s="22"/>
      <c r="D959" s="22"/>
      <c r="E959" s="23"/>
      <c r="F959" s="23"/>
      <c r="G959" s="22"/>
      <c r="H959" s="24"/>
      <c r="I959" s="22"/>
      <c r="J959" s="25"/>
      <c r="K959" s="25"/>
    </row>
    <row r="960" spans="1:11" s="6" customFormat="1" x14ac:dyDescent="0.3">
      <c r="A960" s="21"/>
      <c r="B960" s="22"/>
      <c r="C960" s="22"/>
      <c r="D960" s="22"/>
      <c r="E960" s="23"/>
      <c r="F960" s="23"/>
      <c r="G960" s="22"/>
      <c r="H960" s="24"/>
      <c r="I960" s="22"/>
      <c r="J960" s="25"/>
      <c r="K960" s="25"/>
    </row>
    <row r="961" spans="1:11" s="6" customFormat="1" x14ac:dyDescent="0.3">
      <c r="A961" s="21"/>
      <c r="B961" s="22"/>
      <c r="C961" s="22"/>
      <c r="D961" s="22"/>
      <c r="E961" s="23"/>
      <c r="F961" s="23"/>
      <c r="G961" s="22"/>
      <c r="H961" s="24"/>
      <c r="I961" s="22"/>
      <c r="J961" s="25"/>
      <c r="K961" s="25"/>
    </row>
    <row r="962" spans="1:11" s="6" customFormat="1" x14ac:dyDescent="0.3">
      <c r="A962" s="21"/>
      <c r="B962" s="22"/>
      <c r="C962" s="22"/>
      <c r="D962" s="22"/>
      <c r="E962" s="23"/>
      <c r="F962" s="23"/>
      <c r="G962" s="22"/>
      <c r="H962" s="24"/>
      <c r="I962" s="22"/>
      <c r="J962" s="25"/>
      <c r="K962" s="25"/>
    </row>
    <row r="963" spans="1:11" s="6" customFormat="1" x14ac:dyDescent="0.3">
      <c r="A963" s="21"/>
      <c r="B963" s="22"/>
      <c r="C963" s="22"/>
      <c r="D963" s="22"/>
      <c r="E963" s="23"/>
      <c r="F963" s="23"/>
      <c r="G963" s="22"/>
      <c r="H963" s="24"/>
      <c r="I963" s="22"/>
      <c r="J963" s="25"/>
      <c r="K963" s="25"/>
    </row>
    <row r="964" spans="1:11" s="6" customFormat="1" x14ac:dyDescent="0.3">
      <c r="A964" s="21"/>
      <c r="B964" s="22"/>
      <c r="C964" s="22"/>
      <c r="D964" s="22"/>
      <c r="E964" s="23"/>
      <c r="F964" s="23"/>
      <c r="G964" s="22"/>
      <c r="H964" s="24"/>
      <c r="I964" s="22"/>
      <c r="J964" s="25"/>
      <c r="K964" s="25"/>
    </row>
    <row r="965" spans="1:11" s="6" customFormat="1" x14ac:dyDescent="0.3">
      <c r="A965" s="21"/>
      <c r="B965" s="22"/>
      <c r="C965" s="22"/>
      <c r="D965" s="22"/>
      <c r="E965" s="23"/>
      <c r="F965" s="23"/>
      <c r="G965" s="22"/>
      <c r="H965" s="24"/>
      <c r="I965" s="22"/>
      <c r="J965" s="25"/>
      <c r="K965" s="25"/>
    </row>
    <row r="966" spans="1:11" s="6" customFormat="1" x14ac:dyDescent="0.3">
      <c r="A966" s="21"/>
      <c r="B966" s="22"/>
      <c r="C966" s="22"/>
      <c r="D966" s="22"/>
      <c r="E966" s="23"/>
      <c r="F966" s="23"/>
      <c r="G966" s="22"/>
      <c r="H966" s="24"/>
      <c r="I966" s="22"/>
      <c r="J966" s="25"/>
      <c r="K966" s="25"/>
    </row>
    <row r="967" spans="1:11" s="6" customFormat="1" x14ac:dyDescent="0.3">
      <c r="A967" s="21"/>
      <c r="B967" s="22"/>
      <c r="C967" s="22"/>
      <c r="D967" s="22"/>
      <c r="E967" s="23"/>
      <c r="F967" s="23"/>
      <c r="G967" s="22"/>
      <c r="H967" s="24"/>
      <c r="I967" s="22"/>
      <c r="J967" s="25"/>
      <c r="K967" s="25"/>
    </row>
    <row r="968" spans="1:11" s="6" customFormat="1" x14ac:dyDescent="0.3">
      <c r="A968" s="21"/>
      <c r="B968" s="22"/>
      <c r="C968" s="22"/>
      <c r="D968" s="22"/>
      <c r="E968" s="23"/>
      <c r="F968" s="23"/>
      <c r="G968" s="22"/>
      <c r="H968" s="24"/>
      <c r="I968" s="22"/>
      <c r="J968" s="25"/>
      <c r="K968" s="25"/>
    </row>
    <row r="969" spans="1:11" s="6" customFormat="1" x14ac:dyDescent="0.3">
      <c r="A969" s="21"/>
      <c r="B969" s="22"/>
      <c r="C969" s="22"/>
      <c r="D969" s="22"/>
      <c r="E969" s="23"/>
      <c r="F969" s="23"/>
      <c r="G969" s="22"/>
      <c r="H969" s="24"/>
      <c r="I969" s="22"/>
      <c r="J969" s="25"/>
      <c r="K969" s="25"/>
    </row>
    <row r="970" spans="1:11" s="6" customFormat="1" x14ac:dyDescent="0.3">
      <c r="A970" s="21"/>
      <c r="B970" s="22"/>
      <c r="C970" s="22"/>
      <c r="D970" s="22"/>
      <c r="E970" s="23"/>
      <c r="F970" s="23"/>
      <c r="G970" s="22"/>
      <c r="H970" s="24"/>
      <c r="I970" s="22"/>
      <c r="J970" s="25"/>
      <c r="K970" s="25"/>
    </row>
    <row r="971" spans="1:11" s="6" customFormat="1" x14ac:dyDescent="0.3">
      <c r="A971" s="21"/>
      <c r="B971" s="22"/>
      <c r="C971" s="22"/>
      <c r="D971" s="22"/>
      <c r="E971" s="23"/>
      <c r="F971" s="23"/>
      <c r="G971" s="22"/>
      <c r="H971" s="24"/>
      <c r="I971" s="22"/>
      <c r="J971" s="25"/>
      <c r="K971" s="25"/>
    </row>
    <row r="972" spans="1:11" s="6" customFormat="1" x14ac:dyDescent="0.3">
      <c r="A972" s="21"/>
      <c r="B972" s="22"/>
      <c r="C972" s="22"/>
      <c r="D972" s="22"/>
      <c r="E972" s="23"/>
      <c r="F972" s="23"/>
      <c r="G972" s="22"/>
      <c r="H972" s="24"/>
      <c r="I972" s="22"/>
      <c r="J972" s="25"/>
      <c r="K972" s="25"/>
    </row>
    <row r="973" spans="1:11" s="6" customFormat="1" x14ac:dyDescent="0.3">
      <c r="A973" s="21"/>
      <c r="B973" s="22"/>
      <c r="C973" s="22"/>
      <c r="D973" s="22"/>
      <c r="E973" s="23"/>
      <c r="F973" s="23"/>
      <c r="G973" s="22"/>
      <c r="H973" s="24"/>
      <c r="I973" s="22"/>
      <c r="J973" s="25"/>
      <c r="K973" s="25"/>
    </row>
    <row r="974" spans="1:11" s="6" customFormat="1" x14ac:dyDescent="0.3">
      <c r="A974" s="21"/>
      <c r="B974" s="22"/>
      <c r="C974" s="22"/>
      <c r="D974" s="22"/>
      <c r="E974" s="23"/>
      <c r="F974" s="23"/>
      <c r="G974" s="22"/>
      <c r="H974" s="24"/>
      <c r="I974" s="22"/>
      <c r="J974" s="25"/>
      <c r="K974" s="25"/>
    </row>
    <row r="975" spans="1:11" s="6" customFormat="1" x14ac:dyDescent="0.3">
      <c r="A975" s="21"/>
      <c r="B975" s="22"/>
      <c r="C975" s="22"/>
      <c r="D975" s="22"/>
      <c r="E975" s="23"/>
      <c r="F975" s="23"/>
      <c r="G975" s="22"/>
      <c r="H975" s="24"/>
      <c r="I975" s="22"/>
      <c r="J975" s="25"/>
      <c r="K975" s="25"/>
    </row>
    <row r="976" spans="1:11" s="6" customFormat="1" x14ac:dyDescent="0.3">
      <c r="A976" s="21"/>
      <c r="B976" s="22"/>
      <c r="C976" s="22"/>
      <c r="D976" s="22"/>
      <c r="E976" s="23"/>
      <c r="F976" s="23"/>
      <c r="G976" s="22"/>
      <c r="H976" s="24"/>
      <c r="I976" s="22"/>
      <c r="J976" s="25"/>
      <c r="K976" s="25"/>
    </row>
    <row r="977" spans="1:11" s="6" customFormat="1" x14ac:dyDescent="0.3">
      <c r="A977" s="21"/>
      <c r="B977" s="22"/>
      <c r="C977" s="22"/>
      <c r="D977" s="22"/>
      <c r="E977" s="23"/>
      <c r="F977" s="23"/>
      <c r="G977" s="22"/>
      <c r="H977" s="24"/>
      <c r="I977" s="22"/>
      <c r="J977" s="25"/>
      <c r="K977" s="25"/>
    </row>
    <row r="978" spans="1:11" s="6" customFormat="1" x14ac:dyDescent="0.3">
      <c r="A978" s="21"/>
      <c r="B978" s="22"/>
      <c r="C978" s="22"/>
      <c r="D978" s="22"/>
      <c r="E978" s="23"/>
      <c r="F978" s="23"/>
      <c r="G978" s="22"/>
      <c r="H978" s="24"/>
      <c r="I978" s="22"/>
      <c r="J978" s="25"/>
      <c r="K978" s="25"/>
    </row>
    <row r="979" spans="1:11" s="6" customFormat="1" x14ac:dyDescent="0.3">
      <c r="A979" s="21"/>
      <c r="B979" s="22"/>
      <c r="C979" s="22"/>
      <c r="D979" s="22"/>
      <c r="E979" s="23"/>
      <c r="F979" s="23"/>
      <c r="G979" s="22"/>
      <c r="H979" s="24"/>
      <c r="I979" s="22"/>
      <c r="J979" s="25"/>
      <c r="K979" s="25"/>
    </row>
    <row r="980" spans="1:11" s="6" customFormat="1" x14ac:dyDescent="0.3">
      <c r="A980" s="21"/>
      <c r="B980" s="22"/>
      <c r="C980" s="22"/>
      <c r="D980" s="22"/>
      <c r="E980" s="23"/>
      <c r="F980" s="23"/>
      <c r="G980" s="22"/>
      <c r="H980" s="24"/>
      <c r="I980" s="22"/>
      <c r="J980" s="25"/>
      <c r="K980" s="25"/>
    </row>
    <row r="981" spans="1:11" s="6" customFormat="1" x14ac:dyDescent="0.3">
      <c r="A981" s="21"/>
      <c r="B981" s="22"/>
      <c r="C981" s="22"/>
      <c r="D981" s="22"/>
      <c r="E981" s="23"/>
      <c r="F981" s="23"/>
      <c r="G981" s="22"/>
      <c r="H981" s="24"/>
      <c r="I981" s="22"/>
      <c r="J981" s="25"/>
      <c r="K981" s="25"/>
    </row>
    <row r="982" spans="1:11" s="6" customFormat="1" x14ac:dyDescent="0.3">
      <c r="A982" s="21"/>
      <c r="B982" s="22"/>
      <c r="C982" s="22"/>
      <c r="D982" s="22"/>
      <c r="E982" s="23"/>
      <c r="F982" s="23"/>
      <c r="G982" s="22"/>
      <c r="H982" s="24"/>
      <c r="I982" s="22"/>
      <c r="J982" s="25"/>
      <c r="K982" s="25"/>
    </row>
    <row r="983" spans="1:11" s="6" customFormat="1" x14ac:dyDescent="0.3">
      <c r="A983" s="21"/>
      <c r="B983" s="22"/>
      <c r="C983" s="22"/>
      <c r="D983" s="22"/>
      <c r="E983" s="23"/>
      <c r="F983" s="23"/>
      <c r="G983" s="22"/>
      <c r="H983" s="24"/>
      <c r="I983" s="22"/>
      <c r="J983" s="25"/>
      <c r="K983" s="25"/>
    </row>
    <row r="984" spans="1:11" s="6" customFormat="1" x14ac:dyDescent="0.3">
      <c r="A984" s="21"/>
      <c r="B984" s="22"/>
      <c r="C984" s="22"/>
      <c r="D984" s="22"/>
      <c r="E984" s="23"/>
      <c r="F984" s="23"/>
      <c r="G984" s="22"/>
      <c r="H984" s="24"/>
      <c r="I984" s="22"/>
      <c r="J984" s="25"/>
      <c r="K984" s="25"/>
    </row>
    <row r="985" spans="1:11" s="6" customFormat="1" x14ac:dyDescent="0.3">
      <c r="A985" s="21"/>
      <c r="B985" s="22"/>
      <c r="C985" s="22"/>
      <c r="D985" s="22"/>
      <c r="E985" s="23"/>
      <c r="F985" s="23"/>
      <c r="G985" s="22"/>
      <c r="H985" s="24"/>
      <c r="I985" s="22"/>
      <c r="J985" s="25"/>
      <c r="K985" s="25"/>
    </row>
    <row r="986" spans="1:11" s="6" customFormat="1" x14ac:dyDescent="0.3">
      <c r="A986" s="21"/>
      <c r="B986" s="22"/>
      <c r="C986" s="22"/>
      <c r="D986" s="22"/>
      <c r="E986" s="23"/>
      <c r="F986" s="23"/>
      <c r="G986" s="22"/>
      <c r="H986" s="24"/>
      <c r="I986" s="22"/>
      <c r="J986" s="25"/>
      <c r="K986" s="25"/>
    </row>
    <row r="987" spans="1:11" s="6" customFormat="1" x14ac:dyDescent="0.3">
      <c r="A987" s="21"/>
      <c r="B987" s="22"/>
      <c r="C987" s="22"/>
      <c r="D987" s="22"/>
      <c r="E987" s="23"/>
      <c r="F987" s="23"/>
      <c r="G987" s="22"/>
      <c r="H987" s="24"/>
      <c r="I987" s="22"/>
      <c r="J987" s="25"/>
      <c r="K987" s="25"/>
    </row>
    <row r="988" spans="1:11" s="6" customFormat="1" x14ac:dyDescent="0.3">
      <c r="A988" s="21"/>
      <c r="B988" s="22"/>
      <c r="C988" s="22"/>
      <c r="D988" s="22"/>
      <c r="E988" s="23"/>
      <c r="F988" s="23"/>
      <c r="G988" s="22"/>
      <c r="H988" s="24"/>
      <c r="I988" s="22"/>
      <c r="J988" s="25"/>
      <c r="K988" s="25"/>
    </row>
    <row r="989" spans="1:11" s="6" customFormat="1" x14ac:dyDescent="0.3">
      <c r="A989" s="21"/>
      <c r="B989" s="22"/>
      <c r="C989" s="22"/>
      <c r="D989" s="22"/>
      <c r="E989" s="23"/>
      <c r="F989" s="23"/>
      <c r="G989" s="22"/>
      <c r="H989" s="24"/>
      <c r="I989" s="22"/>
      <c r="J989" s="25"/>
      <c r="K989" s="25"/>
    </row>
    <row r="990" spans="1:11" s="6" customFormat="1" x14ac:dyDescent="0.3">
      <c r="A990" s="21"/>
      <c r="B990" s="22"/>
      <c r="C990" s="22"/>
      <c r="D990" s="22"/>
      <c r="E990" s="23"/>
      <c r="F990" s="23"/>
      <c r="G990" s="22"/>
      <c r="H990" s="24"/>
      <c r="I990" s="22"/>
      <c r="J990" s="25"/>
      <c r="K990" s="25"/>
    </row>
    <row r="991" spans="1:11" s="6" customFormat="1" x14ac:dyDescent="0.3">
      <c r="A991" s="21"/>
      <c r="B991" s="22"/>
      <c r="C991" s="22"/>
      <c r="D991" s="22"/>
      <c r="E991" s="23"/>
      <c r="F991" s="23"/>
      <c r="G991" s="22"/>
      <c r="H991" s="24"/>
      <c r="I991" s="22"/>
      <c r="J991" s="25"/>
      <c r="K991" s="25"/>
    </row>
    <row r="992" spans="1:11" s="6" customFormat="1" x14ac:dyDescent="0.3">
      <c r="A992" s="21"/>
      <c r="B992" s="22"/>
      <c r="C992" s="22"/>
      <c r="D992" s="22"/>
      <c r="E992" s="23"/>
      <c r="F992" s="23"/>
      <c r="G992" s="22"/>
      <c r="H992" s="24"/>
      <c r="I992" s="22"/>
      <c r="J992" s="25"/>
      <c r="K992" s="25"/>
    </row>
    <row r="993" spans="1:11" s="6" customFormat="1" x14ac:dyDescent="0.3">
      <c r="A993" s="21"/>
      <c r="B993" s="22"/>
      <c r="C993" s="22"/>
      <c r="D993" s="22"/>
      <c r="E993" s="23"/>
      <c r="F993" s="23"/>
      <c r="G993" s="22"/>
      <c r="H993" s="24"/>
      <c r="I993" s="22"/>
      <c r="J993" s="25"/>
      <c r="K993" s="25"/>
    </row>
    <row r="994" spans="1:11" s="6" customFormat="1" x14ac:dyDescent="0.3">
      <c r="A994" s="21"/>
      <c r="B994" s="22"/>
      <c r="C994" s="22"/>
      <c r="D994" s="22"/>
      <c r="E994" s="23"/>
      <c r="F994" s="23"/>
      <c r="G994" s="22"/>
      <c r="H994" s="24"/>
      <c r="I994" s="22"/>
      <c r="J994" s="25"/>
      <c r="K994" s="25"/>
    </row>
    <row r="995" spans="1:11" s="6" customFormat="1" x14ac:dyDescent="0.3">
      <c r="A995" s="21"/>
      <c r="B995" s="22"/>
      <c r="C995" s="22"/>
      <c r="D995" s="22"/>
      <c r="E995" s="23"/>
      <c r="F995" s="23"/>
      <c r="G995" s="22"/>
      <c r="H995" s="24"/>
      <c r="I995" s="22"/>
      <c r="J995" s="25"/>
      <c r="K995" s="25"/>
    </row>
    <row r="996" spans="1:11" s="6" customFormat="1" x14ac:dyDescent="0.3">
      <c r="A996" s="21"/>
      <c r="B996" s="22"/>
      <c r="C996" s="22"/>
      <c r="D996" s="22"/>
      <c r="E996" s="23"/>
      <c r="F996" s="23"/>
      <c r="G996" s="22"/>
      <c r="H996" s="24"/>
      <c r="I996" s="22"/>
      <c r="J996" s="25"/>
      <c r="K996" s="25"/>
    </row>
    <row r="997" spans="1:11" s="6" customFormat="1" x14ac:dyDescent="0.3">
      <c r="A997" s="21"/>
      <c r="B997" s="22"/>
      <c r="C997" s="22"/>
      <c r="D997" s="22"/>
      <c r="E997" s="23"/>
      <c r="F997" s="23"/>
      <c r="G997" s="22"/>
      <c r="H997" s="24"/>
      <c r="I997" s="22"/>
      <c r="J997" s="25"/>
      <c r="K997" s="25"/>
    </row>
    <row r="998" spans="1:11" s="6" customFormat="1" x14ac:dyDescent="0.3">
      <c r="A998" s="21"/>
      <c r="B998" s="22"/>
      <c r="C998" s="22"/>
      <c r="D998" s="22"/>
      <c r="E998" s="23"/>
      <c r="F998" s="23"/>
      <c r="G998" s="22"/>
      <c r="H998" s="24"/>
      <c r="I998" s="22"/>
      <c r="J998" s="25"/>
      <c r="K998" s="25"/>
    </row>
    <row r="999" spans="1:11" s="6" customFormat="1" x14ac:dyDescent="0.3">
      <c r="A999" s="21"/>
      <c r="B999" s="22"/>
      <c r="C999" s="22"/>
      <c r="D999" s="22"/>
      <c r="E999" s="23"/>
      <c r="F999" s="23"/>
      <c r="G999" s="22"/>
      <c r="H999" s="24"/>
      <c r="I999" s="22"/>
      <c r="J999" s="25"/>
      <c r="K999" s="25"/>
    </row>
    <row r="1000" spans="1:11" s="6" customFormat="1" x14ac:dyDescent="0.3">
      <c r="A1000" s="21"/>
      <c r="B1000" s="22"/>
      <c r="C1000" s="22"/>
      <c r="D1000" s="22"/>
      <c r="E1000" s="23"/>
      <c r="F1000" s="23"/>
      <c r="G1000" s="22"/>
      <c r="H1000" s="24"/>
      <c r="I1000" s="22"/>
      <c r="J1000" s="25"/>
      <c r="K1000" s="25"/>
    </row>
    <row r="1001" spans="1:11" s="6" customFormat="1" x14ac:dyDescent="0.3">
      <c r="A1001" s="21"/>
      <c r="B1001" s="22"/>
      <c r="C1001" s="22"/>
      <c r="D1001" s="22"/>
      <c r="E1001" s="23"/>
      <c r="F1001" s="23"/>
      <c r="G1001" s="22"/>
      <c r="H1001" s="24"/>
      <c r="I1001" s="22"/>
      <c r="J1001" s="25"/>
      <c r="K1001" s="25"/>
    </row>
    <row r="1002" spans="1:11" s="6" customFormat="1" x14ac:dyDescent="0.3">
      <c r="A1002" s="21"/>
      <c r="B1002" s="22"/>
      <c r="C1002" s="22"/>
      <c r="D1002" s="22"/>
      <c r="E1002" s="23"/>
      <c r="F1002" s="23"/>
      <c r="G1002" s="22"/>
      <c r="H1002" s="24"/>
      <c r="I1002" s="22"/>
      <c r="J1002" s="25"/>
      <c r="K1002" s="25"/>
    </row>
    <row r="1003" spans="1:11" s="6" customFormat="1" x14ac:dyDescent="0.3">
      <c r="A1003" s="21"/>
      <c r="B1003" s="22"/>
      <c r="C1003" s="22"/>
      <c r="D1003" s="22"/>
      <c r="E1003" s="23"/>
      <c r="F1003" s="23"/>
      <c r="G1003" s="22"/>
      <c r="H1003" s="24"/>
      <c r="I1003" s="22"/>
      <c r="J1003" s="25"/>
      <c r="K1003" s="25"/>
    </row>
    <row r="1004" spans="1:11" s="6" customFormat="1" x14ac:dyDescent="0.3">
      <c r="A1004" s="21"/>
      <c r="B1004" s="22"/>
      <c r="C1004" s="22"/>
      <c r="D1004" s="22"/>
      <c r="E1004" s="23"/>
      <c r="F1004" s="23"/>
      <c r="G1004" s="22"/>
      <c r="H1004" s="24"/>
      <c r="I1004" s="22"/>
      <c r="J1004" s="25"/>
      <c r="K1004" s="25"/>
    </row>
    <row r="1005" spans="1:11" s="6" customFormat="1" x14ac:dyDescent="0.3">
      <c r="A1005" s="21"/>
      <c r="B1005" s="22"/>
      <c r="C1005" s="22"/>
      <c r="D1005" s="22"/>
      <c r="E1005" s="23"/>
      <c r="F1005" s="23"/>
      <c r="G1005" s="22"/>
      <c r="H1005" s="24"/>
      <c r="I1005" s="22"/>
      <c r="J1005" s="25"/>
      <c r="K1005" s="25"/>
    </row>
    <row r="1006" spans="1:11" s="6" customFormat="1" x14ac:dyDescent="0.3">
      <c r="A1006" s="21"/>
      <c r="B1006" s="22"/>
      <c r="C1006" s="22"/>
      <c r="D1006" s="22"/>
      <c r="E1006" s="23"/>
      <c r="F1006" s="23"/>
      <c r="G1006" s="22"/>
      <c r="H1006" s="24"/>
      <c r="I1006" s="22"/>
      <c r="J1006" s="25"/>
      <c r="K1006" s="25"/>
    </row>
  </sheetData>
  <protectedRanges>
    <protectedRange sqref="M1:V1" name="BARRA DE SELEÇÃO"/>
    <protectedRange sqref="L352:L371" name="Intervalo1_1_2_1_1_1_1_1_2_2"/>
  </protectedRanges>
  <dataValidations count="2">
    <dataValidation type="list" allowBlank="1" showInputMessage="1" showErrorMessage="1" sqref="D2:D1048576" xr:uid="{0BB20F06-E19E-4A2F-A123-F076DB508809}">
      <formula1>#REF!</formula1>
    </dataValidation>
    <dataValidation allowBlank="1" showDropDown="1" showInputMessage="1" showErrorMessage="1" sqref="C1:C1048576" xr:uid="{4DE06273-2E28-4CCF-9918-7313F42A5F1F}"/>
  </dataValidations>
  <pageMargins left="0.511811024" right="0.511811024" top="0.78740157499999996" bottom="0.78740157499999996" header="0.31496062000000002" footer="0.31496062000000002"/>
  <pageSetup paperSize="9" orientation="portrait" horizontalDpi="1200" verticalDpi="0" r:id="rId1"/>
  <ignoredErrors>
    <ignoredError sqref="J161:J163 J197:J226 J278:J307" calculatedColumn="1"/>
  </ignoredErrors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0760BA-CC6E-4E06-94AD-F3923D7D5AE5}">
  <dimension ref="A1:H28"/>
  <sheetViews>
    <sheetView workbookViewId="0">
      <selection activeCell="L14" sqref="L14"/>
    </sheetView>
  </sheetViews>
  <sheetFormatPr defaultRowHeight="14.4" x14ac:dyDescent="0.3"/>
  <cols>
    <col min="1" max="1" width="21.5546875" bestFit="1" customWidth="1"/>
  </cols>
  <sheetData>
    <row r="1" spans="1:8" x14ac:dyDescent="0.3">
      <c r="A1" s="26" t="s">
        <v>21</v>
      </c>
      <c r="B1" s="27" t="s">
        <v>22</v>
      </c>
      <c r="C1" s="27" t="s">
        <v>23</v>
      </c>
      <c r="D1" s="27" t="s">
        <v>24</v>
      </c>
      <c r="E1" s="27" t="s">
        <v>25</v>
      </c>
      <c r="F1" s="27" t="s">
        <v>26</v>
      </c>
      <c r="G1" s="27" t="s">
        <v>27</v>
      </c>
      <c r="H1" s="27" t="s">
        <v>28</v>
      </c>
    </row>
    <row r="2" spans="1:8" x14ac:dyDescent="0.3">
      <c r="A2" s="28" t="s">
        <v>19</v>
      </c>
      <c r="B2" s="29">
        <v>460</v>
      </c>
      <c r="C2" s="29">
        <v>610</v>
      </c>
      <c r="D2" s="30">
        <v>660</v>
      </c>
      <c r="E2" s="29">
        <f t="shared" ref="E2:E28" si="0">AVERAGE(B2:D2)</f>
        <v>576.66666666666663</v>
      </c>
      <c r="F2" s="29">
        <f t="shared" ref="F2:F28" si="1">MAX(B2:D2)</f>
        <v>660</v>
      </c>
      <c r="G2" s="31">
        <v>0</v>
      </c>
      <c r="H2" s="30">
        <v>0</v>
      </c>
    </row>
    <row r="3" spans="1:8" x14ac:dyDescent="0.3">
      <c r="A3" s="28" t="s">
        <v>19</v>
      </c>
      <c r="B3" s="29">
        <v>125</v>
      </c>
      <c r="C3" s="29">
        <v>125</v>
      </c>
      <c r="D3" s="30">
        <v>125</v>
      </c>
      <c r="E3" s="29">
        <f t="shared" si="0"/>
        <v>125</v>
      </c>
      <c r="F3" s="29">
        <f t="shared" si="1"/>
        <v>125</v>
      </c>
      <c r="G3" s="31">
        <v>53.166666666666664</v>
      </c>
      <c r="H3" s="30">
        <v>209</v>
      </c>
    </row>
    <row r="4" spans="1:8" x14ac:dyDescent="0.3">
      <c r="A4" s="32" t="s">
        <v>11</v>
      </c>
      <c r="B4" s="29">
        <v>8010</v>
      </c>
      <c r="C4" s="29">
        <v>8510</v>
      </c>
      <c r="D4" s="30">
        <v>9510</v>
      </c>
      <c r="E4" s="29">
        <f t="shared" si="0"/>
        <v>8676.6666666666661</v>
      </c>
      <c r="F4" s="29">
        <f t="shared" si="1"/>
        <v>9510</v>
      </c>
      <c r="G4" s="31">
        <v>7759.083333333333</v>
      </c>
      <c r="H4" s="30">
        <v>11340</v>
      </c>
    </row>
    <row r="5" spans="1:8" x14ac:dyDescent="0.3">
      <c r="A5" s="32" t="s">
        <v>11</v>
      </c>
      <c r="B5" s="29">
        <v>1010</v>
      </c>
      <c r="C5" s="29">
        <v>1360</v>
      </c>
      <c r="D5" s="30">
        <v>1660</v>
      </c>
      <c r="E5" s="29">
        <f t="shared" si="0"/>
        <v>1343.3333333333333</v>
      </c>
      <c r="F5" s="29">
        <f t="shared" si="1"/>
        <v>1660</v>
      </c>
      <c r="G5" s="31">
        <v>1251.9166666666667</v>
      </c>
      <c r="H5" s="30">
        <v>2513</v>
      </c>
    </row>
    <row r="6" spans="1:8" x14ac:dyDescent="0.3">
      <c r="A6" s="32" t="s">
        <v>11</v>
      </c>
      <c r="B6" s="29">
        <v>560</v>
      </c>
      <c r="C6" s="29">
        <v>560</v>
      </c>
      <c r="D6" s="30">
        <v>660</v>
      </c>
      <c r="E6" s="29">
        <f t="shared" si="0"/>
        <v>593.33333333333337</v>
      </c>
      <c r="F6" s="29">
        <f t="shared" si="1"/>
        <v>660</v>
      </c>
      <c r="G6" s="31">
        <v>612.91666666666663</v>
      </c>
      <c r="H6" s="30">
        <v>994</v>
      </c>
    </row>
    <row r="7" spans="1:8" x14ac:dyDescent="0.3">
      <c r="A7" s="32" t="s">
        <v>18</v>
      </c>
      <c r="B7" s="29">
        <v>150</v>
      </c>
      <c r="C7" s="29">
        <v>150</v>
      </c>
      <c r="D7" s="30">
        <v>250</v>
      </c>
      <c r="E7" s="29">
        <f t="shared" si="0"/>
        <v>183.33333333333334</v>
      </c>
      <c r="F7" s="29">
        <f t="shared" si="1"/>
        <v>250</v>
      </c>
      <c r="G7" s="31">
        <v>236.33333333333334</v>
      </c>
      <c r="H7" s="30">
        <v>1048</v>
      </c>
    </row>
    <row r="8" spans="1:8" x14ac:dyDescent="0.3">
      <c r="A8" s="32" t="s">
        <v>11</v>
      </c>
      <c r="B8" s="29">
        <v>310</v>
      </c>
      <c r="C8" s="29">
        <v>310</v>
      </c>
      <c r="D8" s="30">
        <v>510</v>
      </c>
      <c r="E8" s="29">
        <f t="shared" si="0"/>
        <v>376.66666666666669</v>
      </c>
      <c r="F8" s="29">
        <f t="shared" si="1"/>
        <v>510</v>
      </c>
      <c r="G8" s="31">
        <v>677.41666666666663</v>
      </c>
      <c r="H8" s="30">
        <v>3582</v>
      </c>
    </row>
    <row r="9" spans="1:8" x14ac:dyDescent="0.3">
      <c r="A9" s="32" t="s">
        <v>16</v>
      </c>
      <c r="B9" s="29">
        <v>65</v>
      </c>
      <c r="C9" s="29">
        <v>65</v>
      </c>
      <c r="D9" s="30">
        <v>75</v>
      </c>
      <c r="E9" s="29">
        <f t="shared" si="0"/>
        <v>68.333333333333329</v>
      </c>
      <c r="F9" s="29">
        <f t="shared" si="1"/>
        <v>75</v>
      </c>
      <c r="G9" s="31">
        <v>39.916666666666664</v>
      </c>
      <c r="H9" s="30">
        <v>54</v>
      </c>
    </row>
    <row r="10" spans="1:8" x14ac:dyDescent="0.3">
      <c r="A10" s="32" t="s">
        <v>16</v>
      </c>
      <c r="B10" s="29">
        <v>2335</v>
      </c>
      <c r="C10" s="29">
        <v>2385</v>
      </c>
      <c r="D10" s="30">
        <v>2720</v>
      </c>
      <c r="E10" s="29">
        <f t="shared" si="0"/>
        <v>2480</v>
      </c>
      <c r="F10" s="29">
        <f t="shared" si="1"/>
        <v>2720</v>
      </c>
      <c r="G10" s="31">
        <v>2112.25</v>
      </c>
      <c r="H10" s="30">
        <v>3278</v>
      </c>
    </row>
    <row r="11" spans="1:8" x14ac:dyDescent="0.3">
      <c r="A11" s="32" t="s">
        <v>16</v>
      </c>
      <c r="B11" s="29">
        <v>825</v>
      </c>
      <c r="C11" s="29">
        <v>945</v>
      </c>
      <c r="D11" s="30">
        <v>1045</v>
      </c>
      <c r="E11" s="29">
        <f t="shared" si="0"/>
        <v>938.33333333333337</v>
      </c>
      <c r="F11" s="29">
        <f t="shared" si="1"/>
        <v>1045</v>
      </c>
      <c r="G11" s="31">
        <v>817.58333333333337</v>
      </c>
      <c r="H11" s="30">
        <v>2636</v>
      </c>
    </row>
    <row r="12" spans="1:8" x14ac:dyDescent="0.3">
      <c r="A12" s="28" t="s">
        <v>15</v>
      </c>
      <c r="B12" s="29">
        <v>103</v>
      </c>
      <c r="C12" s="29">
        <v>113</v>
      </c>
      <c r="D12" s="30">
        <v>123</v>
      </c>
      <c r="E12" s="29">
        <f t="shared" si="0"/>
        <v>113</v>
      </c>
      <c r="F12" s="29">
        <f t="shared" si="1"/>
        <v>123</v>
      </c>
      <c r="G12" s="31">
        <v>108.25</v>
      </c>
      <c r="H12" s="30">
        <v>185</v>
      </c>
    </row>
    <row r="13" spans="1:8" x14ac:dyDescent="0.3">
      <c r="A13" s="28" t="s">
        <v>15</v>
      </c>
      <c r="B13" s="29">
        <v>135</v>
      </c>
      <c r="C13" s="29">
        <v>210</v>
      </c>
      <c r="D13" s="30">
        <v>180</v>
      </c>
      <c r="E13" s="29">
        <f t="shared" si="0"/>
        <v>175</v>
      </c>
      <c r="F13" s="29">
        <f t="shared" si="1"/>
        <v>210</v>
      </c>
      <c r="G13" s="31">
        <v>174.33333333333334</v>
      </c>
      <c r="H13" s="30">
        <v>396</v>
      </c>
    </row>
    <row r="14" spans="1:8" x14ac:dyDescent="0.3">
      <c r="A14" s="28" t="s">
        <v>15</v>
      </c>
      <c r="B14" s="29">
        <v>80</v>
      </c>
      <c r="C14" s="29">
        <v>80</v>
      </c>
      <c r="D14" s="30">
        <v>100</v>
      </c>
      <c r="E14" s="29">
        <f t="shared" si="0"/>
        <v>86.666666666666671</v>
      </c>
      <c r="F14" s="29">
        <f t="shared" si="1"/>
        <v>100</v>
      </c>
      <c r="G14" s="31">
        <v>93.916666666666671</v>
      </c>
      <c r="H14" s="30">
        <v>206</v>
      </c>
    </row>
    <row r="15" spans="1:8" x14ac:dyDescent="0.3">
      <c r="A15" s="28" t="s">
        <v>15</v>
      </c>
      <c r="B15" s="29">
        <v>90</v>
      </c>
      <c r="C15" s="29">
        <v>100</v>
      </c>
      <c r="D15" s="30">
        <v>145</v>
      </c>
      <c r="E15" s="29">
        <f t="shared" si="0"/>
        <v>111.66666666666667</v>
      </c>
      <c r="F15" s="29">
        <f t="shared" si="1"/>
        <v>145</v>
      </c>
      <c r="G15" s="31">
        <v>128.58333333333334</v>
      </c>
      <c r="H15" s="30">
        <v>252</v>
      </c>
    </row>
    <row r="16" spans="1:8" x14ac:dyDescent="0.3">
      <c r="A16" s="28" t="s">
        <v>15</v>
      </c>
      <c r="B16" s="29">
        <v>165</v>
      </c>
      <c r="C16" s="29">
        <v>175</v>
      </c>
      <c r="D16" s="30">
        <v>175</v>
      </c>
      <c r="E16" s="29">
        <f t="shared" si="0"/>
        <v>171.66666666666666</v>
      </c>
      <c r="F16" s="29">
        <f t="shared" si="1"/>
        <v>175</v>
      </c>
      <c r="G16" s="31">
        <v>200.25</v>
      </c>
      <c r="H16" s="30">
        <v>337</v>
      </c>
    </row>
    <row r="17" spans="1:8" x14ac:dyDescent="0.3">
      <c r="A17" s="28" t="s">
        <v>19</v>
      </c>
      <c r="B17" s="29">
        <v>140</v>
      </c>
      <c r="C17" s="29">
        <v>50</v>
      </c>
      <c r="D17" s="30">
        <v>50</v>
      </c>
      <c r="E17" s="29">
        <f t="shared" si="0"/>
        <v>80</v>
      </c>
      <c r="F17" s="29">
        <f t="shared" si="1"/>
        <v>140</v>
      </c>
      <c r="G17" s="31">
        <v>95</v>
      </c>
      <c r="H17" s="30">
        <v>157</v>
      </c>
    </row>
    <row r="18" spans="1:8" x14ac:dyDescent="0.3">
      <c r="A18" s="32" t="s">
        <v>18</v>
      </c>
      <c r="B18" s="29">
        <v>150</v>
      </c>
      <c r="C18" s="29">
        <v>300</v>
      </c>
      <c r="D18" s="30">
        <v>400</v>
      </c>
      <c r="E18" s="29">
        <f t="shared" si="0"/>
        <v>283.33333333333331</v>
      </c>
      <c r="F18" s="29">
        <f t="shared" si="1"/>
        <v>400</v>
      </c>
      <c r="G18" s="31">
        <v>0</v>
      </c>
      <c r="H18" s="30">
        <v>0</v>
      </c>
    </row>
    <row r="19" spans="1:8" x14ac:dyDescent="0.3">
      <c r="A19" s="32" t="s">
        <v>18</v>
      </c>
      <c r="B19" s="29">
        <v>640</v>
      </c>
      <c r="C19" s="29">
        <v>850</v>
      </c>
      <c r="D19" s="30">
        <v>1050</v>
      </c>
      <c r="E19" s="29">
        <f t="shared" si="0"/>
        <v>846.66666666666663</v>
      </c>
      <c r="F19" s="29">
        <f t="shared" si="1"/>
        <v>1050</v>
      </c>
      <c r="G19" s="31">
        <v>984.83333333333337</v>
      </c>
      <c r="H19" s="30">
        <v>1854</v>
      </c>
    </row>
    <row r="20" spans="1:8" x14ac:dyDescent="0.3">
      <c r="A20" s="28" t="s">
        <v>17</v>
      </c>
      <c r="B20" s="29">
        <v>115</v>
      </c>
      <c r="C20" s="29">
        <v>195</v>
      </c>
      <c r="D20" s="30">
        <v>235</v>
      </c>
      <c r="E20" s="29">
        <f t="shared" si="0"/>
        <v>181.66666666666666</v>
      </c>
      <c r="F20" s="29">
        <f t="shared" si="1"/>
        <v>235</v>
      </c>
      <c r="G20" s="31">
        <v>0</v>
      </c>
      <c r="H20" s="30">
        <v>0</v>
      </c>
    </row>
    <row r="21" spans="1:8" x14ac:dyDescent="0.3">
      <c r="A21" s="28" t="s">
        <v>17</v>
      </c>
      <c r="B21" s="29">
        <v>175</v>
      </c>
      <c r="C21" s="29">
        <v>315</v>
      </c>
      <c r="D21" s="30">
        <v>365</v>
      </c>
      <c r="E21" s="29">
        <f t="shared" si="0"/>
        <v>285</v>
      </c>
      <c r="F21" s="29">
        <f t="shared" si="1"/>
        <v>365</v>
      </c>
      <c r="G21" s="31">
        <v>0</v>
      </c>
      <c r="H21" s="30">
        <v>0</v>
      </c>
    </row>
    <row r="22" spans="1:8" x14ac:dyDescent="0.3">
      <c r="A22" s="28" t="s">
        <v>17</v>
      </c>
      <c r="B22" s="29">
        <v>120</v>
      </c>
      <c r="C22" s="29">
        <v>135</v>
      </c>
      <c r="D22" s="30">
        <v>140</v>
      </c>
      <c r="E22" s="29">
        <f t="shared" si="0"/>
        <v>131.66666666666666</v>
      </c>
      <c r="F22" s="29">
        <f t="shared" si="1"/>
        <v>140</v>
      </c>
      <c r="G22" s="31">
        <v>114.08333333333333</v>
      </c>
      <c r="H22" s="30">
        <v>163</v>
      </c>
    </row>
    <row r="23" spans="1:8" x14ac:dyDescent="0.3">
      <c r="A23" s="28" t="s">
        <v>17</v>
      </c>
      <c r="B23" s="29">
        <v>200</v>
      </c>
      <c r="C23" s="29">
        <v>280</v>
      </c>
      <c r="D23" s="30">
        <v>235</v>
      </c>
      <c r="E23" s="29">
        <f t="shared" si="0"/>
        <v>238.33333333333334</v>
      </c>
      <c r="F23" s="29">
        <f t="shared" si="1"/>
        <v>280</v>
      </c>
      <c r="G23" s="31">
        <v>229.58333333333334</v>
      </c>
      <c r="H23" s="30">
        <v>427</v>
      </c>
    </row>
    <row r="24" spans="1:8" x14ac:dyDescent="0.3">
      <c r="A24" s="28" t="s">
        <v>13</v>
      </c>
      <c r="B24" s="29">
        <v>530</v>
      </c>
      <c r="C24" s="29">
        <v>530</v>
      </c>
      <c r="D24" s="30">
        <v>530</v>
      </c>
      <c r="E24" s="29">
        <f t="shared" si="0"/>
        <v>530</v>
      </c>
      <c r="F24" s="29">
        <f t="shared" si="1"/>
        <v>530</v>
      </c>
      <c r="G24" s="31">
        <v>148.16666666666666</v>
      </c>
      <c r="H24" s="30">
        <v>773</v>
      </c>
    </row>
    <row r="25" spans="1:8" x14ac:dyDescent="0.3">
      <c r="A25" s="28" t="s">
        <v>13</v>
      </c>
      <c r="B25" s="29">
        <v>70</v>
      </c>
      <c r="C25" s="29">
        <v>70</v>
      </c>
      <c r="D25" s="30">
        <v>120</v>
      </c>
      <c r="E25" s="29">
        <f t="shared" si="0"/>
        <v>86.666666666666671</v>
      </c>
      <c r="F25" s="29">
        <f t="shared" si="1"/>
        <v>120</v>
      </c>
      <c r="G25" s="31">
        <v>28.916666666666668</v>
      </c>
      <c r="H25" s="30">
        <v>265</v>
      </c>
    </row>
    <row r="26" spans="1:8" x14ac:dyDescent="0.3">
      <c r="A26" s="28" t="s">
        <v>19</v>
      </c>
      <c r="B26" s="29">
        <v>0</v>
      </c>
      <c r="C26" s="29">
        <v>0</v>
      </c>
      <c r="D26" s="30">
        <v>0</v>
      </c>
      <c r="E26" s="29">
        <f t="shared" si="0"/>
        <v>0</v>
      </c>
      <c r="F26" s="29">
        <f t="shared" si="1"/>
        <v>0</v>
      </c>
      <c r="G26" s="31">
        <v>0</v>
      </c>
      <c r="H26" s="30">
        <v>0</v>
      </c>
    </row>
    <row r="27" spans="1:8" x14ac:dyDescent="0.3">
      <c r="A27" s="28" t="s">
        <v>19</v>
      </c>
      <c r="B27" s="29">
        <v>45</v>
      </c>
      <c r="C27" s="29">
        <v>45</v>
      </c>
      <c r="D27" s="30">
        <v>45</v>
      </c>
      <c r="E27" s="29">
        <f t="shared" si="0"/>
        <v>45</v>
      </c>
      <c r="F27" s="29">
        <f t="shared" si="1"/>
        <v>45</v>
      </c>
      <c r="G27" s="31">
        <v>0</v>
      </c>
      <c r="H27" s="30">
        <v>0</v>
      </c>
    </row>
    <row r="28" spans="1:8" x14ac:dyDescent="0.3">
      <c r="A28" s="28" t="s">
        <v>19</v>
      </c>
      <c r="B28" s="29">
        <v>340</v>
      </c>
      <c r="C28" s="29">
        <v>440</v>
      </c>
      <c r="D28" s="30">
        <v>490</v>
      </c>
      <c r="E28" s="29">
        <f t="shared" si="0"/>
        <v>423.33333333333331</v>
      </c>
      <c r="F28" s="29">
        <f t="shared" si="1"/>
        <v>490</v>
      </c>
      <c r="G28" s="31">
        <v>0</v>
      </c>
      <c r="H28" s="30">
        <v>0</v>
      </c>
    </row>
  </sheetData>
  <dataValidations count="1">
    <dataValidation allowBlank="1" showDropDown="1" showInputMessage="1" showErrorMessage="1" sqref="A2:A28" xr:uid="{D00E22C3-ADA8-4CC2-9590-0B953B907908}"/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13F9F7-F19E-4478-8325-45C71704E30E}">
  <dimension ref="A1:D8"/>
  <sheetViews>
    <sheetView workbookViewId="0">
      <selection activeCell="C9" sqref="C9"/>
    </sheetView>
  </sheetViews>
  <sheetFormatPr defaultRowHeight="14.4" x14ac:dyDescent="0.3"/>
  <cols>
    <col min="1" max="1" width="21.5546875" bestFit="1" customWidth="1"/>
  </cols>
  <sheetData>
    <row r="1" spans="1:4" x14ac:dyDescent="0.3">
      <c r="A1" s="26" t="s">
        <v>21</v>
      </c>
      <c r="B1" s="27" t="s">
        <v>29</v>
      </c>
      <c r="C1" s="27" t="s">
        <v>30</v>
      </c>
      <c r="D1" s="27" t="s">
        <v>31</v>
      </c>
    </row>
    <row r="2" spans="1:4" x14ac:dyDescent="0.3">
      <c r="A2" s="28" t="s">
        <v>19</v>
      </c>
      <c r="B2" s="29">
        <v>1469</v>
      </c>
      <c r="C2" s="29">
        <v>582</v>
      </c>
      <c r="D2" s="29">
        <f>SUM(B2:C2)</f>
        <v>2051</v>
      </c>
    </row>
    <row r="3" spans="1:4" x14ac:dyDescent="0.3">
      <c r="A3" s="32" t="s">
        <v>11</v>
      </c>
      <c r="B3" s="29">
        <v>8917</v>
      </c>
      <c r="C3" s="29">
        <f>89+290+160+4040+324</f>
        <v>4903</v>
      </c>
      <c r="D3" s="29">
        <f t="shared" ref="D3:D8" si="0">SUM(B3:C3)</f>
        <v>13820</v>
      </c>
    </row>
    <row r="4" spans="1:4" x14ac:dyDescent="0.3">
      <c r="A4" s="32" t="s">
        <v>18</v>
      </c>
      <c r="B4" s="29">
        <v>970</v>
      </c>
      <c r="C4" s="29">
        <f>102+89</f>
        <v>191</v>
      </c>
      <c r="D4" s="29">
        <f t="shared" si="0"/>
        <v>1161</v>
      </c>
    </row>
    <row r="5" spans="1:4" x14ac:dyDescent="0.3">
      <c r="A5" s="32" t="s">
        <v>16</v>
      </c>
      <c r="B5" s="29">
        <v>3118</v>
      </c>
      <c r="C5" s="29">
        <f>717+1458+93+34</f>
        <v>2302</v>
      </c>
      <c r="D5" s="29">
        <f t="shared" si="0"/>
        <v>5420</v>
      </c>
    </row>
    <row r="6" spans="1:4" x14ac:dyDescent="0.3">
      <c r="A6" s="28" t="s">
        <v>15</v>
      </c>
      <c r="B6" s="29">
        <v>628</v>
      </c>
      <c r="C6" s="29">
        <f>184+41+48+113+212+2</f>
        <v>600</v>
      </c>
      <c r="D6" s="29">
        <f t="shared" si="0"/>
        <v>1228</v>
      </c>
    </row>
    <row r="7" spans="1:4" x14ac:dyDescent="0.3">
      <c r="A7" s="28" t="s">
        <v>17</v>
      </c>
      <c r="B7" s="29">
        <v>661</v>
      </c>
      <c r="C7" s="29">
        <v>739</v>
      </c>
      <c r="D7" s="29">
        <f t="shared" si="0"/>
        <v>1400</v>
      </c>
    </row>
    <row r="8" spans="1:4" x14ac:dyDescent="0.3">
      <c r="A8" s="28" t="s">
        <v>13</v>
      </c>
      <c r="B8" s="29">
        <v>1020</v>
      </c>
      <c r="C8" s="29">
        <v>84</v>
      </c>
      <c r="D8" s="29">
        <f t="shared" si="0"/>
        <v>1104</v>
      </c>
    </row>
  </sheetData>
  <dataValidations count="1">
    <dataValidation allowBlank="1" showDropDown="1" showInputMessage="1" showErrorMessage="1" sqref="A2:A8" xr:uid="{CB63CC6B-EB89-40E2-8D66-0CDEA903CAA7}"/>
  </dataValidation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LANC.</vt:lpstr>
      <vt:lpstr>FORECAST</vt:lpstr>
      <vt:lpstr>FATURADO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Jucieli de Lima</dc:creator>
  <cp:lastModifiedBy>Jucieli de Lima</cp:lastModifiedBy>
  <dcterms:created xsi:type="dcterms:W3CDTF">2026-01-27T13:59:36Z</dcterms:created>
  <dcterms:modified xsi:type="dcterms:W3CDTF">2026-02-27T14:53:37Z</dcterms:modified>
</cp:coreProperties>
</file>