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9F3D23FC-AE89-401D-B314-1EF80A08428C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LANC.!$A$1:$K$1756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749" i="1" l="1"/>
  <c r="B1750" i="1"/>
  <c r="B1751" i="1"/>
  <c r="B1752" i="1"/>
  <c r="B1753" i="1"/>
  <c r="B1754" i="1"/>
  <c r="B1755" i="1"/>
  <c r="B1756" i="1"/>
  <c r="I1749" i="1"/>
  <c r="I1750" i="1"/>
  <c r="I1751" i="1"/>
  <c r="I1752" i="1"/>
  <c r="I1753" i="1"/>
  <c r="I1754" i="1"/>
  <c r="I1755" i="1"/>
  <c r="I1756" i="1"/>
  <c r="J1749" i="1"/>
  <c r="J1750" i="1"/>
  <c r="J1751" i="1"/>
  <c r="J1752" i="1"/>
  <c r="J1753" i="1"/>
  <c r="J1754" i="1"/>
  <c r="J1755" i="1"/>
  <c r="J1756" i="1"/>
  <c r="K1749" i="1"/>
  <c r="K1750" i="1"/>
  <c r="K1751" i="1"/>
  <c r="K1752" i="1"/>
  <c r="K1753" i="1"/>
  <c r="K1754" i="1"/>
  <c r="K1755" i="1"/>
  <c r="K1756" i="1"/>
  <c r="B1748" i="1"/>
  <c r="I1748" i="1"/>
  <c r="J1748" i="1"/>
  <c r="K1748" i="1"/>
  <c r="B1740" i="1"/>
  <c r="B1741" i="1"/>
  <c r="B1742" i="1"/>
  <c r="B1743" i="1"/>
  <c r="B1744" i="1"/>
  <c r="B1745" i="1"/>
  <c r="B1746" i="1"/>
  <c r="B1747" i="1"/>
  <c r="I1740" i="1"/>
  <c r="I1741" i="1"/>
  <c r="I1742" i="1"/>
  <c r="I1743" i="1"/>
  <c r="I1744" i="1"/>
  <c r="I1745" i="1"/>
  <c r="I1746" i="1"/>
  <c r="I1747" i="1"/>
  <c r="J1740" i="1"/>
  <c r="J1741" i="1"/>
  <c r="J1742" i="1"/>
  <c r="J1743" i="1"/>
  <c r="J1744" i="1"/>
  <c r="J1745" i="1"/>
  <c r="J1746" i="1"/>
  <c r="J1747" i="1"/>
  <c r="K1740" i="1"/>
  <c r="K1741" i="1"/>
  <c r="K1742" i="1"/>
  <c r="K1743" i="1"/>
  <c r="K1744" i="1"/>
  <c r="K1745" i="1"/>
  <c r="K1746" i="1"/>
  <c r="K1747" i="1"/>
  <c r="B1739" i="1"/>
  <c r="I1739" i="1"/>
  <c r="J1739" i="1"/>
  <c r="K1739" i="1"/>
  <c r="B1731" i="1"/>
  <c r="B1732" i="1"/>
  <c r="B1733" i="1"/>
  <c r="B1734" i="1"/>
  <c r="B1735" i="1"/>
  <c r="B1736" i="1"/>
  <c r="B1737" i="1"/>
  <c r="B1738" i="1"/>
  <c r="I1731" i="1"/>
  <c r="I1732" i="1"/>
  <c r="I1733" i="1"/>
  <c r="I1734" i="1"/>
  <c r="I1735" i="1"/>
  <c r="I1736" i="1"/>
  <c r="I1737" i="1"/>
  <c r="I1738" i="1"/>
  <c r="J1731" i="1"/>
  <c r="J1732" i="1"/>
  <c r="J1733" i="1"/>
  <c r="J1734" i="1"/>
  <c r="J1735" i="1"/>
  <c r="J1736" i="1"/>
  <c r="J1737" i="1"/>
  <c r="J1738" i="1"/>
  <c r="K1731" i="1"/>
  <c r="K1732" i="1"/>
  <c r="K1733" i="1"/>
  <c r="K1734" i="1"/>
  <c r="K1735" i="1"/>
  <c r="K1736" i="1"/>
  <c r="K1737" i="1"/>
  <c r="K1738" i="1"/>
  <c r="B1730" i="1"/>
  <c r="I1730" i="1"/>
  <c r="J1730" i="1"/>
  <c r="K1730" i="1"/>
  <c r="B1722" i="1"/>
  <c r="B1723" i="1"/>
  <c r="B1724" i="1"/>
  <c r="B1725" i="1"/>
  <c r="B1726" i="1"/>
  <c r="B1727" i="1"/>
  <c r="B1728" i="1"/>
  <c r="B1729" i="1"/>
  <c r="I1722" i="1"/>
  <c r="I1723" i="1"/>
  <c r="I1724" i="1"/>
  <c r="I1725" i="1"/>
  <c r="I1726" i="1"/>
  <c r="I1727" i="1"/>
  <c r="I1728" i="1"/>
  <c r="I1729" i="1"/>
  <c r="J1722" i="1"/>
  <c r="J1723" i="1"/>
  <c r="J1724" i="1"/>
  <c r="J1725" i="1"/>
  <c r="J1726" i="1"/>
  <c r="J1727" i="1"/>
  <c r="J1728" i="1"/>
  <c r="J1729" i="1"/>
  <c r="K1722" i="1"/>
  <c r="K1723" i="1"/>
  <c r="K1724" i="1"/>
  <c r="K1725" i="1"/>
  <c r="K1726" i="1"/>
  <c r="K1727" i="1"/>
  <c r="K1728" i="1"/>
  <c r="K1729" i="1"/>
  <c r="B1721" i="1"/>
  <c r="I1721" i="1"/>
  <c r="J1721" i="1"/>
  <c r="K1721" i="1"/>
  <c r="B1713" i="1"/>
  <c r="B1714" i="1"/>
  <c r="B1715" i="1"/>
  <c r="B1716" i="1"/>
  <c r="B1717" i="1"/>
  <c r="B1718" i="1"/>
  <c r="B1719" i="1"/>
  <c r="B1720" i="1"/>
  <c r="I1713" i="1"/>
  <c r="I1714" i="1"/>
  <c r="I1715" i="1"/>
  <c r="I1716" i="1"/>
  <c r="I1717" i="1"/>
  <c r="I1718" i="1"/>
  <c r="I1719" i="1"/>
  <c r="I1720" i="1"/>
  <c r="J1713" i="1"/>
  <c r="J1714" i="1"/>
  <c r="J1715" i="1"/>
  <c r="J1716" i="1"/>
  <c r="J1717" i="1"/>
  <c r="J1718" i="1"/>
  <c r="J1719" i="1"/>
  <c r="J1720" i="1"/>
  <c r="K1713" i="1"/>
  <c r="K1714" i="1"/>
  <c r="K1715" i="1"/>
  <c r="K1716" i="1"/>
  <c r="K1717" i="1"/>
  <c r="K1718" i="1"/>
  <c r="K1719" i="1"/>
  <c r="K1720" i="1"/>
  <c r="B1712" i="1"/>
  <c r="I1712" i="1"/>
  <c r="J1712" i="1"/>
  <c r="K1712" i="1"/>
  <c r="B1704" i="1"/>
  <c r="B1705" i="1"/>
  <c r="B1706" i="1"/>
  <c r="B1707" i="1"/>
  <c r="B1708" i="1"/>
  <c r="B1709" i="1"/>
  <c r="B1710" i="1"/>
  <c r="B1711" i="1"/>
  <c r="I1704" i="1"/>
  <c r="I1705" i="1"/>
  <c r="I1706" i="1"/>
  <c r="I1707" i="1"/>
  <c r="I1708" i="1"/>
  <c r="I1709" i="1"/>
  <c r="I1710" i="1"/>
  <c r="I1711" i="1"/>
  <c r="J1704" i="1"/>
  <c r="J1705" i="1"/>
  <c r="J1706" i="1"/>
  <c r="J1707" i="1"/>
  <c r="J1708" i="1"/>
  <c r="J1709" i="1"/>
  <c r="J1710" i="1"/>
  <c r="J1711" i="1"/>
  <c r="K1704" i="1"/>
  <c r="K1705" i="1"/>
  <c r="K1706" i="1"/>
  <c r="K1707" i="1"/>
  <c r="K1708" i="1"/>
  <c r="K1709" i="1"/>
  <c r="K1710" i="1"/>
  <c r="K1711" i="1"/>
  <c r="B1703" i="1"/>
  <c r="I1703" i="1"/>
  <c r="J1703" i="1"/>
  <c r="K1703" i="1"/>
  <c r="B1695" i="1"/>
  <c r="B1696" i="1"/>
  <c r="B1697" i="1"/>
  <c r="B1698" i="1"/>
  <c r="B1699" i="1"/>
  <c r="B1700" i="1"/>
  <c r="B1701" i="1"/>
  <c r="B1702" i="1"/>
  <c r="I1695" i="1"/>
  <c r="I1696" i="1"/>
  <c r="I1697" i="1"/>
  <c r="I1698" i="1"/>
  <c r="I1699" i="1"/>
  <c r="I1700" i="1"/>
  <c r="I1701" i="1"/>
  <c r="I1702" i="1"/>
  <c r="J1695" i="1"/>
  <c r="J1696" i="1"/>
  <c r="J1697" i="1"/>
  <c r="J1698" i="1"/>
  <c r="J1699" i="1"/>
  <c r="J1700" i="1"/>
  <c r="J1701" i="1"/>
  <c r="J1702" i="1"/>
  <c r="K1695" i="1"/>
  <c r="K1696" i="1"/>
  <c r="K1697" i="1"/>
  <c r="K1698" i="1"/>
  <c r="K1699" i="1"/>
  <c r="K1700" i="1"/>
  <c r="K1701" i="1"/>
  <c r="K1702" i="1"/>
  <c r="B1694" i="1"/>
  <c r="I1694" i="1"/>
  <c r="J1694" i="1"/>
  <c r="K1694" i="1"/>
  <c r="B1686" i="1"/>
  <c r="B1687" i="1"/>
  <c r="B1688" i="1"/>
  <c r="B1689" i="1"/>
  <c r="B1690" i="1"/>
  <c r="B1691" i="1"/>
  <c r="B1692" i="1"/>
  <c r="B1693" i="1"/>
  <c r="I1686" i="1"/>
  <c r="I1687" i="1"/>
  <c r="I1688" i="1"/>
  <c r="I1689" i="1"/>
  <c r="I1690" i="1"/>
  <c r="I1691" i="1"/>
  <c r="I1692" i="1"/>
  <c r="I1693" i="1"/>
  <c r="J1686" i="1"/>
  <c r="J1687" i="1"/>
  <c r="J1688" i="1"/>
  <c r="J1689" i="1"/>
  <c r="J1690" i="1"/>
  <c r="J1691" i="1"/>
  <c r="J1692" i="1"/>
  <c r="J1693" i="1"/>
  <c r="K1686" i="1"/>
  <c r="K1687" i="1"/>
  <c r="K1688" i="1"/>
  <c r="K1689" i="1"/>
  <c r="K1690" i="1"/>
  <c r="K1691" i="1"/>
  <c r="K1692" i="1"/>
  <c r="K1693" i="1"/>
  <c r="B1685" i="1"/>
  <c r="I1685" i="1"/>
  <c r="J1685" i="1"/>
  <c r="K1685" i="1"/>
  <c r="B1677" i="1"/>
  <c r="B1678" i="1"/>
  <c r="B1679" i="1"/>
  <c r="B1680" i="1"/>
  <c r="B1681" i="1"/>
  <c r="B1682" i="1"/>
  <c r="B1683" i="1"/>
  <c r="B1684" i="1"/>
  <c r="I1677" i="1"/>
  <c r="I1678" i="1"/>
  <c r="I1679" i="1"/>
  <c r="I1680" i="1"/>
  <c r="I1681" i="1"/>
  <c r="I1682" i="1"/>
  <c r="I1683" i="1"/>
  <c r="I1684" i="1"/>
  <c r="J1677" i="1"/>
  <c r="J1678" i="1"/>
  <c r="J1679" i="1"/>
  <c r="J1680" i="1"/>
  <c r="J1681" i="1"/>
  <c r="J1682" i="1"/>
  <c r="J1683" i="1"/>
  <c r="J1684" i="1"/>
  <c r="K1677" i="1"/>
  <c r="K1678" i="1"/>
  <c r="K1679" i="1"/>
  <c r="K1680" i="1"/>
  <c r="K1681" i="1"/>
  <c r="K1682" i="1"/>
  <c r="K1683" i="1"/>
  <c r="K1684" i="1"/>
  <c r="B1676" i="1"/>
  <c r="I1676" i="1"/>
  <c r="J1676" i="1"/>
  <c r="K1676" i="1"/>
  <c r="B1668" i="1"/>
  <c r="B1669" i="1"/>
  <c r="B1670" i="1"/>
  <c r="B1671" i="1"/>
  <c r="B1672" i="1"/>
  <c r="B1673" i="1"/>
  <c r="B1674" i="1"/>
  <c r="B1675" i="1"/>
  <c r="I1668" i="1"/>
  <c r="I1669" i="1"/>
  <c r="I1670" i="1"/>
  <c r="I1671" i="1"/>
  <c r="I1672" i="1"/>
  <c r="I1673" i="1"/>
  <c r="I1674" i="1"/>
  <c r="I1675" i="1"/>
  <c r="J1668" i="1"/>
  <c r="J1669" i="1"/>
  <c r="J1670" i="1"/>
  <c r="J1671" i="1"/>
  <c r="J1672" i="1"/>
  <c r="J1673" i="1"/>
  <c r="J1674" i="1"/>
  <c r="J1675" i="1"/>
  <c r="K1668" i="1"/>
  <c r="K1669" i="1"/>
  <c r="K1670" i="1"/>
  <c r="K1671" i="1"/>
  <c r="K1672" i="1"/>
  <c r="K1673" i="1"/>
  <c r="K1674" i="1"/>
  <c r="K1675" i="1"/>
  <c r="B1667" i="1"/>
  <c r="I1667" i="1"/>
  <c r="J1667" i="1"/>
  <c r="K1667" i="1"/>
  <c r="B1659" i="1"/>
  <c r="B1660" i="1"/>
  <c r="B1661" i="1"/>
  <c r="B1662" i="1"/>
  <c r="B1663" i="1"/>
  <c r="B1664" i="1"/>
  <c r="B1665" i="1"/>
  <c r="B1666" i="1"/>
  <c r="I1659" i="1"/>
  <c r="I1660" i="1"/>
  <c r="I1661" i="1"/>
  <c r="I1662" i="1"/>
  <c r="I1663" i="1"/>
  <c r="I1664" i="1"/>
  <c r="I1665" i="1"/>
  <c r="I1666" i="1"/>
  <c r="J1659" i="1"/>
  <c r="J1660" i="1"/>
  <c r="J1661" i="1"/>
  <c r="J1662" i="1"/>
  <c r="J1663" i="1"/>
  <c r="J1664" i="1"/>
  <c r="J1665" i="1"/>
  <c r="J1666" i="1"/>
  <c r="K1659" i="1"/>
  <c r="K1660" i="1"/>
  <c r="K1661" i="1"/>
  <c r="K1662" i="1"/>
  <c r="K1663" i="1"/>
  <c r="K1664" i="1"/>
  <c r="K1665" i="1"/>
  <c r="K1666" i="1"/>
  <c r="B1658" i="1"/>
  <c r="I1658" i="1"/>
  <c r="J1658" i="1"/>
  <c r="K1658" i="1"/>
  <c r="B1650" i="1"/>
  <c r="B1651" i="1"/>
  <c r="B1652" i="1"/>
  <c r="B1653" i="1"/>
  <c r="B1654" i="1"/>
  <c r="B1655" i="1"/>
  <c r="B1656" i="1"/>
  <c r="B1657" i="1"/>
  <c r="I1650" i="1"/>
  <c r="I1651" i="1"/>
  <c r="I1652" i="1"/>
  <c r="I1653" i="1"/>
  <c r="I1654" i="1"/>
  <c r="I1655" i="1"/>
  <c r="I1656" i="1"/>
  <c r="I1657" i="1"/>
  <c r="J1650" i="1"/>
  <c r="J1651" i="1"/>
  <c r="J1652" i="1"/>
  <c r="J1653" i="1"/>
  <c r="J1654" i="1"/>
  <c r="J1655" i="1"/>
  <c r="J1656" i="1"/>
  <c r="J1657" i="1"/>
  <c r="K1650" i="1"/>
  <c r="K1651" i="1"/>
  <c r="K1652" i="1"/>
  <c r="K1653" i="1"/>
  <c r="K1654" i="1"/>
  <c r="K1655" i="1"/>
  <c r="K1656" i="1"/>
  <c r="K1657" i="1"/>
  <c r="B1649" i="1"/>
  <c r="I1649" i="1"/>
  <c r="J1649" i="1"/>
  <c r="K1649" i="1"/>
  <c r="B1641" i="1"/>
  <c r="B1642" i="1"/>
  <c r="B1643" i="1"/>
  <c r="B1644" i="1"/>
  <c r="B1645" i="1"/>
  <c r="B1646" i="1"/>
  <c r="B1647" i="1"/>
  <c r="B1648" i="1"/>
  <c r="I1641" i="1"/>
  <c r="I1642" i="1"/>
  <c r="I1643" i="1"/>
  <c r="I1644" i="1"/>
  <c r="I1645" i="1"/>
  <c r="I1646" i="1"/>
  <c r="I1647" i="1"/>
  <c r="I1648" i="1"/>
  <c r="J1641" i="1"/>
  <c r="J1642" i="1"/>
  <c r="J1643" i="1"/>
  <c r="J1644" i="1"/>
  <c r="J1645" i="1"/>
  <c r="J1646" i="1"/>
  <c r="J1647" i="1"/>
  <c r="J1648" i="1"/>
  <c r="K1641" i="1"/>
  <c r="K1642" i="1"/>
  <c r="K1643" i="1"/>
  <c r="K1644" i="1"/>
  <c r="K1645" i="1"/>
  <c r="K1646" i="1"/>
  <c r="K1647" i="1"/>
  <c r="K1648" i="1"/>
  <c r="B1640" i="1"/>
  <c r="I1640" i="1"/>
  <c r="J1640" i="1"/>
  <c r="K1640" i="1"/>
  <c r="B1632" i="1"/>
  <c r="B1633" i="1"/>
  <c r="B1634" i="1"/>
  <c r="B1635" i="1"/>
  <c r="B1636" i="1"/>
  <c r="B1637" i="1"/>
  <c r="B1638" i="1"/>
  <c r="B1639" i="1"/>
  <c r="I1632" i="1"/>
  <c r="I1633" i="1"/>
  <c r="I1634" i="1"/>
  <c r="I1635" i="1"/>
  <c r="I1636" i="1"/>
  <c r="I1637" i="1"/>
  <c r="I1638" i="1"/>
  <c r="I1639" i="1"/>
  <c r="J1632" i="1"/>
  <c r="J1633" i="1"/>
  <c r="J1634" i="1"/>
  <c r="J1635" i="1"/>
  <c r="J1636" i="1"/>
  <c r="J1637" i="1"/>
  <c r="J1638" i="1"/>
  <c r="J1639" i="1"/>
  <c r="K1632" i="1"/>
  <c r="K1633" i="1"/>
  <c r="K1634" i="1"/>
  <c r="K1635" i="1"/>
  <c r="K1636" i="1"/>
  <c r="K1637" i="1"/>
  <c r="K1638" i="1"/>
  <c r="K1639" i="1"/>
  <c r="B1631" i="1"/>
  <c r="I1631" i="1"/>
  <c r="J1631" i="1"/>
  <c r="K1631" i="1"/>
  <c r="B1623" i="1"/>
  <c r="B1624" i="1"/>
  <c r="B1625" i="1"/>
  <c r="B1626" i="1"/>
  <c r="B1627" i="1"/>
  <c r="B1628" i="1"/>
  <c r="B1629" i="1"/>
  <c r="B1630" i="1"/>
  <c r="I1623" i="1"/>
  <c r="I1624" i="1"/>
  <c r="I1625" i="1"/>
  <c r="I1626" i="1"/>
  <c r="I1627" i="1"/>
  <c r="I1628" i="1"/>
  <c r="I1629" i="1"/>
  <c r="I1630" i="1"/>
  <c r="J1623" i="1"/>
  <c r="J1624" i="1"/>
  <c r="J1625" i="1"/>
  <c r="J1626" i="1"/>
  <c r="J1627" i="1"/>
  <c r="J1628" i="1"/>
  <c r="J1629" i="1"/>
  <c r="J1630" i="1"/>
  <c r="K1623" i="1"/>
  <c r="K1624" i="1"/>
  <c r="K1625" i="1"/>
  <c r="K1626" i="1"/>
  <c r="K1627" i="1"/>
  <c r="K1628" i="1"/>
  <c r="K1629" i="1"/>
  <c r="K1630" i="1"/>
  <c r="B1622" i="1"/>
  <c r="I1622" i="1"/>
  <c r="J1622" i="1"/>
  <c r="K1622" i="1"/>
  <c r="B1614" i="1"/>
  <c r="B1615" i="1"/>
  <c r="B1616" i="1"/>
  <c r="B1617" i="1"/>
  <c r="B1618" i="1"/>
  <c r="B1619" i="1"/>
  <c r="B1620" i="1"/>
  <c r="B1621" i="1"/>
  <c r="I1614" i="1"/>
  <c r="I1615" i="1"/>
  <c r="I1616" i="1"/>
  <c r="I1617" i="1"/>
  <c r="I1618" i="1"/>
  <c r="I1619" i="1"/>
  <c r="I1620" i="1"/>
  <c r="I1621" i="1"/>
  <c r="J1614" i="1"/>
  <c r="J1615" i="1"/>
  <c r="J1616" i="1"/>
  <c r="J1617" i="1"/>
  <c r="J1618" i="1"/>
  <c r="J1619" i="1"/>
  <c r="J1620" i="1"/>
  <c r="J1621" i="1"/>
  <c r="K1614" i="1"/>
  <c r="K1615" i="1"/>
  <c r="K1616" i="1"/>
  <c r="K1617" i="1"/>
  <c r="K1618" i="1"/>
  <c r="K1619" i="1"/>
  <c r="K1620" i="1"/>
  <c r="K1621" i="1"/>
  <c r="B1613" i="1"/>
  <c r="I1613" i="1"/>
  <c r="J1613" i="1"/>
  <c r="K1613" i="1"/>
  <c r="B1605" i="1"/>
  <c r="B1606" i="1"/>
  <c r="B1607" i="1"/>
  <c r="B1608" i="1"/>
  <c r="B1609" i="1"/>
  <c r="B1610" i="1"/>
  <c r="B1611" i="1"/>
  <c r="B1612" i="1"/>
  <c r="I1605" i="1"/>
  <c r="I1606" i="1"/>
  <c r="I1607" i="1"/>
  <c r="I1608" i="1"/>
  <c r="I1609" i="1"/>
  <c r="I1610" i="1"/>
  <c r="I1611" i="1"/>
  <c r="I1612" i="1"/>
  <c r="J1605" i="1"/>
  <c r="J1606" i="1"/>
  <c r="J1607" i="1"/>
  <c r="J1608" i="1"/>
  <c r="J1609" i="1"/>
  <c r="J1610" i="1"/>
  <c r="J1611" i="1"/>
  <c r="J1612" i="1"/>
  <c r="K1605" i="1"/>
  <c r="K1606" i="1"/>
  <c r="K1607" i="1"/>
  <c r="K1608" i="1"/>
  <c r="K1609" i="1"/>
  <c r="K1610" i="1"/>
  <c r="K1611" i="1"/>
  <c r="K1612" i="1"/>
  <c r="B1604" i="1"/>
  <c r="I1604" i="1"/>
  <c r="J1604" i="1"/>
  <c r="K1604" i="1"/>
  <c r="B1596" i="1"/>
  <c r="B1597" i="1"/>
  <c r="B1598" i="1"/>
  <c r="B1599" i="1"/>
  <c r="B1600" i="1"/>
  <c r="B1601" i="1"/>
  <c r="B1602" i="1"/>
  <c r="B1603" i="1"/>
  <c r="I1596" i="1"/>
  <c r="I1597" i="1"/>
  <c r="I1598" i="1"/>
  <c r="I1599" i="1"/>
  <c r="I1600" i="1"/>
  <c r="I1601" i="1"/>
  <c r="I1602" i="1"/>
  <c r="I1603" i="1"/>
  <c r="J1596" i="1"/>
  <c r="J1597" i="1"/>
  <c r="J1598" i="1"/>
  <c r="J1599" i="1"/>
  <c r="J1600" i="1"/>
  <c r="J1601" i="1"/>
  <c r="J1602" i="1"/>
  <c r="J1603" i="1"/>
  <c r="K1596" i="1"/>
  <c r="K1597" i="1"/>
  <c r="K1598" i="1"/>
  <c r="K1599" i="1"/>
  <c r="K1600" i="1"/>
  <c r="K1601" i="1"/>
  <c r="K1602" i="1"/>
  <c r="K1603" i="1"/>
  <c r="B1595" i="1"/>
  <c r="I1595" i="1"/>
  <c r="J1595" i="1"/>
  <c r="K1595" i="1"/>
  <c r="B1587" i="1"/>
  <c r="B1588" i="1"/>
  <c r="B1589" i="1"/>
  <c r="B1590" i="1"/>
  <c r="B1591" i="1"/>
  <c r="B1592" i="1"/>
  <c r="B1593" i="1"/>
  <c r="B1594" i="1"/>
  <c r="I1587" i="1"/>
  <c r="I1588" i="1"/>
  <c r="I1589" i="1"/>
  <c r="I1590" i="1"/>
  <c r="I1591" i="1"/>
  <c r="I1592" i="1"/>
  <c r="I1593" i="1"/>
  <c r="I1594" i="1"/>
  <c r="J1587" i="1"/>
  <c r="J1588" i="1"/>
  <c r="J1589" i="1"/>
  <c r="J1590" i="1"/>
  <c r="J1591" i="1"/>
  <c r="J1592" i="1"/>
  <c r="J1593" i="1"/>
  <c r="J1594" i="1"/>
  <c r="K1587" i="1"/>
  <c r="K1588" i="1"/>
  <c r="K1589" i="1"/>
  <c r="K1590" i="1"/>
  <c r="K1591" i="1"/>
  <c r="K1592" i="1"/>
  <c r="K1593" i="1"/>
  <c r="K1594" i="1"/>
  <c r="B1586" i="1"/>
  <c r="I1586" i="1"/>
  <c r="J1586" i="1"/>
  <c r="K1586" i="1"/>
  <c r="B1578" i="1"/>
  <c r="B1579" i="1"/>
  <c r="B1580" i="1"/>
  <c r="B1581" i="1"/>
  <c r="B1582" i="1"/>
  <c r="B1583" i="1"/>
  <c r="B1584" i="1"/>
  <c r="B1585" i="1"/>
  <c r="I1578" i="1"/>
  <c r="I1579" i="1"/>
  <c r="I1580" i="1"/>
  <c r="I1581" i="1"/>
  <c r="I1582" i="1"/>
  <c r="I1583" i="1"/>
  <c r="I1584" i="1"/>
  <c r="I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B1577" i="1"/>
  <c r="I1577" i="1"/>
  <c r="J1577" i="1"/>
  <c r="K1577" i="1"/>
  <c r="B1569" i="1"/>
  <c r="B1570" i="1"/>
  <c r="B1571" i="1"/>
  <c r="B1572" i="1"/>
  <c r="B1573" i="1"/>
  <c r="B1574" i="1"/>
  <c r="B1575" i="1"/>
  <c r="B1576" i="1"/>
  <c r="I1569" i="1"/>
  <c r="I1570" i="1"/>
  <c r="I1571" i="1"/>
  <c r="I1572" i="1"/>
  <c r="I1573" i="1"/>
  <c r="I1574" i="1"/>
  <c r="I1575" i="1"/>
  <c r="I1576" i="1"/>
  <c r="J1569" i="1"/>
  <c r="J1570" i="1"/>
  <c r="J1571" i="1"/>
  <c r="J1572" i="1"/>
  <c r="J1573" i="1"/>
  <c r="J1574" i="1"/>
  <c r="J1575" i="1"/>
  <c r="J1576" i="1"/>
  <c r="K1569" i="1"/>
  <c r="K1570" i="1"/>
  <c r="K1571" i="1"/>
  <c r="K1572" i="1"/>
  <c r="K1573" i="1"/>
  <c r="K1574" i="1"/>
  <c r="K1575" i="1"/>
  <c r="K1576" i="1"/>
  <c r="B1568" i="1"/>
  <c r="I1568" i="1"/>
  <c r="J1568" i="1"/>
  <c r="K1568" i="1"/>
  <c r="I6" i="3"/>
  <c r="I5" i="3"/>
  <c r="J5" i="3" s="1"/>
  <c r="B1560" i="1"/>
  <c r="B1561" i="1"/>
  <c r="B1562" i="1"/>
  <c r="B1563" i="1"/>
  <c r="B1564" i="1"/>
  <c r="B1565" i="1"/>
  <c r="B1566" i="1"/>
  <c r="B1567" i="1"/>
  <c r="I1560" i="1"/>
  <c r="I1561" i="1"/>
  <c r="I1562" i="1"/>
  <c r="I1563" i="1"/>
  <c r="I1564" i="1"/>
  <c r="I1565" i="1"/>
  <c r="I1566" i="1"/>
  <c r="I1567" i="1"/>
  <c r="J1560" i="1"/>
  <c r="J1561" i="1"/>
  <c r="J1562" i="1"/>
  <c r="J1563" i="1"/>
  <c r="J1564" i="1"/>
  <c r="J1565" i="1"/>
  <c r="J1566" i="1"/>
  <c r="J1567" i="1"/>
  <c r="K1560" i="1"/>
  <c r="K1561" i="1"/>
  <c r="K1562" i="1"/>
  <c r="K1563" i="1"/>
  <c r="K1564" i="1"/>
  <c r="K1565" i="1"/>
  <c r="K1566" i="1"/>
  <c r="K1567" i="1"/>
  <c r="B1559" i="1"/>
  <c r="I1559" i="1"/>
  <c r="J1559" i="1"/>
  <c r="K1559" i="1"/>
  <c r="B1551" i="1"/>
  <c r="B1552" i="1"/>
  <c r="B1553" i="1"/>
  <c r="B1554" i="1"/>
  <c r="B1555" i="1"/>
  <c r="B1556" i="1"/>
  <c r="B1557" i="1"/>
  <c r="B1558" i="1"/>
  <c r="I1551" i="1"/>
  <c r="I1552" i="1"/>
  <c r="I1553" i="1"/>
  <c r="I1554" i="1"/>
  <c r="I1555" i="1"/>
  <c r="I1556" i="1"/>
  <c r="I1557" i="1"/>
  <c r="I1558" i="1"/>
  <c r="J1551" i="1"/>
  <c r="J1552" i="1"/>
  <c r="J1553" i="1"/>
  <c r="J1554" i="1"/>
  <c r="J1555" i="1"/>
  <c r="J1556" i="1"/>
  <c r="J1557" i="1"/>
  <c r="J1558" i="1"/>
  <c r="K1551" i="1"/>
  <c r="K1552" i="1"/>
  <c r="K1553" i="1"/>
  <c r="K1554" i="1"/>
  <c r="K1555" i="1"/>
  <c r="K1556" i="1"/>
  <c r="K1557" i="1"/>
  <c r="K1558" i="1"/>
  <c r="B1550" i="1"/>
  <c r="I1550" i="1"/>
  <c r="J1550" i="1"/>
  <c r="K1550" i="1"/>
  <c r="B1542" i="1"/>
  <c r="B1543" i="1"/>
  <c r="B1544" i="1"/>
  <c r="B1545" i="1"/>
  <c r="B1546" i="1"/>
  <c r="B1547" i="1"/>
  <c r="B1548" i="1"/>
  <c r="B1549" i="1"/>
  <c r="I1542" i="1"/>
  <c r="I1543" i="1"/>
  <c r="I1544" i="1"/>
  <c r="I1545" i="1"/>
  <c r="I1546" i="1"/>
  <c r="I1547" i="1"/>
  <c r="I1548" i="1"/>
  <c r="I1549" i="1"/>
  <c r="J1542" i="1"/>
  <c r="J1543" i="1"/>
  <c r="J1544" i="1"/>
  <c r="J1545" i="1"/>
  <c r="J1546" i="1"/>
  <c r="J1547" i="1"/>
  <c r="J1548" i="1"/>
  <c r="J1549" i="1"/>
  <c r="K1542" i="1"/>
  <c r="K1543" i="1"/>
  <c r="K1544" i="1"/>
  <c r="K1545" i="1"/>
  <c r="K1546" i="1"/>
  <c r="K1547" i="1"/>
  <c r="K1548" i="1"/>
  <c r="K1549" i="1"/>
  <c r="B1541" i="1"/>
  <c r="I1541" i="1"/>
  <c r="J1541" i="1"/>
  <c r="K1541" i="1"/>
  <c r="B1533" i="1"/>
  <c r="B1534" i="1"/>
  <c r="B1535" i="1"/>
  <c r="B1536" i="1"/>
  <c r="B1537" i="1"/>
  <c r="B1538" i="1"/>
  <c r="B1539" i="1"/>
  <c r="B1540" i="1"/>
  <c r="I1533" i="1"/>
  <c r="I1534" i="1"/>
  <c r="I1535" i="1"/>
  <c r="I1536" i="1"/>
  <c r="I1537" i="1"/>
  <c r="I1538" i="1"/>
  <c r="I1539" i="1"/>
  <c r="I1540" i="1"/>
  <c r="J1533" i="1"/>
  <c r="J1534" i="1"/>
  <c r="J1535" i="1"/>
  <c r="J1536" i="1"/>
  <c r="J1537" i="1"/>
  <c r="J1538" i="1"/>
  <c r="J1539" i="1"/>
  <c r="J1540" i="1"/>
  <c r="K1533" i="1"/>
  <c r="K1534" i="1"/>
  <c r="K1535" i="1"/>
  <c r="K1536" i="1"/>
  <c r="K1537" i="1"/>
  <c r="K1538" i="1"/>
  <c r="K1539" i="1"/>
  <c r="K1540" i="1"/>
  <c r="B1532" i="1"/>
  <c r="I1532" i="1"/>
  <c r="J1532" i="1"/>
  <c r="K1532" i="1"/>
  <c r="B1524" i="1"/>
  <c r="B1525" i="1"/>
  <c r="B1526" i="1"/>
  <c r="B1527" i="1"/>
  <c r="B1528" i="1"/>
  <c r="B1529" i="1"/>
  <c r="B1530" i="1"/>
  <c r="B1531" i="1"/>
  <c r="I1524" i="1"/>
  <c r="I1525" i="1"/>
  <c r="I1526" i="1"/>
  <c r="I1527" i="1"/>
  <c r="I1528" i="1"/>
  <c r="I1529" i="1"/>
  <c r="I1530" i="1"/>
  <c r="I1531" i="1"/>
  <c r="J1524" i="1"/>
  <c r="J1525" i="1"/>
  <c r="J1526" i="1"/>
  <c r="J1527" i="1"/>
  <c r="J1528" i="1"/>
  <c r="J1529" i="1"/>
  <c r="J1530" i="1"/>
  <c r="J1531" i="1"/>
  <c r="K1524" i="1"/>
  <c r="K1525" i="1"/>
  <c r="K1526" i="1"/>
  <c r="K1527" i="1"/>
  <c r="K1528" i="1"/>
  <c r="K1529" i="1"/>
  <c r="K1530" i="1"/>
  <c r="K1531" i="1"/>
  <c r="B1523" i="1"/>
  <c r="I1523" i="1"/>
  <c r="J1523" i="1"/>
  <c r="K1523" i="1"/>
  <c r="B1515" i="1"/>
  <c r="B1516" i="1"/>
  <c r="B1517" i="1"/>
  <c r="B1518" i="1"/>
  <c r="B1519" i="1"/>
  <c r="B1520" i="1"/>
  <c r="B1521" i="1"/>
  <c r="B1522" i="1"/>
  <c r="I1515" i="1"/>
  <c r="I1516" i="1"/>
  <c r="I1517" i="1"/>
  <c r="I1518" i="1"/>
  <c r="I1519" i="1"/>
  <c r="I1520" i="1"/>
  <c r="I1521" i="1"/>
  <c r="I1522" i="1"/>
  <c r="J1515" i="1"/>
  <c r="J1516" i="1"/>
  <c r="J1517" i="1"/>
  <c r="J1518" i="1"/>
  <c r="J1519" i="1"/>
  <c r="J1520" i="1"/>
  <c r="J1521" i="1"/>
  <c r="J1522" i="1"/>
  <c r="K1515" i="1"/>
  <c r="K1516" i="1"/>
  <c r="K1517" i="1"/>
  <c r="K1518" i="1"/>
  <c r="K1519" i="1"/>
  <c r="K1520" i="1"/>
  <c r="K1521" i="1"/>
  <c r="K1522" i="1"/>
  <c r="B1514" i="1"/>
  <c r="I1514" i="1"/>
  <c r="J1514" i="1"/>
  <c r="K1514" i="1"/>
  <c r="B1506" i="1"/>
  <c r="B1507" i="1"/>
  <c r="B1508" i="1"/>
  <c r="B1509" i="1"/>
  <c r="B1510" i="1"/>
  <c r="B1511" i="1"/>
  <c r="B1512" i="1"/>
  <c r="B1513" i="1"/>
  <c r="I1506" i="1"/>
  <c r="I1507" i="1"/>
  <c r="I1508" i="1"/>
  <c r="I1509" i="1"/>
  <c r="I1510" i="1"/>
  <c r="I1511" i="1"/>
  <c r="I1512" i="1"/>
  <c r="I1513" i="1"/>
  <c r="J1506" i="1"/>
  <c r="J1507" i="1"/>
  <c r="J1508" i="1"/>
  <c r="J1509" i="1"/>
  <c r="J1510" i="1"/>
  <c r="J1511" i="1"/>
  <c r="J1512" i="1"/>
  <c r="J1513" i="1"/>
  <c r="K1506" i="1"/>
  <c r="K1507" i="1"/>
  <c r="K1508" i="1"/>
  <c r="K1509" i="1"/>
  <c r="K1510" i="1"/>
  <c r="K1511" i="1"/>
  <c r="K1512" i="1"/>
  <c r="K1513" i="1"/>
  <c r="B1505" i="1"/>
  <c r="I1505" i="1"/>
  <c r="J1505" i="1"/>
  <c r="K1505" i="1"/>
  <c r="B1497" i="1"/>
  <c r="B1498" i="1"/>
  <c r="B1499" i="1"/>
  <c r="B1500" i="1"/>
  <c r="B1501" i="1"/>
  <c r="B1502" i="1"/>
  <c r="B1503" i="1"/>
  <c r="B1504" i="1"/>
  <c r="I1497" i="1"/>
  <c r="I1498" i="1"/>
  <c r="I1499" i="1"/>
  <c r="I1500" i="1"/>
  <c r="I1501" i="1"/>
  <c r="I1502" i="1"/>
  <c r="I1503" i="1"/>
  <c r="I1504" i="1"/>
  <c r="J1497" i="1"/>
  <c r="J1498" i="1"/>
  <c r="J1499" i="1"/>
  <c r="J1500" i="1"/>
  <c r="J1501" i="1"/>
  <c r="J1502" i="1"/>
  <c r="J1503" i="1"/>
  <c r="J1504" i="1"/>
  <c r="K1497" i="1"/>
  <c r="K1498" i="1"/>
  <c r="K1499" i="1"/>
  <c r="K1500" i="1"/>
  <c r="K1501" i="1"/>
  <c r="K1502" i="1"/>
  <c r="K1503" i="1"/>
  <c r="K1504" i="1"/>
  <c r="B1496" i="1"/>
  <c r="I1496" i="1"/>
  <c r="J1496" i="1"/>
  <c r="K1496" i="1"/>
  <c r="B1488" i="1"/>
  <c r="B1489" i="1"/>
  <c r="B1490" i="1"/>
  <c r="B1491" i="1"/>
  <c r="B1492" i="1"/>
  <c r="B1493" i="1"/>
  <c r="B1494" i="1"/>
  <c r="B1495" i="1"/>
  <c r="I1488" i="1"/>
  <c r="I1489" i="1"/>
  <c r="I1490" i="1"/>
  <c r="I1491" i="1"/>
  <c r="I1492" i="1"/>
  <c r="I1493" i="1"/>
  <c r="I1494" i="1"/>
  <c r="I1495" i="1"/>
  <c r="J1488" i="1"/>
  <c r="J1489" i="1"/>
  <c r="J1490" i="1"/>
  <c r="J1491" i="1"/>
  <c r="J1492" i="1"/>
  <c r="J1493" i="1"/>
  <c r="J1494" i="1"/>
  <c r="J1495" i="1"/>
  <c r="K1488" i="1"/>
  <c r="K1489" i="1"/>
  <c r="K1490" i="1"/>
  <c r="K1491" i="1"/>
  <c r="K1492" i="1"/>
  <c r="K1493" i="1"/>
  <c r="K1494" i="1"/>
  <c r="K1495" i="1"/>
  <c r="B1487" i="1"/>
  <c r="I1487" i="1"/>
  <c r="J1487" i="1"/>
  <c r="K1487" i="1"/>
  <c r="B1479" i="1"/>
  <c r="B1480" i="1"/>
  <c r="B1481" i="1"/>
  <c r="B1482" i="1"/>
  <c r="B1483" i="1"/>
  <c r="B1484" i="1"/>
  <c r="B1485" i="1"/>
  <c r="B1486" i="1"/>
  <c r="I1479" i="1"/>
  <c r="I1480" i="1"/>
  <c r="I1481" i="1"/>
  <c r="I1482" i="1"/>
  <c r="I1483" i="1"/>
  <c r="I1484" i="1"/>
  <c r="I1485" i="1"/>
  <c r="I1486" i="1"/>
  <c r="J1479" i="1"/>
  <c r="J1480" i="1"/>
  <c r="J1481" i="1"/>
  <c r="J1482" i="1"/>
  <c r="J1483" i="1"/>
  <c r="J1484" i="1"/>
  <c r="J1485" i="1"/>
  <c r="J1486" i="1"/>
  <c r="K1479" i="1"/>
  <c r="K1480" i="1"/>
  <c r="K1481" i="1"/>
  <c r="K1482" i="1"/>
  <c r="K1483" i="1"/>
  <c r="K1484" i="1"/>
  <c r="K1485" i="1"/>
  <c r="K1486" i="1"/>
  <c r="B1478" i="1"/>
  <c r="I1478" i="1"/>
  <c r="J1478" i="1"/>
  <c r="K1478" i="1"/>
  <c r="B1470" i="1"/>
  <c r="B1471" i="1"/>
  <c r="B1472" i="1"/>
  <c r="B1473" i="1"/>
  <c r="B1474" i="1"/>
  <c r="B1475" i="1"/>
  <c r="B1476" i="1"/>
  <c r="B1477" i="1"/>
  <c r="I1470" i="1"/>
  <c r="I1471" i="1"/>
  <c r="I1472" i="1"/>
  <c r="I1473" i="1"/>
  <c r="I1474" i="1"/>
  <c r="I1475" i="1"/>
  <c r="I1476" i="1"/>
  <c r="I1477" i="1"/>
  <c r="J1470" i="1"/>
  <c r="J1471" i="1"/>
  <c r="J1472" i="1"/>
  <c r="J1473" i="1"/>
  <c r="J1474" i="1"/>
  <c r="J1475" i="1"/>
  <c r="J1476" i="1"/>
  <c r="J1477" i="1"/>
  <c r="K1470" i="1"/>
  <c r="K1471" i="1"/>
  <c r="K1472" i="1"/>
  <c r="K1473" i="1"/>
  <c r="K1474" i="1"/>
  <c r="K1475" i="1"/>
  <c r="K1476" i="1"/>
  <c r="K1477" i="1"/>
  <c r="B1469" i="1"/>
  <c r="I1469" i="1"/>
  <c r="J1469" i="1"/>
  <c r="K1469" i="1"/>
  <c r="B1461" i="1"/>
  <c r="B1462" i="1"/>
  <c r="B1463" i="1"/>
  <c r="B1464" i="1"/>
  <c r="B1465" i="1"/>
  <c r="B1466" i="1"/>
  <c r="B1467" i="1"/>
  <c r="B1468" i="1"/>
  <c r="I1461" i="1"/>
  <c r="I1462" i="1"/>
  <c r="I1463" i="1"/>
  <c r="I1464" i="1"/>
  <c r="I1465" i="1"/>
  <c r="I1466" i="1"/>
  <c r="I1467" i="1"/>
  <c r="I1468" i="1"/>
  <c r="J1461" i="1"/>
  <c r="J1462" i="1"/>
  <c r="J1463" i="1"/>
  <c r="J1464" i="1"/>
  <c r="J1465" i="1"/>
  <c r="J1466" i="1"/>
  <c r="J1467" i="1"/>
  <c r="J1468" i="1"/>
  <c r="K1461" i="1"/>
  <c r="K1462" i="1"/>
  <c r="K1463" i="1"/>
  <c r="K1464" i="1"/>
  <c r="K1465" i="1"/>
  <c r="K1466" i="1"/>
  <c r="K1467" i="1"/>
  <c r="K1468" i="1"/>
  <c r="B1460" i="1"/>
  <c r="I1460" i="1"/>
  <c r="J1460" i="1"/>
  <c r="K1460" i="1"/>
  <c r="B1452" i="1"/>
  <c r="B1453" i="1"/>
  <c r="B1454" i="1"/>
  <c r="B1455" i="1"/>
  <c r="B1456" i="1"/>
  <c r="B1457" i="1"/>
  <c r="B1458" i="1"/>
  <c r="B1459" i="1"/>
  <c r="I1452" i="1"/>
  <c r="I1453" i="1"/>
  <c r="I1454" i="1"/>
  <c r="I1455" i="1"/>
  <c r="I1456" i="1"/>
  <c r="I1457" i="1"/>
  <c r="I1458" i="1"/>
  <c r="I1459" i="1"/>
  <c r="J1452" i="1"/>
  <c r="J1453" i="1"/>
  <c r="J1454" i="1"/>
  <c r="J1455" i="1"/>
  <c r="J1456" i="1"/>
  <c r="J1457" i="1"/>
  <c r="J1458" i="1"/>
  <c r="J1459" i="1"/>
  <c r="K1452" i="1"/>
  <c r="K1453" i="1"/>
  <c r="K1454" i="1"/>
  <c r="K1455" i="1"/>
  <c r="K1456" i="1"/>
  <c r="K1457" i="1"/>
  <c r="K1458" i="1"/>
  <c r="K1459" i="1"/>
  <c r="B1451" i="1"/>
  <c r="I1451" i="1"/>
  <c r="J1451" i="1"/>
  <c r="K1451" i="1"/>
  <c r="B1443" i="1"/>
  <c r="B1444" i="1"/>
  <c r="B1445" i="1"/>
  <c r="B1446" i="1"/>
  <c r="B1447" i="1"/>
  <c r="B1448" i="1"/>
  <c r="B1449" i="1"/>
  <c r="B1450" i="1"/>
  <c r="I1443" i="1"/>
  <c r="I1444" i="1"/>
  <c r="I1445" i="1"/>
  <c r="I1446" i="1"/>
  <c r="I1447" i="1"/>
  <c r="I1448" i="1"/>
  <c r="I1449" i="1"/>
  <c r="I1450" i="1"/>
  <c r="J1443" i="1"/>
  <c r="J1444" i="1"/>
  <c r="J1445" i="1"/>
  <c r="J1446" i="1"/>
  <c r="J1447" i="1"/>
  <c r="J1448" i="1"/>
  <c r="J1449" i="1"/>
  <c r="J1450" i="1"/>
  <c r="K1443" i="1"/>
  <c r="K1444" i="1"/>
  <c r="K1445" i="1"/>
  <c r="K1446" i="1"/>
  <c r="K1447" i="1"/>
  <c r="K1448" i="1"/>
  <c r="K1449" i="1"/>
  <c r="K1450" i="1"/>
  <c r="B1442" i="1"/>
  <c r="I1442" i="1"/>
  <c r="J1442" i="1"/>
  <c r="K1442" i="1"/>
  <c r="B1434" i="1"/>
  <c r="B1435" i="1"/>
  <c r="B1436" i="1"/>
  <c r="B1437" i="1"/>
  <c r="B1438" i="1"/>
  <c r="B1439" i="1"/>
  <c r="B1440" i="1"/>
  <c r="B1441" i="1"/>
  <c r="I1434" i="1"/>
  <c r="I1435" i="1"/>
  <c r="I1436" i="1"/>
  <c r="I1437" i="1"/>
  <c r="I1438" i="1"/>
  <c r="I1439" i="1"/>
  <c r="I1440" i="1"/>
  <c r="I1441" i="1"/>
  <c r="J1434" i="1"/>
  <c r="J1435" i="1"/>
  <c r="J1436" i="1"/>
  <c r="J1437" i="1"/>
  <c r="J1438" i="1"/>
  <c r="J1439" i="1"/>
  <c r="J1440" i="1"/>
  <c r="J1441" i="1"/>
  <c r="K1434" i="1"/>
  <c r="K1435" i="1"/>
  <c r="K1436" i="1"/>
  <c r="K1437" i="1"/>
  <c r="K1438" i="1"/>
  <c r="K1439" i="1"/>
  <c r="K1440" i="1"/>
  <c r="K1441" i="1"/>
  <c r="B1433" i="1"/>
  <c r="I1433" i="1"/>
  <c r="J1433" i="1"/>
  <c r="K1433" i="1"/>
  <c r="B1425" i="1"/>
  <c r="B1426" i="1"/>
  <c r="B1427" i="1"/>
  <c r="B1428" i="1"/>
  <c r="B1429" i="1"/>
  <c r="B1430" i="1"/>
  <c r="B1431" i="1"/>
  <c r="B1432" i="1"/>
  <c r="I1425" i="1"/>
  <c r="I1426" i="1"/>
  <c r="I1427" i="1"/>
  <c r="I1428" i="1"/>
  <c r="I1429" i="1"/>
  <c r="I1430" i="1"/>
  <c r="I1431" i="1"/>
  <c r="I1432" i="1"/>
  <c r="J1425" i="1"/>
  <c r="J1426" i="1"/>
  <c r="J1427" i="1"/>
  <c r="J1428" i="1"/>
  <c r="J1429" i="1"/>
  <c r="J1430" i="1"/>
  <c r="J1431" i="1"/>
  <c r="J1432" i="1"/>
  <c r="K1425" i="1"/>
  <c r="K1426" i="1"/>
  <c r="K1427" i="1"/>
  <c r="K1428" i="1"/>
  <c r="K1429" i="1"/>
  <c r="K1430" i="1"/>
  <c r="K1431" i="1"/>
  <c r="K1432" i="1"/>
  <c r="B1424" i="1"/>
  <c r="I1424" i="1"/>
  <c r="J1424" i="1"/>
  <c r="K1424" i="1"/>
  <c r="B1416" i="1"/>
  <c r="B1417" i="1"/>
  <c r="B1418" i="1"/>
  <c r="B1419" i="1"/>
  <c r="B1420" i="1"/>
  <c r="B1421" i="1"/>
  <c r="B1422" i="1"/>
  <c r="B1423" i="1"/>
  <c r="I1416" i="1"/>
  <c r="I1417" i="1"/>
  <c r="I1418" i="1"/>
  <c r="I1419" i="1"/>
  <c r="I1420" i="1"/>
  <c r="I1421" i="1"/>
  <c r="I1422" i="1"/>
  <c r="I1423" i="1"/>
  <c r="J1416" i="1"/>
  <c r="J1417" i="1"/>
  <c r="J1418" i="1"/>
  <c r="J1419" i="1"/>
  <c r="J1420" i="1"/>
  <c r="J1421" i="1"/>
  <c r="J1422" i="1"/>
  <c r="J1423" i="1"/>
  <c r="K1416" i="1"/>
  <c r="K1417" i="1"/>
  <c r="K1418" i="1"/>
  <c r="K1419" i="1"/>
  <c r="K1420" i="1"/>
  <c r="K1421" i="1"/>
  <c r="K1422" i="1"/>
  <c r="K1423" i="1"/>
  <c r="B1415" i="1"/>
  <c r="I1415" i="1"/>
  <c r="J1415" i="1"/>
  <c r="K1415" i="1"/>
  <c r="B1407" i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K2" i="2"/>
  <c r="L2" i="2"/>
  <c r="K3" i="2"/>
  <c r="L3" i="2"/>
  <c r="K4" i="2"/>
  <c r="L4" i="2"/>
  <c r="K5" i="2"/>
  <c r="L5" i="2"/>
  <c r="K6" i="2"/>
  <c r="L6" i="2"/>
  <c r="K7" i="2"/>
  <c r="L7" i="2"/>
  <c r="K8" i="2"/>
  <c r="L8" i="2"/>
  <c r="K9" i="2"/>
  <c r="L9" i="2"/>
  <c r="K10" i="2"/>
  <c r="L10" i="2"/>
  <c r="K11" i="2"/>
  <c r="L11" i="2"/>
  <c r="K12" i="2"/>
  <c r="L12" i="2"/>
  <c r="K13" i="2"/>
  <c r="L13" i="2"/>
  <c r="K14" i="2"/>
  <c r="L14" i="2"/>
  <c r="K15" i="2"/>
  <c r="L15" i="2"/>
  <c r="K16" i="2"/>
  <c r="L16" i="2"/>
  <c r="K17" i="2"/>
  <c r="L17" i="2"/>
  <c r="K18" i="2"/>
  <c r="L18" i="2"/>
  <c r="K19" i="2"/>
  <c r="L19" i="2"/>
  <c r="K20" i="2"/>
  <c r="L20" i="2"/>
  <c r="K21" i="2"/>
  <c r="L21" i="2"/>
  <c r="K22" i="2"/>
  <c r="L22" i="2"/>
  <c r="K23" i="2"/>
  <c r="L23" i="2"/>
  <c r="K24" i="2"/>
  <c r="L24" i="2"/>
  <c r="K25" i="2"/>
  <c r="L25" i="2"/>
  <c r="K26" i="2"/>
  <c r="L26" i="2"/>
  <c r="K27" i="2"/>
  <c r="L27" i="2"/>
  <c r="K28" i="2"/>
  <c r="L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<sst xmlns="http://schemas.openxmlformats.org/spreadsheetml/2006/main" count="3580" uniqueCount="46">
  <si>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</si>
  <si>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</si>
  <si>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</si>
  <si>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</si>
  <si>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</si>
  <si>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</si>
  <si>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</si>
  <si>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</si>
  <si>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</si>
  <si>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</si>
  <si>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</si>
  <si>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</si>
  <si>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</si>
  <si>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</si>
  <si>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</si>
  <si>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</si>
  <si>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</si>
  <si>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</si>
  <si>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</si>
  <si>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</si>
  <si>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</si>
  <si>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</si>
  <si>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</si>
  <si>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</si>
  <si>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</si>
  <si>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</si>
  <si>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</si>
  <si>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</si>
  <si>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</si>
  <si>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</si>
  <si>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</si>
  <si>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</si>
  <si>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</si>
  <si>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</si>
  <si>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</si>
  <si>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</si>
  <si>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</si>
  <si>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</si>
  <si>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</si>
  <si>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</si>
  <si>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</si>
  <si>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</si>
  <si>
    <t>FOR. JULHO</t>
  </si>
  <si>
    <t>FOR. AGOSTO</t>
  </si>
  <si>
    <t>FOR. SETEMBRO</t>
  </si>
  <si>
    <t>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</si>
</sst>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2" fontId="6" fillId="0" borderId="0" xfId="1" applyNumberFormat="1" applyFont="1" applyFill="1" applyBorder="1" applyAlignment="1">
      <alignment horizontal="center"/>
    </xf>
    <xf numFmtId="14" fontId="6" fillId="0" borderId="0" xfId="0" applyNumberFormat="1" applyFont="1" applyFill="1" applyAlignment="1">
      <alignment horizontal="center"/>
    </xf>
    <xf numFmtId="0" fontId="6" fillId="0" borderId="0" xfId="0" applyNumberFormat="1" applyFont="1" applyFill="1" applyAlignment="1">
      <alignment horizontal="center"/>
    </xf>
    <xf numFmtId="3" fontId="6" fillId="0" borderId="0" xfId="0" applyNumberFormat="1" applyFont="1" applyFill="1" applyAlignment="1">
      <alignment horizontal="center"/>
    </xf>
    <xf numFmtId="1" fontId="6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756" totalsRowShown="0" headerRowDxfId="13" dataDxfId="12" tableBorderDxfId="11">
  <autoFilter ref="A1:K1756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869"/>
  <sheetViews>
    <sheetView showGridLines="0" tabSelected="1" zoomScale="90" zoomScaleNormal="90" zoomScaleSheetLayoutView="70" workbookViewId="0">
      <pane ySplit="1" topLeftCell="A1738" activePane="bottomLeft" state="frozen"/>
      <selection pane="bottomLeft" activeCell="K1760" sqref="K1760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11">
        <v>46253</v>
      </c>
      <c r="B1397" s="12" t="str">
        <f>UPPER(TEXT(A1397,"MMMM"))</f>
        <v>AGOSTO</v>
      </c>
      <c r="C1397" s="12" t="s">
        <v>15</v>
      </c>
      <c r="D1397" s="12" t="s">
        <v>12</v>
      </c>
      <c r="E1397" s="13">
        <v>97.5</v>
      </c>
      <c r="F1397" s="13">
        <v>70</v>
      </c>
      <c r="G1397" s="12">
        <v>6.5</v>
      </c>
      <c r="H1397" s="14">
        <v>6.5</v>
      </c>
      <c r="I1397" s="12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 x14ac:dyDescent="0.3">
      <c r="A1398" s="11">
        <v>46253</v>
      </c>
      <c r="B1398" s="12" t="str">
        <f t="shared" ref="B1398:B1405" si="154">UPPER(TEXT(A1398,"MMMM"))</f>
        <v>AGOSTO</v>
      </c>
      <c r="C1398" s="12" t="s">
        <v>16</v>
      </c>
      <c r="D1398" s="12" t="s">
        <v>12</v>
      </c>
      <c r="E1398" s="13">
        <v>221</v>
      </c>
      <c r="F1398" s="13">
        <v>213</v>
      </c>
      <c r="G1398" s="12">
        <v>6.5</v>
      </c>
      <c r="H1398" s="14">
        <v>6.5</v>
      </c>
      <c r="I1398" s="12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 x14ac:dyDescent="0.3">
      <c r="A1399" s="11">
        <v>46253</v>
      </c>
      <c r="B1399" s="12" t="str">
        <f t="shared" si="154"/>
        <v>AGOSTO</v>
      </c>
      <c r="C1399" s="12" t="s">
        <v>17</v>
      </c>
      <c r="D1399" s="12" t="s">
        <v>12</v>
      </c>
      <c r="E1399" s="13">
        <v>308</v>
      </c>
      <c r="F1399" s="13">
        <v>241</v>
      </c>
      <c r="G1399" s="12">
        <v>14</v>
      </c>
      <c r="H1399" s="14">
        <v>14</v>
      </c>
      <c r="I1399" s="12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 x14ac:dyDescent="0.3">
      <c r="A1400" s="11">
        <v>46253</v>
      </c>
      <c r="B1400" s="12" t="str">
        <f t="shared" si="154"/>
        <v>AGOSTO</v>
      </c>
      <c r="C1400" s="12" t="s">
        <v>18</v>
      </c>
      <c r="D1400" s="12" t="s">
        <v>12</v>
      </c>
      <c r="E1400" s="13"/>
      <c r="F1400" s="13"/>
      <c r="G1400" s="12"/>
      <c r="H1400" s="14"/>
      <c r="I1400" s="12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 x14ac:dyDescent="0.3">
      <c r="A1401" s="11">
        <v>46253</v>
      </c>
      <c r="B1401" s="12" t="str">
        <f t="shared" si="154"/>
        <v>AGOSTO</v>
      </c>
      <c r="C1401" s="12" t="s">
        <v>19</v>
      </c>
      <c r="D1401" s="12" t="s">
        <v>12</v>
      </c>
      <c r="E1401" s="13"/>
      <c r="F1401" s="13"/>
      <c r="G1401" s="12"/>
      <c r="H1401" s="14"/>
      <c r="I1401" s="12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 x14ac:dyDescent="0.3">
      <c r="A1402" s="11">
        <v>46253</v>
      </c>
      <c r="B1402" s="12" t="str">
        <f t="shared" si="154"/>
        <v>AGOSTO</v>
      </c>
      <c r="C1402" s="12" t="s">
        <v>20</v>
      </c>
      <c r="D1402" s="12" t="s">
        <v>12</v>
      </c>
      <c r="E1402" s="13">
        <v>624</v>
      </c>
      <c r="F1402" s="13">
        <v>524</v>
      </c>
      <c r="G1402" s="12">
        <v>90</v>
      </c>
      <c r="H1402" s="14">
        <v>90</v>
      </c>
      <c r="I1402" s="12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 x14ac:dyDescent="0.3">
      <c r="A1403" s="11">
        <v>46253</v>
      </c>
      <c r="B1403" s="12" t="str">
        <f t="shared" si="154"/>
        <v>AGOSTO</v>
      </c>
      <c r="C1403" s="12" t="s">
        <v>11</v>
      </c>
      <c r="D1403" s="12" t="s">
        <v>12</v>
      </c>
      <c r="E1403" s="13">
        <v>800</v>
      </c>
      <c r="F1403" s="13">
        <v>768</v>
      </c>
      <c r="G1403" s="12">
        <v>40</v>
      </c>
      <c r="H1403" s="14">
        <v>40</v>
      </c>
      <c r="I1403" s="12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 x14ac:dyDescent="0.3">
      <c r="A1404" s="11">
        <v>46253</v>
      </c>
      <c r="B1404" s="12" t="str">
        <f t="shared" si="154"/>
        <v>AGOSTO</v>
      </c>
      <c r="C1404" s="12" t="s">
        <v>32</v>
      </c>
      <c r="D1404" s="12" t="s">
        <v>12</v>
      </c>
      <c r="E1404" s="13">
        <v>44</v>
      </c>
      <c r="F1404" s="13">
        <v>36</v>
      </c>
      <c r="G1404" s="12">
        <v>4</v>
      </c>
      <c r="H1404" s="14">
        <v>4</v>
      </c>
      <c r="I1404" s="12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 x14ac:dyDescent="0.3">
      <c r="A1405" s="11">
        <v>46253</v>
      </c>
      <c r="B1405" s="12" t="str">
        <f t="shared" si="154"/>
        <v>AGOSTO</v>
      </c>
      <c r="C1405" s="12" t="s">
        <v>14</v>
      </c>
      <c r="D1405" s="12" t="s">
        <v>12</v>
      </c>
      <c r="E1405" s="13">
        <v>844</v>
      </c>
      <c r="F1405" s="13">
        <v>804</v>
      </c>
      <c r="G1405" s="12">
        <v>95</v>
      </c>
      <c r="H1405" s="14">
        <v>95</v>
      </c>
      <c r="I1405" s="12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 x14ac:dyDescent="0.3">
      <c r="A1406" s="11">
        <v>46254</v>
      </c>
      <c r="B1406" s="12" t="str">
        <f>UPPER(TEXT(A1406,"MMMM"))</f>
        <v>AGOSTO</v>
      </c>
      <c r="C1406" s="12" t="s">
        <v>15</v>
      </c>
      <c r="D1406" s="12" t="s">
        <v>12</v>
      </c>
      <c r="E1406" s="13">
        <v>75</v>
      </c>
      <c r="F1406" s="13">
        <v>0</v>
      </c>
      <c r="G1406" s="12">
        <v>5</v>
      </c>
      <c r="H1406" s="14">
        <v>5</v>
      </c>
      <c r="I1406" s="12">
        <f>IFERROR(IF(T_PROD[[#This Row],[PREVISTO]]-T_PROD[[#This Row],[EFETIVO]]&lt; 0,0,T_PROD[[#This Row],[PREVISTO]]-T_PROD[[#This Row],[EFETIVO]] ),"")</f>
        <v>0</v>
      </c>
      <c r="J1406" s="15">
        <f>IFERROR(IF(T_PROD[[#This Row],[META]]&gt;0,(T_PROD[[#This Row],[META]]/T_PROD[[#This Row],[PREVISTO]]),""),"")</f>
        <v>15</v>
      </c>
      <c r="K1406" s="15" t="str">
        <f>IFERROR(IF(T_PROD[[#This Row],[PRODUÇÃO]]&gt;0,(T_PROD[[#This Row],[PRODUÇÃO]]/T_PROD[[#This Row],[EFETIVO]]),""),"")</f>
        <v/>
      </c>
    </row>
    <row r="1407" spans="1:11" x14ac:dyDescent="0.3">
      <c r="A1407" s="11">
        <v>46254</v>
      </c>
      <c r="B1407" s="12" t="str">
        <f t="shared" ref="B1407:B1414" si="155">UPPER(TEXT(A1407,"MMMM"))</f>
        <v>AGOSTO</v>
      </c>
      <c r="C1407" s="12" t="s">
        <v>16</v>
      </c>
      <c r="D1407" s="12" t="s">
        <v>12</v>
      </c>
      <c r="E1407" s="13">
        <v>238</v>
      </c>
      <c r="F1407" s="13">
        <v>187</v>
      </c>
      <c r="G1407" s="12">
        <v>7</v>
      </c>
      <c r="H1407" s="14">
        <v>7</v>
      </c>
      <c r="I1407" s="12">
        <f>IFERROR(IF(T_PROD[[#This Row],[PREVISTO]]-T_PROD[[#This Row],[EFETIVO]]&lt; 0,0,T_PROD[[#This Row],[PREVISTO]]-T_PROD[[#This Row],[EFETIVO]] ),"")</f>
        <v>0</v>
      </c>
      <c r="J1407" s="15">
        <f>IFERROR(IF(T_PROD[[#This Row],[META]]&gt;0,(T_PROD[[#This Row],[META]]/T_PROD[[#This Row],[PREVISTO]]),""),"")</f>
        <v>34</v>
      </c>
      <c r="K1407" s="15">
        <f>IFERROR(IF(T_PROD[[#This Row],[PRODUÇÃO]]&gt;0,(T_PROD[[#This Row],[PRODUÇÃO]]/T_PROD[[#This Row],[EFETIVO]]),""),"")</f>
        <v>26.714285714285715</v>
      </c>
    </row>
    <row r="1408" spans="1:11" x14ac:dyDescent="0.3">
      <c r="A1408" s="11">
        <v>46254</v>
      </c>
      <c r="B1408" s="12" t="str">
        <f t="shared" si="155"/>
        <v>AGOSTO</v>
      </c>
      <c r="C1408" s="12" t="s">
        <v>17</v>
      </c>
      <c r="D1408" s="12" t="s">
        <v>12</v>
      </c>
      <c r="E1408" s="13">
        <v>330</v>
      </c>
      <c r="F1408" s="13">
        <v>223</v>
      </c>
      <c r="G1408" s="12">
        <v>15</v>
      </c>
      <c r="H1408" s="14">
        <v>15</v>
      </c>
      <c r="I1408" s="12">
        <f>IFERROR(IF(T_PROD[[#This Row],[PREVISTO]]-T_PROD[[#This Row],[EFETIVO]]&lt; 0,0,T_PROD[[#This Row],[PREVISTO]]-T_PROD[[#This Row],[EFETIVO]] ),"")</f>
        <v>0</v>
      </c>
      <c r="J1408" s="15">
        <f>IFERROR(IF(T_PROD[[#This Row],[META]]&gt;0,(T_PROD[[#This Row],[META]]/T_PROD[[#This Row],[PREVISTO]]),""),"")</f>
        <v>22</v>
      </c>
      <c r="K1408" s="15">
        <f>IFERROR(IF(T_PROD[[#This Row],[PRODUÇÃO]]&gt;0,(T_PROD[[#This Row],[PRODUÇÃO]]/T_PROD[[#This Row],[EFETIVO]]),""),"")</f>
        <v>14.866666666666667</v>
      </c>
    </row>
    <row r="1409" spans="1:11" x14ac:dyDescent="0.3">
      <c r="A1409" s="11">
        <v>46254</v>
      </c>
      <c r="B1409" s="12" t="str">
        <f t="shared" si="155"/>
        <v>AGOSTO</v>
      </c>
      <c r="C1409" s="12" t="s">
        <v>18</v>
      </c>
      <c r="D1409" s="12" t="s">
        <v>12</v>
      </c>
      <c r="E1409" s="13"/>
      <c r="F1409" s="13"/>
      <c r="G1409" s="12"/>
      <c r="H1409" s="14"/>
      <c r="I1409" s="12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 x14ac:dyDescent="0.3">
      <c r="A1410" s="11">
        <v>46254</v>
      </c>
      <c r="B1410" s="12" t="str">
        <f t="shared" si="155"/>
        <v>AGOSTO</v>
      </c>
      <c r="C1410" s="12" t="s">
        <v>19</v>
      </c>
      <c r="D1410" s="12" t="s">
        <v>12</v>
      </c>
      <c r="E1410" s="13"/>
      <c r="F1410" s="13"/>
      <c r="G1410" s="12"/>
      <c r="H1410" s="14"/>
      <c r="I1410" s="12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 x14ac:dyDescent="0.3">
      <c r="A1411" s="11">
        <v>46254</v>
      </c>
      <c r="B1411" s="12" t="str">
        <f t="shared" si="155"/>
        <v>AGOSTO</v>
      </c>
      <c r="C1411" s="12" t="s">
        <v>20</v>
      </c>
      <c r="D1411" s="12" t="s">
        <v>12</v>
      </c>
      <c r="E1411" s="13">
        <v>643</v>
      </c>
      <c r="F1411" s="13">
        <v>410</v>
      </c>
      <c r="G1411" s="12">
        <v>90</v>
      </c>
      <c r="H1411" s="14">
        <v>90</v>
      </c>
      <c r="I1411" s="12">
        <f>IFERROR(IF(T_PROD[[#This Row],[PREVISTO]]-T_PROD[[#This Row],[EFETIVO]]&lt; 0,0,T_PROD[[#This Row],[PREVISTO]]-T_PROD[[#This Row],[EFETIVO]] ),"")</f>
        <v>0</v>
      </c>
      <c r="J1411" s="15">
        <f>IFERROR(IF(T_PROD[[#This Row],[META]]&gt;0,(T_PROD[[#This Row],[META]]/T_PROD[[#This Row],[PREVISTO]]),""),"")</f>
        <v>7.1444444444444448</v>
      </c>
      <c r="K1411" s="15">
        <f>IFERROR(IF(T_PROD[[#This Row],[PRODUÇÃO]]&gt;0,(T_PROD[[#This Row],[PRODUÇÃO]]/T_PROD[[#This Row],[EFETIVO]]),""),"")</f>
        <v>4.5555555555555554</v>
      </c>
    </row>
    <row r="1412" spans="1:11" x14ac:dyDescent="0.3">
      <c r="A1412" s="11">
        <v>46254</v>
      </c>
      <c r="B1412" s="12" t="str">
        <f t="shared" si="155"/>
        <v>AGOSTO</v>
      </c>
      <c r="C1412" s="12" t="s">
        <v>11</v>
      </c>
      <c r="D1412" s="12" t="s">
        <v>12</v>
      </c>
      <c r="E1412" s="13">
        <v>800</v>
      </c>
      <c r="F1412" s="13">
        <v>780</v>
      </c>
      <c r="G1412" s="12">
        <v>40</v>
      </c>
      <c r="H1412" s="14">
        <v>40</v>
      </c>
      <c r="I1412" s="12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 x14ac:dyDescent="0.3">
      <c r="A1413" s="11">
        <v>46254</v>
      </c>
      <c r="B1413" s="12" t="str">
        <f t="shared" si="155"/>
        <v>AGOSTO</v>
      </c>
      <c r="C1413" s="12" t="s">
        <v>32</v>
      </c>
      <c r="D1413" s="12" t="s">
        <v>12</v>
      </c>
      <c r="E1413" s="13">
        <v>55</v>
      </c>
      <c r="F1413" s="13">
        <v>63</v>
      </c>
      <c r="G1413" s="12">
        <v>5</v>
      </c>
      <c r="H1413" s="14">
        <v>5</v>
      </c>
      <c r="I1413" s="12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 x14ac:dyDescent="0.3">
      <c r="A1414" s="11">
        <v>46254</v>
      </c>
      <c r="B1414" s="12" t="str">
        <f t="shared" si="155"/>
        <v>AGOSTO</v>
      </c>
      <c r="C1414" s="12" t="s">
        <v>14</v>
      </c>
      <c r="D1414" s="12" t="s">
        <v>12</v>
      </c>
      <c r="E1414" s="13">
        <v>855</v>
      </c>
      <c r="F1414" s="13">
        <v>843</v>
      </c>
      <c r="G1414" s="12">
        <v>95</v>
      </c>
      <c r="H1414" s="14">
        <v>93</v>
      </c>
      <c r="I1414" s="12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 x14ac:dyDescent="0.3">
      <c r="A1415" s="11">
        <v>46255</v>
      </c>
      <c r="B1415" s="12" t="str">
        <f>UPPER(TEXT(A1415,"MMMM"))</f>
        <v>AGOSTO</v>
      </c>
      <c r="C1415" s="12" t="s">
        <v>15</v>
      </c>
      <c r="D1415" s="12" t="s">
        <v>12</v>
      </c>
      <c r="E1415" s="13"/>
      <c r="F1415" s="13"/>
      <c r="G1415" s="12"/>
      <c r="H1415" s="14"/>
      <c r="I1415" s="12">
        <f>IFERROR(IF(T_PROD[[#This Row],[PREVISTO]]-T_PROD[[#This Row],[EFETIVO]]&lt; 0,0,T_PROD[[#This Row],[PREVISTO]]-T_PROD[[#This Row],[EFETIVO]] ),"")</f>
        <v>0</v>
      </c>
      <c r="J1415" s="15" t="str">
        <f>IFERROR(IF(T_PROD[[#This Row],[META]]&gt;0,(T_PROD[[#This Row],[META]]/T_PROD[[#This Row],[PREVISTO]]),""),"")</f>
        <v/>
      </c>
      <c r="K1415" s="15" t="str">
        <f>IFERROR(IF(T_PROD[[#This Row],[PRODUÇÃO]]&gt;0,(T_PROD[[#This Row],[PRODUÇÃO]]/T_PROD[[#This Row],[EFETIVO]]),""),"")</f>
        <v/>
      </c>
    </row>
    <row r="1416" spans="1:11" x14ac:dyDescent="0.3">
      <c r="A1416" s="11">
        <v>46255</v>
      </c>
      <c r="B1416" s="12" t="str">
        <f t="shared" ref="B1416:B1423" si="156">UPPER(TEXT(A1416,"MMMM"))</f>
        <v>AGOSTO</v>
      </c>
      <c r="C1416" s="12" t="s">
        <v>16</v>
      </c>
      <c r="D1416" s="12" t="s">
        <v>12</v>
      </c>
      <c r="E1416" s="13">
        <v>238</v>
      </c>
      <c r="F1416" s="13">
        <v>169</v>
      </c>
      <c r="G1416" s="12">
        <v>7</v>
      </c>
      <c r="H1416" s="14">
        <v>7</v>
      </c>
      <c r="I1416" s="12">
        <f>IFERROR(IF(T_PROD[[#This Row],[PREVISTO]]-T_PROD[[#This Row],[EFETIVO]]&lt; 0,0,T_PROD[[#This Row],[PREVISTO]]-T_PROD[[#This Row],[EFETIVO]] ),"")</f>
        <v>0</v>
      </c>
      <c r="J1416" s="15">
        <f>IFERROR(IF(T_PROD[[#This Row],[META]]&gt;0,(T_PROD[[#This Row],[META]]/T_PROD[[#This Row],[PREVISTO]]),""),"")</f>
        <v>34</v>
      </c>
      <c r="K1416" s="15">
        <f>IFERROR(IF(T_PROD[[#This Row],[PRODUÇÃO]]&gt;0,(T_PROD[[#This Row],[PRODUÇÃO]]/T_PROD[[#This Row],[EFETIVO]]),""),"")</f>
        <v>24.142857142857142</v>
      </c>
    </row>
    <row r="1417" spans="1:11" x14ac:dyDescent="0.3">
      <c r="A1417" s="11">
        <v>46255</v>
      </c>
      <c r="B1417" s="12" t="str">
        <f t="shared" si="156"/>
        <v>AGOSTO</v>
      </c>
      <c r="C1417" s="12" t="s">
        <v>17</v>
      </c>
      <c r="D1417" s="12" t="s">
        <v>12</v>
      </c>
      <c r="E1417" s="13">
        <v>341</v>
      </c>
      <c r="F1417" s="13">
        <v>216</v>
      </c>
      <c r="G1417" s="12">
        <v>15.5</v>
      </c>
      <c r="H1417" s="14">
        <v>15.5</v>
      </c>
      <c r="I1417" s="12">
        <f>IFERROR(IF(T_PROD[[#This Row],[PREVISTO]]-T_PROD[[#This Row],[EFETIVO]]&lt; 0,0,T_PROD[[#This Row],[PREVISTO]]-T_PROD[[#This Row],[EFETIVO]] ),"")</f>
        <v>0</v>
      </c>
      <c r="J1417" s="15">
        <f>IFERROR(IF(T_PROD[[#This Row],[META]]&gt;0,(T_PROD[[#This Row],[META]]/T_PROD[[#This Row],[PREVISTO]]),""),"")</f>
        <v>22</v>
      </c>
      <c r="K1417" s="15">
        <f>IFERROR(IF(T_PROD[[#This Row],[PRODUÇÃO]]&gt;0,(T_PROD[[#This Row],[PRODUÇÃO]]/T_PROD[[#This Row],[EFETIVO]]),""),"")</f>
        <v>13.935483870967742</v>
      </c>
    </row>
    <row r="1418" spans="1:11" x14ac:dyDescent="0.3">
      <c r="A1418" s="11">
        <v>46255</v>
      </c>
      <c r="B1418" s="12" t="str">
        <f t="shared" si="156"/>
        <v>AGOSTO</v>
      </c>
      <c r="C1418" s="12" t="s">
        <v>18</v>
      </c>
      <c r="D1418" s="12" t="s">
        <v>12</v>
      </c>
      <c r="E1418" s="13"/>
      <c r="F1418" s="13"/>
      <c r="G1418" s="12"/>
      <c r="H1418" s="14"/>
      <c r="I1418" s="12">
        <f>IFERROR(IF(T_PROD[[#This Row],[PREVISTO]]-T_PROD[[#This Row],[EFETIVO]]&lt; 0,0,T_PROD[[#This Row],[PREVISTO]]-T_PROD[[#This Row],[EFETIVO]] ),"")</f>
        <v>0</v>
      </c>
      <c r="J1418" s="15" t="str">
        <f>IFERROR(IF(T_PROD[[#This Row],[META]]&gt;0,(T_PROD[[#This Row],[META]]/T_PROD[[#This Row],[PREVISTO]]),""),"")</f>
        <v/>
      </c>
      <c r="K1418" s="15" t="str">
        <f>IFERROR(IF(T_PROD[[#This Row],[PRODUÇÃO]]&gt;0,(T_PROD[[#This Row],[PRODUÇÃO]]/T_PROD[[#This Row],[EFETIVO]]),""),"")</f>
        <v/>
      </c>
    </row>
    <row r="1419" spans="1:11" x14ac:dyDescent="0.3">
      <c r="A1419" s="11">
        <v>46255</v>
      </c>
      <c r="B1419" s="12" t="str">
        <f t="shared" si="156"/>
        <v>AGOSTO</v>
      </c>
      <c r="C1419" s="12" t="s">
        <v>19</v>
      </c>
      <c r="D1419" s="12" t="s">
        <v>12</v>
      </c>
      <c r="E1419" s="13"/>
      <c r="F1419" s="13"/>
      <c r="G1419" s="12"/>
      <c r="H1419" s="14"/>
      <c r="I1419" s="12">
        <f>IFERROR(IF(T_PROD[[#This Row],[PREVISTO]]-T_PROD[[#This Row],[EFETIVO]]&lt; 0,0,T_PROD[[#This Row],[PREVISTO]]-T_PROD[[#This Row],[EFETIVO]] ),"")</f>
        <v>0</v>
      </c>
      <c r="J1419" s="15" t="str">
        <f>IFERROR(IF(T_PROD[[#This Row],[META]]&gt;0,(T_PROD[[#This Row],[META]]/T_PROD[[#This Row],[PREVISTO]]),""),"")</f>
        <v/>
      </c>
      <c r="K1419" s="15" t="str">
        <f>IFERROR(IF(T_PROD[[#This Row],[PRODUÇÃO]]&gt;0,(T_PROD[[#This Row],[PRODUÇÃO]]/T_PROD[[#This Row],[EFETIVO]]),""),"")</f>
        <v/>
      </c>
    </row>
    <row r="1420" spans="1:11" x14ac:dyDescent="0.3">
      <c r="A1420" s="11">
        <v>46255</v>
      </c>
      <c r="B1420" s="12" t="str">
        <f t="shared" si="156"/>
        <v>AGOSTO</v>
      </c>
      <c r="C1420" s="12" t="s">
        <v>20</v>
      </c>
      <c r="D1420" s="12" t="s">
        <v>12</v>
      </c>
      <c r="E1420" s="13">
        <v>579</v>
      </c>
      <c r="F1420" s="13">
        <v>385</v>
      </c>
      <c r="G1420" s="12">
        <v>90</v>
      </c>
      <c r="H1420" s="14">
        <v>90</v>
      </c>
      <c r="I1420" s="12">
        <f>IFERROR(IF(T_PROD[[#This Row],[PREVISTO]]-T_PROD[[#This Row],[EFETIVO]]&lt; 0,0,T_PROD[[#This Row],[PREVISTO]]-T_PROD[[#This Row],[EFETIVO]] ),"")</f>
        <v>0</v>
      </c>
      <c r="J1420" s="15">
        <f>IFERROR(IF(T_PROD[[#This Row],[META]]&gt;0,(T_PROD[[#This Row],[META]]/T_PROD[[#This Row],[PREVISTO]]),""),"")</f>
        <v>6.4333333333333336</v>
      </c>
      <c r="K1420" s="15">
        <f>IFERROR(IF(T_PROD[[#This Row],[PRODUÇÃO]]&gt;0,(T_PROD[[#This Row],[PRODUÇÃO]]/T_PROD[[#This Row],[EFETIVO]]),""),"")</f>
        <v>4.2777777777777777</v>
      </c>
    </row>
    <row r="1421" spans="1:11" x14ac:dyDescent="0.3">
      <c r="A1421" s="11">
        <v>46255</v>
      </c>
      <c r="B1421" s="12" t="str">
        <f t="shared" si="156"/>
        <v>AGOSTO</v>
      </c>
      <c r="C1421" s="12" t="s">
        <v>11</v>
      </c>
      <c r="D1421" s="12" t="s">
        <v>12</v>
      </c>
      <c r="E1421" s="13">
        <v>580</v>
      </c>
      <c r="F1421" s="13">
        <v>610</v>
      </c>
      <c r="G1421" s="12">
        <v>29</v>
      </c>
      <c r="H1421" s="14">
        <v>29</v>
      </c>
      <c r="I1421" s="12">
        <f>IFERROR(IF(T_PROD[[#This Row],[PREVISTO]]-T_PROD[[#This Row],[EFETIVO]]&lt; 0,0,T_PROD[[#This Row],[PREVISTO]]-T_PROD[[#This Row],[EFETIVO]] ),"")</f>
        <v>0</v>
      </c>
      <c r="J1421" s="15">
        <f>IFERROR(IF(T_PROD[[#This Row],[META]]&gt;0,(T_PROD[[#This Row],[META]]/T_PROD[[#This Row],[PREVISTO]]),""),"")</f>
        <v>20</v>
      </c>
      <c r="K1421" s="15">
        <f>IFERROR(IF(T_PROD[[#This Row],[PRODUÇÃO]]&gt;0,(T_PROD[[#This Row],[PRODUÇÃO]]/T_PROD[[#This Row],[EFETIVO]]),""),"")</f>
        <v>21.03448275862069</v>
      </c>
    </row>
    <row r="1422" spans="1:11" x14ac:dyDescent="0.3">
      <c r="A1422" s="11">
        <v>46255</v>
      </c>
      <c r="B1422" s="12" t="str">
        <f t="shared" si="156"/>
        <v>AGOSTO</v>
      </c>
      <c r="C1422" s="12" t="s">
        <v>32</v>
      </c>
      <c r="D1422" s="12" t="s">
        <v>12</v>
      </c>
      <c r="E1422" s="13">
        <v>44</v>
      </c>
      <c r="F1422" s="13">
        <v>45</v>
      </c>
      <c r="G1422" s="12">
        <v>4</v>
      </c>
      <c r="H1422" s="14">
        <v>4</v>
      </c>
      <c r="I1422" s="12">
        <f>IFERROR(IF(T_PROD[[#This Row],[PREVISTO]]-T_PROD[[#This Row],[EFETIVO]]&lt; 0,0,T_PROD[[#This Row],[PREVISTO]]-T_PROD[[#This Row],[EFETIVO]] ),"")</f>
        <v>0</v>
      </c>
      <c r="J1422" s="15">
        <f>IFERROR(IF(T_PROD[[#This Row],[META]]&gt;0,(T_PROD[[#This Row],[META]]/T_PROD[[#This Row],[PREVISTO]]),""),"")</f>
        <v>11</v>
      </c>
      <c r="K1422" s="15">
        <f>IFERROR(IF(T_PROD[[#This Row],[PRODUÇÃO]]&gt;0,(T_PROD[[#This Row],[PRODUÇÃO]]/T_PROD[[#This Row],[EFETIVO]]),""),"")</f>
        <v>11.25</v>
      </c>
    </row>
    <row r="1423" spans="1:11" x14ac:dyDescent="0.3">
      <c r="A1423" s="11">
        <v>46255</v>
      </c>
      <c r="B1423" s="12" t="str">
        <f t="shared" si="156"/>
        <v>AGOSTO</v>
      </c>
      <c r="C1423" s="12" t="s">
        <v>14</v>
      </c>
      <c r="D1423" s="12" t="s">
        <v>12</v>
      </c>
      <c r="E1423" s="13">
        <v>624</v>
      </c>
      <c r="F1423" s="13">
        <v>655</v>
      </c>
      <c r="G1423" s="12">
        <v>79</v>
      </c>
      <c r="H1423" s="14">
        <v>79</v>
      </c>
      <c r="I1423" s="12">
        <f>IFERROR(IF(T_PROD[[#This Row],[PREVISTO]]-T_PROD[[#This Row],[EFETIVO]]&lt; 0,0,T_PROD[[#This Row],[PREVISTO]]-T_PROD[[#This Row],[EFETIVO]] ),"")</f>
        <v>0</v>
      </c>
      <c r="J1423" s="15">
        <f>IFERROR(IF(T_PROD[[#This Row],[META]]&gt;0,(T_PROD[[#This Row],[META]]/T_PROD[[#This Row],[PREVISTO]]),""),"")</f>
        <v>7.8987341772151902</v>
      </c>
      <c r="K1423" s="15">
        <f>IFERROR(IF(T_PROD[[#This Row],[PRODUÇÃO]]&gt;0,(T_PROD[[#This Row],[PRODUÇÃO]]/T_PROD[[#This Row],[EFETIVO]]),""),"")</f>
        <v>8.2911392405063289</v>
      </c>
    </row>
    <row r="1424" spans="1:11" x14ac:dyDescent="0.3">
      <c r="A1424" s="11">
        <v>46258</v>
      </c>
      <c r="B1424" s="12" t="str">
        <f>UPPER(TEXT(A1424,"MMMM"))</f>
        <v>AGOSTO</v>
      </c>
      <c r="C1424" s="12" t="s">
        <v>15</v>
      </c>
      <c r="D1424" s="12" t="s">
        <v>12</v>
      </c>
      <c r="E1424" s="13">
        <v>144</v>
      </c>
      <c r="F1424" s="13">
        <v>30</v>
      </c>
      <c r="G1424" s="12">
        <v>9</v>
      </c>
      <c r="H1424" s="14">
        <v>9</v>
      </c>
      <c r="I1424" s="12">
        <f>IFERROR(IF(T_PROD[[#This Row],[PREVISTO]]-T_PROD[[#This Row],[EFETIVO]]&lt; 0,0,T_PROD[[#This Row],[PREVISTO]]-T_PROD[[#This Row],[EFETIVO]] ),"")</f>
        <v>0</v>
      </c>
      <c r="J1424" s="15">
        <f>IFERROR(IF(T_PROD[[#This Row],[META]]&gt;0,(T_PROD[[#This Row],[META]]/T_PROD[[#This Row],[PREVISTO]]),""),"")</f>
        <v>16</v>
      </c>
      <c r="K1424" s="15">
        <f>IFERROR(IF(T_PROD[[#This Row],[PRODUÇÃO]]&gt;0,(T_PROD[[#This Row],[PRODUÇÃO]]/T_PROD[[#This Row],[EFETIVO]]),""),"")</f>
        <v>3.3333333333333335</v>
      </c>
    </row>
    <row r="1425" spans="1:11" x14ac:dyDescent="0.3">
      <c r="A1425" s="11">
        <v>46258</v>
      </c>
      <c r="B1425" s="12" t="str">
        <f t="shared" ref="B1425:B1432" si="157">UPPER(TEXT(A1425,"MMMM"))</f>
        <v>AGOSTO</v>
      </c>
      <c r="C1425" s="12" t="s">
        <v>16</v>
      </c>
      <c r="D1425" s="12" t="s">
        <v>12</v>
      </c>
      <c r="E1425" s="13">
        <v>221</v>
      </c>
      <c r="F1425" s="13">
        <v>165</v>
      </c>
      <c r="G1425" s="12">
        <v>6.5</v>
      </c>
      <c r="H1425" s="14">
        <v>6.5</v>
      </c>
      <c r="I1425" s="12">
        <f>IFERROR(IF(T_PROD[[#This Row],[PREVISTO]]-T_PROD[[#This Row],[EFETIVO]]&lt; 0,0,T_PROD[[#This Row],[PREVISTO]]-T_PROD[[#This Row],[EFETIVO]] ),"")</f>
        <v>0</v>
      </c>
      <c r="J1425" s="15">
        <f>IFERROR(IF(T_PROD[[#This Row],[META]]&gt;0,(T_PROD[[#This Row],[META]]/T_PROD[[#This Row],[PREVISTO]]),""),"")</f>
        <v>34</v>
      </c>
      <c r="K1425" s="15">
        <f>IFERROR(IF(T_PROD[[#This Row],[PRODUÇÃO]]&gt;0,(T_PROD[[#This Row],[PRODUÇÃO]]/T_PROD[[#This Row],[EFETIVO]]),""),"")</f>
        <v>25.384615384615383</v>
      </c>
    </row>
    <row r="1426" spans="1:11" x14ac:dyDescent="0.3">
      <c r="A1426" s="11">
        <v>46258</v>
      </c>
      <c r="B1426" s="12" t="str">
        <f t="shared" si="157"/>
        <v>AGOSTO</v>
      </c>
      <c r="C1426" s="12" t="s">
        <v>17</v>
      </c>
      <c r="D1426" s="12" t="s">
        <v>12</v>
      </c>
      <c r="E1426" s="13">
        <v>352</v>
      </c>
      <c r="F1426" s="13">
        <v>210</v>
      </c>
      <c r="G1426" s="12">
        <v>16</v>
      </c>
      <c r="H1426" s="14">
        <v>16</v>
      </c>
      <c r="I1426" s="12">
        <f>IFERROR(IF(T_PROD[[#This Row],[PREVISTO]]-T_PROD[[#This Row],[EFETIVO]]&lt; 0,0,T_PROD[[#This Row],[PREVISTO]]-T_PROD[[#This Row],[EFETIVO]] ),"")</f>
        <v>0</v>
      </c>
      <c r="J1426" s="15">
        <f>IFERROR(IF(T_PROD[[#This Row],[META]]&gt;0,(T_PROD[[#This Row],[META]]/T_PROD[[#This Row],[PREVISTO]]),""),"")</f>
        <v>22</v>
      </c>
      <c r="K1426" s="15">
        <f>IFERROR(IF(T_PROD[[#This Row],[PRODUÇÃO]]&gt;0,(T_PROD[[#This Row],[PRODUÇÃO]]/T_PROD[[#This Row],[EFETIVO]]),""),"")</f>
        <v>13.125</v>
      </c>
    </row>
    <row r="1427" spans="1:11" x14ac:dyDescent="0.3">
      <c r="A1427" s="11">
        <v>46258</v>
      </c>
      <c r="B1427" s="12" t="str">
        <f t="shared" si="157"/>
        <v>AGOSTO</v>
      </c>
      <c r="C1427" s="12" t="s">
        <v>18</v>
      </c>
      <c r="D1427" s="12" t="s">
        <v>12</v>
      </c>
      <c r="E1427" s="13"/>
      <c r="F1427" s="13"/>
      <c r="G1427" s="12"/>
      <c r="H1427" s="14"/>
      <c r="I1427" s="12">
        <f>IFERROR(IF(T_PROD[[#This Row],[PREVISTO]]-T_PROD[[#This Row],[EFETIVO]]&lt; 0,0,T_PROD[[#This Row],[PREVISTO]]-T_PROD[[#This Row],[EFETIVO]] ),"")</f>
        <v>0</v>
      </c>
      <c r="J1427" s="15" t="str">
        <f>IFERROR(IF(T_PROD[[#This Row],[META]]&gt;0,(T_PROD[[#This Row],[META]]/T_PROD[[#This Row],[PREVISTO]]),""),"")</f>
        <v/>
      </c>
      <c r="K1427" s="15" t="str">
        <f>IFERROR(IF(T_PROD[[#This Row],[PRODUÇÃO]]&gt;0,(T_PROD[[#This Row],[PRODUÇÃO]]/T_PROD[[#This Row],[EFETIVO]]),""),"")</f>
        <v/>
      </c>
    </row>
    <row r="1428" spans="1:11" x14ac:dyDescent="0.3">
      <c r="A1428" s="11">
        <v>46258</v>
      </c>
      <c r="B1428" s="12" t="str">
        <f t="shared" si="157"/>
        <v>AGOSTO</v>
      </c>
      <c r="C1428" s="12" t="s">
        <v>19</v>
      </c>
      <c r="D1428" s="12" t="s">
        <v>12</v>
      </c>
      <c r="E1428" s="13"/>
      <c r="F1428" s="13"/>
      <c r="G1428" s="12"/>
      <c r="H1428" s="14"/>
      <c r="I1428" s="12">
        <f>IFERROR(IF(T_PROD[[#This Row],[PREVISTO]]-T_PROD[[#This Row],[EFETIVO]]&lt; 0,0,T_PROD[[#This Row],[PREVISTO]]-T_PROD[[#This Row],[EFETIVO]] ),"")</f>
        <v>0</v>
      </c>
      <c r="J1428" s="15" t="str">
        <f>IFERROR(IF(T_PROD[[#This Row],[META]]&gt;0,(T_PROD[[#This Row],[META]]/T_PROD[[#This Row],[PREVISTO]]),""),"")</f>
        <v/>
      </c>
      <c r="K1428" s="15" t="str">
        <f>IFERROR(IF(T_PROD[[#This Row],[PRODUÇÃO]]&gt;0,(T_PROD[[#This Row],[PRODUÇÃO]]/T_PROD[[#This Row],[EFETIVO]]),""),"")</f>
        <v/>
      </c>
    </row>
    <row r="1429" spans="1:11" x14ac:dyDescent="0.3">
      <c r="A1429" s="11">
        <v>46258</v>
      </c>
      <c r="B1429" s="12" t="str">
        <f t="shared" si="157"/>
        <v>AGOSTO</v>
      </c>
      <c r="C1429" s="12" t="s">
        <v>20</v>
      </c>
      <c r="D1429" s="12" t="s">
        <v>12</v>
      </c>
      <c r="E1429" s="13">
        <v>717</v>
      </c>
      <c r="F1429" s="13">
        <v>405</v>
      </c>
      <c r="G1429" s="12">
        <v>90</v>
      </c>
      <c r="H1429" s="14">
        <v>90</v>
      </c>
      <c r="I1429" s="12">
        <f>IFERROR(IF(T_PROD[[#This Row],[PREVISTO]]-T_PROD[[#This Row],[EFETIVO]]&lt; 0,0,T_PROD[[#This Row],[PREVISTO]]-T_PROD[[#This Row],[EFETIVO]] ),"")</f>
        <v>0</v>
      </c>
      <c r="J1429" s="15">
        <f>IFERROR(IF(T_PROD[[#This Row],[META]]&gt;0,(T_PROD[[#This Row],[META]]/T_PROD[[#This Row],[PREVISTO]]),""),"")</f>
        <v>7.9666666666666668</v>
      </c>
      <c r="K1429" s="15">
        <f>IFERROR(IF(T_PROD[[#This Row],[PRODUÇÃO]]&gt;0,(T_PROD[[#This Row],[PRODUÇÃO]]/T_PROD[[#This Row],[EFETIVO]]),""),"")</f>
        <v>4.5</v>
      </c>
    </row>
    <row r="1430" spans="1:11" x14ac:dyDescent="0.3">
      <c r="A1430" s="11">
        <v>46258</v>
      </c>
      <c r="B1430" s="12" t="str">
        <f t="shared" si="157"/>
        <v>AGOSTO</v>
      </c>
      <c r="C1430" s="12" t="s">
        <v>11</v>
      </c>
      <c r="D1430" s="12" t="s">
        <v>12</v>
      </c>
      <c r="E1430" s="13">
        <v>800</v>
      </c>
      <c r="F1430" s="13">
        <v>800</v>
      </c>
      <c r="G1430" s="12">
        <v>40</v>
      </c>
      <c r="H1430" s="14">
        <v>40</v>
      </c>
      <c r="I1430" s="12">
        <f>IFERROR(IF(T_PROD[[#This Row],[PREVISTO]]-T_PROD[[#This Row],[EFETIVO]]&lt; 0,0,T_PROD[[#This Row],[PREVISTO]]-T_PROD[[#This Row],[EFETIVO]] ),"")</f>
        <v>0</v>
      </c>
      <c r="J1430" s="15">
        <f>IFERROR(IF(T_PROD[[#This Row],[META]]&gt;0,(T_PROD[[#This Row],[META]]/T_PROD[[#This Row],[PREVISTO]]),""),"")</f>
        <v>20</v>
      </c>
      <c r="K1430" s="15">
        <f>IFERROR(IF(T_PROD[[#This Row],[PRODUÇÃO]]&gt;0,(T_PROD[[#This Row],[PRODUÇÃO]]/T_PROD[[#This Row],[EFETIVO]]),""),"")</f>
        <v>20</v>
      </c>
    </row>
    <row r="1431" spans="1:11" x14ac:dyDescent="0.3">
      <c r="A1431" s="11">
        <v>46258</v>
      </c>
      <c r="B1431" s="12" t="str">
        <f t="shared" si="157"/>
        <v>AGOSTO</v>
      </c>
      <c r="C1431" s="12" t="s">
        <v>32</v>
      </c>
      <c r="D1431" s="12" t="s">
        <v>12</v>
      </c>
      <c r="E1431" s="13">
        <v>55</v>
      </c>
      <c r="F1431" s="13">
        <v>57</v>
      </c>
      <c r="G1431" s="12">
        <v>5</v>
      </c>
      <c r="H1431" s="14">
        <v>5</v>
      </c>
      <c r="I1431" s="12">
        <f>IFERROR(IF(T_PROD[[#This Row],[PREVISTO]]-T_PROD[[#This Row],[EFETIVO]]&lt; 0,0,T_PROD[[#This Row],[PREVISTO]]-T_PROD[[#This Row],[EFETIVO]] ),"")</f>
        <v>0</v>
      </c>
      <c r="J1431" s="15">
        <f>IFERROR(IF(T_PROD[[#This Row],[META]]&gt;0,(T_PROD[[#This Row],[META]]/T_PROD[[#This Row],[PREVISTO]]),""),"")</f>
        <v>11</v>
      </c>
      <c r="K1431" s="15">
        <f>IFERROR(IF(T_PROD[[#This Row],[PRODUÇÃO]]&gt;0,(T_PROD[[#This Row],[PRODUÇÃO]]/T_PROD[[#This Row],[EFETIVO]]),""),"")</f>
        <v>11.4</v>
      </c>
    </row>
    <row r="1432" spans="1:11" x14ac:dyDescent="0.3">
      <c r="A1432" s="11">
        <v>46258</v>
      </c>
      <c r="B1432" s="12" t="str">
        <f t="shared" si="157"/>
        <v>AGOSTO</v>
      </c>
      <c r="C1432" s="12" t="s">
        <v>14</v>
      </c>
      <c r="D1432" s="12" t="s">
        <v>12</v>
      </c>
      <c r="E1432" s="13">
        <v>855</v>
      </c>
      <c r="F1432" s="13">
        <v>857</v>
      </c>
      <c r="G1432" s="12">
        <v>95</v>
      </c>
      <c r="H1432" s="14">
        <v>94</v>
      </c>
      <c r="I1432" s="12">
        <f>IFERROR(IF(T_PROD[[#This Row],[PREVISTO]]-T_PROD[[#This Row],[EFETIVO]]&lt; 0,0,T_PROD[[#This Row],[PREVISTO]]-T_PROD[[#This Row],[EFETIVO]] ),"")</f>
        <v>1</v>
      </c>
      <c r="J1432" s="15">
        <f>IFERROR(IF(T_PROD[[#This Row],[META]]&gt;0,(T_PROD[[#This Row],[META]]/T_PROD[[#This Row],[PREVISTO]]),""),"")</f>
        <v>9</v>
      </c>
      <c r="K1432" s="15">
        <f>IFERROR(IF(T_PROD[[#This Row],[PRODUÇÃO]]&gt;0,(T_PROD[[#This Row],[PRODUÇÃO]]/T_PROD[[#This Row],[EFETIVO]]),""),"")</f>
        <v>9.1170212765957448</v>
      </c>
    </row>
    <row r="1433" spans="1:11" x14ac:dyDescent="0.3">
      <c r="A1433" s="11">
        <v>46259</v>
      </c>
      <c r="B1433" s="12" t="str">
        <f>UPPER(TEXT(A1433,"MMMM"))</f>
        <v>AGOSTO</v>
      </c>
      <c r="C1433" s="12" t="s">
        <v>15</v>
      </c>
      <c r="D1433" s="12" t="s">
        <v>12</v>
      </c>
      <c r="E1433" s="13"/>
      <c r="F1433" s="13"/>
      <c r="G1433" s="12"/>
      <c r="H1433" s="14"/>
      <c r="I1433" s="12">
        <f>IFERROR(IF(T_PROD[[#This Row],[PREVISTO]]-T_PROD[[#This Row],[EFETIVO]]&lt; 0,0,T_PROD[[#This Row],[PREVISTO]]-T_PROD[[#This Row],[EFETIVO]] ),"")</f>
        <v>0</v>
      </c>
      <c r="J1433" s="15" t="str">
        <f>IFERROR(IF(T_PROD[[#This Row],[META]]&gt;0,(T_PROD[[#This Row],[META]]/T_PROD[[#This Row],[PREVISTO]]),""),"")</f>
        <v/>
      </c>
      <c r="K1433" s="15" t="str">
        <f>IFERROR(IF(T_PROD[[#This Row],[PRODUÇÃO]]&gt;0,(T_PROD[[#This Row],[PRODUÇÃO]]/T_PROD[[#This Row],[EFETIVO]]),""),"")</f>
        <v/>
      </c>
    </row>
    <row r="1434" spans="1:11" x14ac:dyDescent="0.3">
      <c r="A1434" s="11">
        <v>46259</v>
      </c>
      <c r="B1434" s="12" t="str">
        <f t="shared" ref="B1434:B1441" si="158">UPPER(TEXT(A1434,"MMMM"))</f>
        <v>AGOSTO</v>
      </c>
      <c r="C1434" s="12" t="s">
        <v>16</v>
      </c>
      <c r="D1434" s="12" t="s">
        <v>12</v>
      </c>
      <c r="E1434" s="13">
        <v>221</v>
      </c>
      <c r="F1434" s="13">
        <v>168</v>
      </c>
      <c r="G1434" s="12">
        <v>6.5</v>
      </c>
      <c r="H1434" s="14">
        <v>6.5</v>
      </c>
      <c r="I1434" s="12">
        <f>IFERROR(IF(T_PROD[[#This Row],[PREVISTO]]-T_PROD[[#This Row],[EFETIVO]]&lt; 0,0,T_PROD[[#This Row],[PREVISTO]]-T_PROD[[#This Row],[EFETIVO]] ),"")</f>
        <v>0</v>
      </c>
      <c r="J1434" s="15">
        <f>IFERROR(IF(T_PROD[[#This Row],[META]]&gt;0,(T_PROD[[#This Row],[META]]/T_PROD[[#This Row],[PREVISTO]]),""),"")</f>
        <v>34</v>
      </c>
      <c r="K1434" s="15">
        <f>IFERROR(IF(T_PROD[[#This Row],[PRODUÇÃO]]&gt;0,(T_PROD[[#This Row],[PRODUÇÃO]]/T_PROD[[#This Row],[EFETIVO]]),""),"")</f>
        <v>25.846153846153847</v>
      </c>
    </row>
    <row r="1435" spans="1:11" x14ac:dyDescent="0.3">
      <c r="A1435" s="11">
        <v>46259</v>
      </c>
      <c r="B1435" s="12" t="str">
        <f t="shared" si="158"/>
        <v>AGOSTO</v>
      </c>
      <c r="C1435" s="12" t="s">
        <v>17</v>
      </c>
      <c r="D1435" s="12" t="s">
        <v>12</v>
      </c>
      <c r="E1435" s="13">
        <v>352</v>
      </c>
      <c r="F1435" s="13">
        <v>325</v>
      </c>
      <c r="G1435" s="12">
        <v>16</v>
      </c>
      <c r="H1435" s="14">
        <v>16</v>
      </c>
      <c r="I1435" s="12">
        <f>IFERROR(IF(T_PROD[[#This Row],[PREVISTO]]-T_PROD[[#This Row],[EFETIVO]]&lt; 0,0,T_PROD[[#This Row],[PREVISTO]]-T_PROD[[#This Row],[EFETIVO]] ),"")</f>
        <v>0</v>
      </c>
      <c r="J1435" s="15">
        <f>IFERROR(IF(T_PROD[[#This Row],[META]]&gt;0,(T_PROD[[#This Row],[META]]/T_PROD[[#This Row],[PREVISTO]]),""),"")</f>
        <v>22</v>
      </c>
      <c r="K1435" s="15">
        <f>IFERROR(IF(T_PROD[[#This Row],[PRODUÇÃO]]&gt;0,(T_PROD[[#This Row],[PRODUÇÃO]]/T_PROD[[#This Row],[EFETIVO]]),""),"")</f>
        <v>20.3125</v>
      </c>
    </row>
    <row r="1436" spans="1:11" x14ac:dyDescent="0.3">
      <c r="A1436" s="11">
        <v>46259</v>
      </c>
      <c r="B1436" s="12" t="str">
        <f t="shared" si="158"/>
        <v>AGOSTO</v>
      </c>
      <c r="C1436" s="12" t="s">
        <v>18</v>
      </c>
      <c r="D1436" s="12" t="s">
        <v>12</v>
      </c>
      <c r="E1436" s="13">
        <v>144</v>
      </c>
      <c r="F1436" s="13">
        <v>75</v>
      </c>
      <c r="G1436" s="12">
        <v>9</v>
      </c>
      <c r="H1436" s="14">
        <v>9</v>
      </c>
      <c r="I1436" s="12">
        <f>IFERROR(IF(T_PROD[[#This Row],[PREVISTO]]-T_PROD[[#This Row],[EFETIVO]]&lt; 0,0,T_PROD[[#This Row],[PREVISTO]]-T_PROD[[#This Row],[EFETIVO]] ),"")</f>
        <v>0</v>
      </c>
      <c r="J1436" s="15">
        <f>IFERROR(IF(T_PROD[[#This Row],[META]]&gt;0,(T_PROD[[#This Row],[META]]/T_PROD[[#This Row],[PREVISTO]]),""),"")</f>
        <v>16</v>
      </c>
      <c r="K1436" s="15">
        <f>IFERROR(IF(T_PROD[[#This Row],[PRODUÇÃO]]&gt;0,(T_PROD[[#This Row],[PRODUÇÃO]]/T_PROD[[#This Row],[EFETIVO]]),""),"")</f>
        <v>8.3333333333333339</v>
      </c>
    </row>
    <row r="1437" spans="1:11" x14ac:dyDescent="0.3">
      <c r="A1437" s="11">
        <v>46259</v>
      </c>
      <c r="B1437" s="12" t="str">
        <f t="shared" si="158"/>
        <v>AGOSTO</v>
      </c>
      <c r="C1437" s="12" t="s">
        <v>19</v>
      </c>
      <c r="D1437" s="12" t="s">
        <v>12</v>
      </c>
      <c r="E1437" s="13"/>
      <c r="F1437" s="13"/>
      <c r="G1437" s="12"/>
      <c r="H1437" s="14"/>
      <c r="I1437" s="12">
        <f>IFERROR(IF(T_PROD[[#This Row],[PREVISTO]]-T_PROD[[#This Row],[EFETIVO]]&lt; 0,0,T_PROD[[#This Row],[PREVISTO]]-T_PROD[[#This Row],[EFETIVO]] ),"")</f>
        <v>0</v>
      </c>
      <c r="J1437" s="15" t="str">
        <f>IFERROR(IF(T_PROD[[#This Row],[META]]&gt;0,(T_PROD[[#This Row],[META]]/T_PROD[[#This Row],[PREVISTO]]),""),"")</f>
        <v/>
      </c>
      <c r="K1437" s="15" t="str">
        <f>IFERROR(IF(T_PROD[[#This Row],[PRODUÇÃO]]&gt;0,(T_PROD[[#This Row],[PRODUÇÃO]]/T_PROD[[#This Row],[EFETIVO]]),""),"")</f>
        <v/>
      </c>
    </row>
    <row r="1438" spans="1:11" x14ac:dyDescent="0.3">
      <c r="A1438" s="11">
        <v>46259</v>
      </c>
      <c r="B1438" s="12" t="str">
        <f t="shared" si="158"/>
        <v>AGOSTO</v>
      </c>
      <c r="C1438" s="12" t="s">
        <v>20</v>
      </c>
      <c r="D1438" s="12" t="s">
        <v>12</v>
      </c>
      <c r="E1438" s="13">
        <v>717</v>
      </c>
      <c r="F1438" s="13">
        <v>568</v>
      </c>
      <c r="G1438" s="12">
        <v>90</v>
      </c>
      <c r="H1438" s="14">
        <v>90</v>
      </c>
      <c r="I1438" s="12">
        <f>IFERROR(IF(T_PROD[[#This Row],[PREVISTO]]-T_PROD[[#This Row],[EFETIVO]]&lt; 0,0,T_PROD[[#This Row],[PREVISTO]]-T_PROD[[#This Row],[EFETIVO]] ),"")</f>
        <v>0</v>
      </c>
      <c r="J1438" s="15">
        <f>IFERROR(IF(T_PROD[[#This Row],[META]]&gt;0,(T_PROD[[#This Row],[META]]/T_PROD[[#This Row],[PREVISTO]]),""),"")</f>
        <v>7.9666666666666668</v>
      </c>
      <c r="K1438" s="15">
        <f>IFERROR(IF(T_PROD[[#This Row],[PRODUÇÃO]]&gt;0,(T_PROD[[#This Row],[PRODUÇÃO]]/T_PROD[[#This Row],[EFETIVO]]),""),"")</f>
        <v>6.3111111111111109</v>
      </c>
    </row>
    <row r="1439" spans="1:11" x14ac:dyDescent="0.3">
      <c r="A1439" s="11">
        <v>46259</v>
      </c>
      <c r="B1439" s="12" t="str">
        <f t="shared" si="158"/>
        <v>AGOSTO</v>
      </c>
      <c r="C1439" s="12" t="s">
        <v>11</v>
      </c>
      <c r="D1439" s="12" t="s">
        <v>12</v>
      </c>
      <c r="E1439" s="13">
        <v>780</v>
      </c>
      <c r="F1439" s="13">
        <v>760</v>
      </c>
      <c r="G1439" s="12">
        <v>39</v>
      </c>
      <c r="H1439" s="14">
        <v>39</v>
      </c>
      <c r="I1439" s="12">
        <f>IFERROR(IF(T_PROD[[#This Row],[PREVISTO]]-T_PROD[[#This Row],[EFETIVO]]&lt; 0,0,T_PROD[[#This Row],[PREVISTO]]-T_PROD[[#This Row],[EFETIVO]] ),"")</f>
        <v>0</v>
      </c>
      <c r="J1439" s="15">
        <f>IFERROR(IF(T_PROD[[#This Row],[META]]&gt;0,(T_PROD[[#This Row],[META]]/T_PROD[[#This Row],[PREVISTO]]),""),"")</f>
        <v>20</v>
      </c>
      <c r="K1439" s="15">
        <f>IFERROR(IF(T_PROD[[#This Row],[PRODUÇÃO]]&gt;0,(T_PROD[[#This Row],[PRODUÇÃO]]/T_PROD[[#This Row],[EFETIVO]]),""),"")</f>
        <v>19.487179487179485</v>
      </c>
    </row>
    <row r="1440" spans="1:11" x14ac:dyDescent="0.3">
      <c r="A1440" s="11">
        <v>46259</v>
      </c>
      <c r="B1440" s="12" t="str">
        <f t="shared" si="158"/>
        <v>AGOSTO</v>
      </c>
      <c r="C1440" s="12" t="s">
        <v>32</v>
      </c>
      <c r="D1440" s="12" t="s">
        <v>12</v>
      </c>
      <c r="E1440" s="13">
        <v>55</v>
      </c>
      <c r="F1440" s="13">
        <v>66</v>
      </c>
      <c r="G1440" s="12">
        <v>5</v>
      </c>
      <c r="H1440" s="14">
        <v>5</v>
      </c>
      <c r="I1440" s="12">
        <f>IFERROR(IF(T_PROD[[#This Row],[PREVISTO]]-T_PROD[[#This Row],[EFETIVO]]&lt; 0,0,T_PROD[[#This Row],[PREVISTO]]-T_PROD[[#This Row],[EFETIVO]] ),"")</f>
        <v>0</v>
      </c>
      <c r="J1440" s="15">
        <f>IFERROR(IF(T_PROD[[#This Row],[META]]&gt;0,(T_PROD[[#This Row],[META]]/T_PROD[[#This Row],[PREVISTO]]),""),"")</f>
        <v>11</v>
      </c>
      <c r="K1440" s="15">
        <f>IFERROR(IF(T_PROD[[#This Row],[PRODUÇÃO]]&gt;0,(T_PROD[[#This Row],[PRODUÇÃO]]/T_PROD[[#This Row],[EFETIVO]]),""),"")</f>
        <v>13.2</v>
      </c>
    </row>
    <row r="1441" spans="1:11" x14ac:dyDescent="0.3">
      <c r="A1441" s="11">
        <v>46259</v>
      </c>
      <c r="B1441" s="12" t="str">
        <f t="shared" si="158"/>
        <v>AGOSTO</v>
      </c>
      <c r="C1441" s="12" t="s">
        <v>14</v>
      </c>
      <c r="D1441" s="12" t="s">
        <v>12</v>
      </c>
      <c r="E1441" s="13">
        <v>835</v>
      </c>
      <c r="F1441" s="13">
        <v>826</v>
      </c>
      <c r="G1441" s="12">
        <v>95</v>
      </c>
      <c r="H1441" s="14">
        <v>91</v>
      </c>
      <c r="I1441" s="12">
        <f>IFERROR(IF(T_PROD[[#This Row],[PREVISTO]]-T_PROD[[#This Row],[EFETIVO]]&lt; 0,0,T_PROD[[#This Row],[PREVISTO]]-T_PROD[[#This Row],[EFETIVO]] ),"")</f>
        <v>4</v>
      </c>
      <c r="J1441" s="15">
        <f>IFERROR(IF(T_PROD[[#This Row],[META]]&gt;0,(T_PROD[[#This Row],[META]]/T_PROD[[#This Row],[PREVISTO]]),""),"")</f>
        <v>8.7894736842105257</v>
      </c>
      <c r="K1441" s="15">
        <f>IFERROR(IF(T_PROD[[#This Row],[PRODUÇÃO]]&gt;0,(T_PROD[[#This Row],[PRODUÇÃO]]/T_PROD[[#This Row],[EFETIVO]]),""),"")</f>
        <v>9.0769230769230766</v>
      </c>
    </row>
    <row r="1442" spans="1:11" x14ac:dyDescent="0.3">
      <c r="A1442" s="11">
        <v>46260</v>
      </c>
      <c r="B1442" s="12" t="str">
        <f>UPPER(TEXT(A1442,"MMMM"))</f>
        <v>AGOSTO</v>
      </c>
      <c r="C1442" s="12" t="s">
        <v>15</v>
      </c>
      <c r="D1442" s="12" t="s">
        <v>12</v>
      </c>
      <c r="E1442" s="13"/>
      <c r="F1442" s="13"/>
      <c r="G1442" s="12"/>
      <c r="H1442" s="14"/>
      <c r="I1442" s="12">
        <f>IFERROR(IF(T_PROD[[#This Row],[PREVISTO]]-T_PROD[[#This Row],[EFETIVO]]&lt; 0,0,T_PROD[[#This Row],[PREVISTO]]-T_PROD[[#This Row],[EFETIVO]] ),"")</f>
        <v>0</v>
      </c>
      <c r="J1442" s="15" t="str">
        <f>IFERROR(IF(T_PROD[[#This Row],[META]]&gt;0,(T_PROD[[#This Row],[META]]/T_PROD[[#This Row],[PREVISTO]]),""),"")</f>
        <v/>
      </c>
      <c r="K1442" s="15" t="str">
        <f>IFERROR(IF(T_PROD[[#This Row],[PRODUÇÃO]]&gt;0,(T_PROD[[#This Row],[PRODUÇÃO]]/T_PROD[[#This Row],[EFETIVO]]),""),"")</f>
        <v/>
      </c>
    </row>
    <row r="1443" spans="1:11" x14ac:dyDescent="0.3">
      <c r="A1443" s="11">
        <v>46260</v>
      </c>
      <c r="B1443" s="12" t="str">
        <f t="shared" ref="B1443:B1450" si="159">UPPER(TEXT(A1443,"MMMM"))</f>
        <v>AGOSTO</v>
      </c>
      <c r="C1443" s="12" t="s">
        <v>16</v>
      </c>
      <c r="D1443" s="12" t="s">
        <v>12</v>
      </c>
      <c r="E1443" s="13">
        <v>221</v>
      </c>
      <c r="F1443" s="13">
        <v>240</v>
      </c>
      <c r="G1443" s="12">
        <v>6</v>
      </c>
      <c r="H1443" s="14">
        <v>6</v>
      </c>
      <c r="I1443" s="12">
        <f>IFERROR(IF(T_PROD[[#This Row],[PREVISTO]]-T_PROD[[#This Row],[EFETIVO]]&lt; 0,0,T_PROD[[#This Row],[PREVISTO]]-T_PROD[[#This Row],[EFETIVO]] ),"")</f>
        <v>0</v>
      </c>
      <c r="J1443" s="15">
        <f>IFERROR(IF(T_PROD[[#This Row],[META]]&gt;0,(T_PROD[[#This Row],[META]]/T_PROD[[#This Row],[PREVISTO]]),""),"")</f>
        <v>36.833333333333336</v>
      </c>
      <c r="K1443" s="15">
        <f>IFERROR(IF(T_PROD[[#This Row],[PRODUÇÃO]]&gt;0,(T_PROD[[#This Row],[PRODUÇÃO]]/T_PROD[[#This Row],[EFETIVO]]),""),"")</f>
        <v>40</v>
      </c>
    </row>
    <row r="1444" spans="1:11" x14ac:dyDescent="0.3">
      <c r="A1444" s="11">
        <v>46260</v>
      </c>
      <c r="B1444" s="12" t="str">
        <f t="shared" si="159"/>
        <v>AGOSTO</v>
      </c>
      <c r="C1444" s="12" t="s">
        <v>17</v>
      </c>
      <c r="D1444" s="12" t="s">
        <v>12</v>
      </c>
      <c r="E1444" s="13">
        <v>352</v>
      </c>
      <c r="F1444" s="13">
        <v>369</v>
      </c>
      <c r="G1444" s="12">
        <v>17</v>
      </c>
      <c r="H1444" s="14">
        <v>17</v>
      </c>
      <c r="I1444" s="12">
        <f>IFERROR(IF(T_PROD[[#This Row],[PREVISTO]]-T_PROD[[#This Row],[EFETIVO]]&lt; 0,0,T_PROD[[#This Row],[PREVISTO]]-T_PROD[[#This Row],[EFETIVO]] ),"")</f>
        <v>0</v>
      </c>
      <c r="J1444" s="15">
        <f>IFERROR(IF(T_PROD[[#This Row],[META]]&gt;0,(T_PROD[[#This Row],[META]]/T_PROD[[#This Row],[PREVISTO]]),""),"")</f>
        <v>20.705882352941178</v>
      </c>
      <c r="K1444" s="15">
        <f>IFERROR(IF(T_PROD[[#This Row],[PRODUÇÃO]]&gt;0,(T_PROD[[#This Row],[PRODUÇÃO]]/T_PROD[[#This Row],[EFETIVO]]),""),"")</f>
        <v>21.705882352941178</v>
      </c>
    </row>
    <row r="1445" spans="1:11" x14ac:dyDescent="0.3">
      <c r="A1445" s="11">
        <v>46260</v>
      </c>
      <c r="B1445" s="12" t="str">
        <f t="shared" si="159"/>
        <v>AGOSTO</v>
      </c>
      <c r="C1445" s="12" t="s">
        <v>18</v>
      </c>
      <c r="D1445" s="12" t="s">
        <v>12</v>
      </c>
      <c r="E1445" s="13">
        <v>144</v>
      </c>
      <c r="F1445" s="13">
        <v>57</v>
      </c>
      <c r="G1445" s="12">
        <v>8</v>
      </c>
      <c r="H1445" s="14">
        <v>8</v>
      </c>
      <c r="I1445" s="12">
        <f>IFERROR(IF(T_PROD[[#This Row],[PREVISTO]]-T_PROD[[#This Row],[EFETIVO]]&lt; 0,0,T_PROD[[#This Row],[PREVISTO]]-T_PROD[[#This Row],[EFETIVO]] ),"")</f>
        <v>0</v>
      </c>
      <c r="J1445" s="15">
        <f>IFERROR(IF(T_PROD[[#This Row],[META]]&gt;0,(T_PROD[[#This Row],[META]]/T_PROD[[#This Row],[PREVISTO]]),""),"")</f>
        <v>18</v>
      </c>
      <c r="K1445" s="15">
        <f>IFERROR(IF(T_PROD[[#This Row],[PRODUÇÃO]]&gt;0,(T_PROD[[#This Row],[PRODUÇÃO]]/T_PROD[[#This Row],[EFETIVO]]),""),"")</f>
        <v>7.125</v>
      </c>
    </row>
    <row r="1446" spans="1:11" x14ac:dyDescent="0.3">
      <c r="A1446" s="11">
        <v>46260</v>
      </c>
      <c r="B1446" s="12" t="str">
        <f t="shared" si="159"/>
        <v>AGOSTO</v>
      </c>
      <c r="C1446" s="12" t="s">
        <v>19</v>
      </c>
      <c r="D1446" s="12" t="s">
        <v>12</v>
      </c>
      <c r="E1446" s="13"/>
      <c r="F1446" s="13"/>
      <c r="G1446" s="12"/>
      <c r="H1446" s="14"/>
      <c r="I1446" s="12">
        <f>IFERROR(IF(T_PROD[[#This Row],[PREVISTO]]-T_PROD[[#This Row],[EFETIVO]]&lt; 0,0,T_PROD[[#This Row],[PREVISTO]]-T_PROD[[#This Row],[EFETIVO]] ),"")</f>
        <v>0</v>
      </c>
      <c r="J1446" s="15" t="str">
        <f>IFERROR(IF(T_PROD[[#This Row],[META]]&gt;0,(T_PROD[[#This Row],[META]]/T_PROD[[#This Row],[PREVISTO]]),""),"")</f>
        <v/>
      </c>
      <c r="K1446" s="15" t="str">
        <f>IFERROR(IF(T_PROD[[#This Row],[PRODUÇÃO]]&gt;0,(T_PROD[[#This Row],[PRODUÇÃO]]/T_PROD[[#This Row],[EFETIVO]]),""),"")</f>
        <v/>
      </c>
    </row>
    <row r="1447" spans="1:11" x14ac:dyDescent="0.3">
      <c r="A1447" s="11">
        <v>46260</v>
      </c>
      <c r="B1447" s="12" t="str">
        <f t="shared" si="159"/>
        <v>AGOSTO</v>
      </c>
      <c r="C1447" s="12" t="s">
        <v>20</v>
      </c>
      <c r="D1447" s="12" t="s">
        <v>12</v>
      </c>
      <c r="E1447" s="13">
        <v>717</v>
      </c>
      <c r="F1447" s="13">
        <v>666</v>
      </c>
      <c r="G1447" s="12">
        <v>90</v>
      </c>
      <c r="H1447" s="14">
        <v>90</v>
      </c>
      <c r="I1447" s="12">
        <f>IFERROR(IF(T_PROD[[#This Row],[PREVISTO]]-T_PROD[[#This Row],[EFETIVO]]&lt; 0,0,T_PROD[[#This Row],[PREVISTO]]-T_PROD[[#This Row],[EFETIVO]] ),"")</f>
        <v>0</v>
      </c>
      <c r="J1447" s="15">
        <f>IFERROR(IF(T_PROD[[#This Row],[META]]&gt;0,(T_PROD[[#This Row],[META]]/T_PROD[[#This Row],[PREVISTO]]),""),"")</f>
        <v>7.9666666666666668</v>
      </c>
      <c r="K1447" s="15">
        <f>IFERROR(IF(T_PROD[[#This Row],[PRODUÇÃO]]&gt;0,(T_PROD[[#This Row],[PRODUÇÃO]]/T_PROD[[#This Row],[EFETIVO]]),""),"")</f>
        <v>7.4</v>
      </c>
    </row>
    <row r="1448" spans="1:11" x14ac:dyDescent="0.3">
      <c r="A1448" s="11">
        <v>46260</v>
      </c>
      <c r="B1448" s="12" t="str">
        <f t="shared" si="159"/>
        <v>AGOSTO</v>
      </c>
      <c r="C1448" s="12" t="s">
        <v>11</v>
      </c>
      <c r="D1448" s="12" t="s">
        <v>12</v>
      </c>
      <c r="E1448" s="13">
        <v>700</v>
      </c>
      <c r="F1448" s="13">
        <v>715</v>
      </c>
      <c r="G1448" s="12">
        <v>35</v>
      </c>
      <c r="H1448" s="14">
        <v>35</v>
      </c>
      <c r="I1448" s="12">
        <f>IFERROR(IF(T_PROD[[#This Row],[PREVISTO]]-T_PROD[[#This Row],[EFETIVO]]&lt; 0,0,T_PROD[[#This Row],[PREVISTO]]-T_PROD[[#This Row],[EFETIVO]] ),"")</f>
        <v>0</v>
      </c>
      <c r="J1448" s="15">
        <f>IFERROR(IF(T_PROD[[#This Row],[META]]&gt;0,(T_PROD[[#This Row],[META]]/T_PROD[[#This Row],[PREVISTO]]),""),"")</f>
        <v>20</v>
      </c>
      <c r="K1448" s="15">
        <f>IFERROR(IF(T_PROD[[#This Row],[PRODUÇÃO]]&gt;0,(T_PROD[[#This Row],[PRODUÇÃO]]/T_PROD[[#This Row],[EFETIVO]]),""),"")</f>
        <v>20.428571428571427</v>
      </c>
    </row>
    <row r="1449" spans="1:11" x14ac:dyDescent="0.3">
      <c r="A1449" s="11">
        <v>46260</v>
      </c>
      <c r="B1449" s="12" t="str">
        <f t="shared" si="159"/>
        <v>AGOSTO</v>
      </c>
      <c r="C1449" s="12" t="s">
        <v>32</v>
      </c>
      <c r="D1449" s="12" t="s">
        <v>12</v>
      </c>
      <c r="E1449" s="13">
        <v>66</v>
      </c>
      <c r="F1449" s="13">
        <v>71</v>
      </c>
      <c r="G1449" s="12">
        <v>6</v>
      </c>
      <c r="H1449" s="14">
        <v>6</v>
      </c>
      <c r="I1449" s="12">
        <f>IFERROR(IF(T_PROD[[#This Row],[PREVISTO]]-T_PROD[[#This Row],[EFETIVO]]&lt; 0,0,T_PROD[[#This Row],[PREVISTO]]-T_PROD[[#This Row],[EFETIVO]] ),"")</f>
        <v>0</v>
      </c>
      <c r="J1449" s="15">
        <f>IFERROR(IF(T_PROD[[#This Row],[META]]&gt;0,(T_PROD[[#This Row],[META]]/T_PROD[[#This Row],[PREVISTO]]),""),"")</f>
        <v>11</v>
      </c>
      <c r="K1449" s="15">
        <f>IFERROR(IF(T_PROD[[#This Row],[PRODUÇÃO]]&gt;0,(T_PROD[[#This Row],[PRODUÇÃO]]/T_PROD[[#This Row],[EFETIVO]]),""),"")</f>
        <v>11.833333333333334</v>
      </c>
    </row>
    <row r="1450" spans="1:11" x14ac:dyDescent="0.3">
      <c r="A1450" s="11">
        <v>46260</v>
      </c>
      <c r="B1450" s="12" t="str">
        <f t="shared" si="159"/>
        <v>AGOSTO</v>
      </c>
      <c r="C1450" s="12" t="s">
        <v>14</v>
      </c>
      <c r="D1450" s="12" t="s">
        <v>12</v>
      </c>
      <c r="E1450" s="13">
        <v>766</v>
      </c>
      <c r="F1450" s="13">
        <v>786</v>
      </c>
      <c r="G1450" s="12">
        <v>92</v>
      </c>
      <c r="H1450" s="14">
        <v>92</v>
      </c>
      <c r="I1450" s="12">
        <f>IFERROR(IF(T_PROD[[#This Row],[PREVISTO]]-T_PROD[[#This Row],[EFETIVO]]&lt; 0,0,T_PROD[[#This Row],[PREVISTO]]-T_PROD[[#This Row],[EFETIVO]] ),"")</f>
        <v>0</v>
      </c>
      <c r="J1450" s="15">
        <f>IFERROR(IF(T_PROD[[#This Row],[META]]&gt;0,(T_PROD[[#This Row],[META]]/T_PROD[[#This Row],[PREVISTO]]),""),"")</f>
        <v>8.3260869565217384</v>
      </c>
      <c r="K1450" s="15">
        <f>IFERROR(IF(T_PROD[[#This Row],[PRODUÇÃO]]&gt;0,(T_PROD[[#This Row],[PRODUÇÃO]]/T_PROD[[#This Row],[EFETIVO]]),""),"")</f>
        <v>8.5434782608695645</v>
      </c>
    </row>
    <row r="1451" spans="1:11" x14ac:dyDescent="0.3">
      <c r="A1451" s="11">
        <v>46261</v>
      </c>
      <c r="B1451" s="12" t="str">
        <f>UPPER(TEXT(A1451,"MMMM"))</f>
        <v>AGOSTO</v>
      </c>
      <c r="C1451" s="12" t="s">
        <v>15</v>
      </c>
      <c r="D1451" s="12" t="s">
        <v>12</v>
      </c>
      <c r="E1451" s="13"/>
      <c r="F1451" s="13"/>
      <c r="G1451" s="12"/>
      <c r="H1451" s="14"/>
      <c r="I1451" s="12">
        <f>IFERROR(IF(T_PROD[[#This Row],[PREVISTO]]-T_PROD[[#This Row],[EFETIVO]]&lt; 0,0,T_PROD[[#This Row],[PREVISTO]]-T_PROD[[#This Row],[EFETIVO]] ),"")</f>
        <v>0</v>
      </c>
      <c r="J1451" s="15" t="str">
        <f>IFERROR(IF(T_PROD[[#This Row],[META]]&gt;0,(T_PROD[[#This Row],[META]]/T_PROD[[#This Row],[PREVISTO]]),""),"")</f>
        <v/>
      </c>
      <c r="K1451" s="15" t="str">
        <f>IFERROR(IF(T_PROD[[#This Row],[PRODUÇÃO]]&gt;0,(T_PROD[[#This Row],[PRODUÇÃO]]/T_PROD[[#This Row],[EFETIVO]]),""),"")</f>
        <v/>
      </c>
    </row>
    <row r="1452" spans="1:11" x14ac:dyDescent="0.3">
      <c r="A1452" s="11">
        <v>46261</v>
      </c>
      <c r="B1452" s="12" t="str">
        <f t="shared" ref="B1452:B1459" si="160">UPPER(TEXT(A1452,"MMMM"))</f>
        <v>AGOSTO</v>
      </c>
      <c r="C1452" s="12" t="s">
        <v>16</v>
      </c>
      <c r="D1452" s="12" t="s">
        <v>12</v>
      </c>
      <c r="E1452" s="13"/>
      <c r="F1452" s="13"/>
      <c r="G1452" s="12"/>
      <c r="H1452" s="14"/>
      <c r="I1452" s="12">
        <f>IFERROR(IF(T_PROD[[#This Row],[PREVISTO]]-T_PROD[[#This Row],[EFETIVO]]&lt; 0,0,T_PROD[[#This Row],[PREVISTO]]-T_PROD[[#This Row],[EFETIVO]] ),"")</f>
        <v>0</v>
      </c>
      <c r="J1452" s="15" t="str">
        <f>IFERROR(IF(T_PROD[[#This Row],[META]]&gt;0,(T_PROD[[#This Row],[META]]/T_PROD[[#This Row],[PREVISTO]]),""),"")</f>
        <v/>
      </c>
      <c r="K1452" s="15" t="str">
        <f>IFERROR(IF(T_PROD[[#This Row],[PRODUÇÃO]]&gt;0,(T_PROD[[#This Row],[PRODUÇÃO]]/T_PROD[[#This Row],[EFETIVO]]),""),"")</f>
        <v/>
      </c>
    </row>
    <row r="1453" spans="1:11" x14ac:dyDescent="0.3">
      <c r="A1453" s="11">
        <v>46261</v>
      </c>
      <c r="B1453" s="12" t="str">
        <f t="shared" si="160"/>
        <v>AGOSTO</v>
      </c>
      <c r="C1453" s="12" t="s">
        <v>17</v>
      </c>
      <c r="D1453" s="12" t="s">
        <v>12</v>
      </c>
      <c r="E1453" s="13"/>
      <c r="F1453" s="13"/>
      <c r="G1453" s="12"/>
      <c r="H1453" s="14"/>
      <c r="I1453" s="12">
        <f>IFERROR(IF(T_PROD[[#This Row],[PREVISTO]]-T_PROD[[#This Row],[EFETIVO]]&lt; 0,0,T_PROD[[#This Row],[PREVISTO]]-T_PROD[[#This Row],[EFETIVO]] ),"")</f>
        <v>0</v>
      </c>
      <c r="J1453" s="15" t="str">
        <f>IFERROR(IF(T_PROD[[#This Row],[META]]&gt;0,(T_PROD[[#This Row],[META]]/T_PROD[[#This Row],[PREVISTO]]),""),"")</f>
        <v/>
      </c>
      <c r="K1453" s="15" t="str">
        <f>IFERROR(IF(T_PROD[[#This Row],[PRODUÇÃO]]&gt;0,(T_PROD[[#This Row],[PRODUÇÃO]]/T_PROD[[#This Row],[EFETIVO]]),""),"")</f>
        <v/>
      </c>
    </row>
    <row r="1454" spans="1:11" x14ac:dyDescent="0.3">
      <c r="A1454" s="11">
        <v>46261</v>
      </c>
      <c r="B1454" s="12" t="str">
        <f t="shared" si="160"/>
        <v>AGOSTO</v>
      </c>
      <c r="C1454" s="12" t="s">
        <v>18</v>
      </c>
      <c r="D1454" s="12" t="s">
        <v>12</v>
      </c>
      <c r="E1454" s="13"/>
      <c r="F1454" s="13"/>
      <c r="G1454" s="12"/>
      <c r="H1454" s="14"/>
      <c r="I1454" s="12">
        <f>IFERROR(IF(T_PROD[[#This Row],[PREVISTO]]-T_PROD[[#This Row],[EFETIVO]]&lt; 0,0,T_PROD[[#This Row],[PREVISTO]]-T_PROD[[#This Row],[EFETIVO]] ),"")</f>
        <v>0</v>
      </c>
      <c r="J1454" s="15" t="str">
        <f>IFERROR(IF(T_PROD[[#This Row],[META]]&gt;0,(T_PROD[[#This Row],[META]]/T_PROD[[#This Row],[PREVISTO]]),""),"")</f>
        <v/>
      </c>
      <c r="K1454" s="15" t="str">
        <f>IFERROR(IF(T_PROD[[#This Row],[PRODUÇÃO]]&gt;0,(T_PROD[[#This Row],[PRODUÇÃO]]/T_PROD[[#This Row],[EFETIVO]]),""),"")</f>
        <v/>
      </c>
    </row>
    <row r="1455" spans="1:11" x14ac:dyDescent="0.3">
      <c r="A1455" s="11">
        <v>46261</v>
      </c>
      <c r="B1455" s="12" t="str">
        <f t="shared" si="160"/>
        <v>AGOSTO</v>
      </c>
      <c r="C1455" s="12" t="s">
        <v>19</v>
      </c>
      <c r="D1455" s="12" t="s">
        <v>12</v>
      </c>
      <c r="E1455" s="13"/>
      <c r="F1455" s="13"/>
      <c r="G1455" s="12"/>
      <c r="H1455" s="14"/>
      <c r="I1455" s="12">
        <f>IFERROR(IF(T_PROD[[#This Row],[PREVISTO]]-T_PROD[[#This Row],[EFETIVO]]&lt; 0,0,T_PROD[[#This Row],[PREVISTO]]-T_PROD[[#This Row],[EFETIVO]] ),"")</f>
        <v>0</v>
      </c>
      <c r="J1455" s="15" t="str">
        <f>IFERROR(IF(T_PROD[[#This Row],[META]]&gt;0,(T_PROD[[#This Row],[META]]/T_PROD[[#This Row],[PREVISTO]]),""),"")</f>
        <v/>
      </c>
      <c r="K1455" s="15" t="str">
        <f>IFERROR(IF(T_PROD[[#This Row],[PRODUÇÃO]]&gt;0,(T_PROD[[#This Row],[PRODUÇÃO]]/T_PROD[[#This Row],[EFETIVO]]),""),"")</f>
        <v/>
      </c>
    </row>
    <row r="1456" spans="1:11" x14ac:dyDescent="0.3">
      <c r="A1456" s="11">
        <v>46261</v>
      </c>
      <c r="B1456" s="12" t="str">
        <f t="shared" si="160"/>
        <v>AGOSTO</v>
      </c>
      <c r="C1456" s="12" t="s">
        <v>20</v>
      </c>
      <c r="D1456" s="12" t="s">
        <v>12</v>
      </c>
      <c r="E1456" s="13"/>
      <c r="F1456" s="13"/>
      <c r="G1456" s="12"/>
      <c r="H1456" s="14"/>
      <c r="I1456" s="12">
        <f>IFERROR(IF(T_PROD[[#This Row],[PREVISTO]]-T_PROD[[#This Row],[EFETIVO]]&lt; 0,0,T_PROD[[#This Row],[PREVISTO]]-T_PROD[[#This Row],[EFETIVO]] ),"")</f>
        <v>0</v>
      </c>
      <c r="J1456" s="15" t="str">
        <f>IFERROR(IF(T_PROD[[#This Row],[META]]&gt;0,(T_PROD[[#This Row],[META]]/T_PROD[[#This Row],[PREVISTO]]),""),"")</f>
        <v/>
      </c>
      <c r="K1456" s="15" t="str">
        <f>IFERROR(IF(T_PROD[[#This Row],[PRODUÇÃO]]&gt;0,(T_PROD[[#This Row],[PRODUÇÃO]]/T_PROD[[#This Row],[EFETIVO]]),""),"")</f>
        <v/>
      </c>
    </row>
    <row r="1457" spans="1:11" x14ac:dyDescent="0.3">
      <c r="A1457" s="11">
        <v>46261</v>
      </c>
      <c r="B1457" s="12" t="str">
        <f t="shared" si="160"/>
        <v>AGOSTO</v>
      </c>
      <c r="C1457" s="12" t="s">
        <v>11</v>
      </c>
      <c r="D1457" s="12" t="s">
        <v>12</v>
      </c>
      <c r="E1457" s="13">
        <v>700</v>
      </c>
      <c r="F1457" s="13">
        <v>705</v>
      </c>
      <c r="G1457" s="12">
        <v>35</v>
      </c>
      <c r="H1457" s="14">
        <v>35</v>
      </c>
      <c r="I1457" s="12">
        <f>IFERROR(IF(T_PROD[[#This Row],[PREVISTO]]-T_PROD[[#This Row],[EFETIVO]]&lt; 0,0,T_PROD[[#This Row],[PREVISTO]]-T_PROD[[#This Row],[EFETIVO]] ),"")</f>
        <v>0</v>
      </c>
      <c r="J1457" s="15">
        <f>IFERROR(IF(T_PROD[[#This Row],[META]]&gt;0,(T_PROD[[#This Row],[META]]/T_PROD[[#This Row],[PREVISTO]]),""),"")</f>
        <v>20</v>
      </c>
      <c r="K1457" s="15">
        <f>IFERROR(IF(T_PROD[[#This Row],[PRODUÇÃO]]&gt;0,(T_PROD[[#This Row],[PRODUÇÃO]]/T_PROD[[#This Row],[EFETIVO]]),""),"")</f>
        <v>20.142857142857142</v>
      </c>
    </row>
    <row r="1458" spans="1:11" x14ac:dyDescent="0.3">
      <c r="A1458" s="11">
        <v>46261</v>
      </c>
      <c r="B1458" s="12" t="str">
        <f t="shared" si="160"/>
        <v>AGOSTO</v>
      </c>
      <c r="C1458" s="12" t="s">
        <v>32</v>
      </c>
      <c r="D1458" s="12" t="s">
        <v>12</v>
      </c>
      <c r="E1458" s="13">
        <v>66</v>
      </c>
      <c r="F1458" s="13">
        <v>73</v>
      </c>
      <c r="G1458" s="12">
        <v>6</v>
      </c>
      <c r="H1458" s="14">
        <v>6</v>
      </c>
      <c r="I1458" s="12">
        <f>IFERROR(IF(T_PROD[[#This Row],[PREVISTO]]-T_PROD[[#This Row],[EFETIVO]]&lt; 0,0,T_PROD[[#This Row],[PREVISTO]]-T_PROD[[#This Row],[EFETIVO]] ),"")</f>
        <v>0</v>
      </c>
      <c r="J1458" s="15">
        <f>IFERROR(IF(T_PROD[[#This Row],[META]]&gt;0,(T_PROD[[#This Row],[META]]/T_PROD[[#This Row],[PREVISTO]]),""),"")</f>
        <v>11</v>
      </c>
      <c r="K1458" s="15">
        <f>IFERROR(IF(T_PROD[[#This Row],[PRODUÇÃO]]&gt;0,(T_PROD[[#This Row],[PRODUÇÃO]]/T_PROD[[#This Row],[EFETIVO]]),""),"")</f>
        <v>12.166666666666666</v>
      </c>
    </row>
    <row r="1459" spans="1:11" x14ac:dyDescent="0.3">
      <c r="A1459" s="11">
        <v>46261</v>
      </c>
      <c r="B1459" s="12" t="str">
        <f t="shared" si="160"/>
        <v>AGOSTO</v>
      </c>
      <c r="C1459" s="12" t="s">
        <v>14</v>
      </c>
      <c r="D1459" s="12" t="s">
        <v>12</v>
      </c>
      <c r="E1459" s="13">
        <v>766</v>
      </c>
      <c r="F1459" s="13">
        <v>778</v>
      </c>
      <c r="G1459" s="12">
        <v>92</v>
      </c>
      <c r="H1459" s="14">
        <v>92</v>
      </c>
      <c r="I1459" s="12">
        <f>IFERROR(IF(T_PROD[[#This Row],[PREVISTO]]-T_PROD[[#This Row],[EFETIVO]]&lt; 0,0,T_PROD[[#This Row],[PREVISTO]]-T_PROD[[#This Row],[EFETIVO]] ),"")</f>
        <v>0</v>
      </c>
      <c r="J1459" s="15">
        <f>IFERROR(IF(T_PROD[[#This Row],[META]]&gt;0,(T_PROD[[#This Row],[META]]/T_PROD[[#This Row],[PREVISTO]]),""),"")</f>
        <v>8.3260869565217384</v>
      </c>
      <c r="K1459" s="15">
        <f>IFERROR(IF(T_PROD[[#This Row],[PRODUÇÃO]]&gt;0,(T_PROD[[#This Row],[PRODUÇÃO]]/T_PROD[[#This Row],[EFETIVO]]),""),"")</f>
        <v>8.4565217391304355</v>
      </c>
    </row>
    <row r="1460" spans="1:11" x14ac:dyDescent="0.3">
      <c r="A1460" s="11">
        <v>46262</v>
      </c>
      <c r="B1460" s="12" t="str">
        <f>UPPER(TEXT(A1460,"MMMM"))</f>
        <v>AGOSTO</v>
      </c>
      <c r="C1460" s="12" t="s">
        <v>15</v>
      </c>
      <c r="D1460" s="12" t="s">
        <v>12</v>
      </c>
      <c r="E1460" s="13"/>
      <c r="F1460" s="13"/>
      <c r="G1460" s="12"/>
      <c r="H1460" s="14"/>
      <c r="I1460" s="12">
        <f>IFERROR(IF(T_PROD[[#This Row],[PREVISTO]]-T_PROD[[#This Row],[EFETIVO]]&lt; 0,0,T_PROD[[#This Row],[PREVISTO]]-T_PROD[[#This Row],[EFETIVO]] ),"")</f>
        <v>0</v>
      </c>
      <c r="J1460" s="15" t="str">
        <f>IFERROR(IF(T_PROD[[#This Row],[META]]&gt;0,(T_PROD[[#This Row],[META]]/T_PROD[[#This Row],[PREVISTO]]),""),"")</f>
        <v/>
      </c>
      <c r="K1460" s="15" t="str">
        <f>IFERROR(IF(T_PROD[[#This Row],[PRODUÇÃO]]&gt;0,(T_PROD[[#This Row],[PRODUÇÃO]]/T_PROD[[#This Row],[EFETIVO]]),""),"")</f>
        <v/>
      </c>
    </row>
    <row r="1461" spans="1:11" x14ac:dyDescent="0.3">
      <c r="A1461" s="11">
        <v>46262</v>
      </c>
      <c r="B1461" s="12" t="str">
        <f t="shared" ref="B1461:B1468" si="161">UPPER(TEXT(A1461,"MMMM"))</f>
        <v>AGOSTO</v>
      </c>
      <c r="C1461" s="12" t="s">
        <v>16</v>
      </c>
      <c r="D1461" s="12" t="s">
        <v>12</v>
      </c>
      <c r="E1461" s="13"/>
      <c r="F1461" s="13"/>
      <c r="G1461" s="12"/>
      <c r="H1461" s="14"/>
      <c r="I1461" s="12">
        <f>IFERROR(IF(T_PROD[[#This Row],[PREVISTO]]-T_PROD[[#This Row],[EFETIVO]]&lt; 0,0,T_PROD[[#This Row],[PREVISTO]]-T_PROD[[#This Row],[EFETIVO]] ),"")</f>
        <v>0</v>
      </c>
      <c r="J1461" s="15" t="str">
        <f>IFERROR(IF(T_PROD[[#This Row],[META]]&gt;0,(T_PROD[[#This Row],[META]]/T_PROD[[#This Row],[PREVISTO]]),""),"")</f>
        <v/>
      </c>
      <c r="K1461" s="15" t="str">
        <f>IFERROR(IF(T_PROD[[#This Row],[PRODUÇÃO]]&gt;0,(T_PROD[[#This Row],[PRODUÇÃO]]/T_PROD[[#This Row],[EFETIVO]]),""),"")</f>
        <v/>
      </c>
    </row>
    <row r="1462" spans="1:11" x14ac:dyDescent="0.3">
      <c r="A1462" s="11">
        <v>46262</v>
      </c>
      <c r="B1462" s="12" t="str">
        <f t="shared" si="161"/>
        <v>AGOSTO</v>
      </c>
      <c r="C1462" s="12" t="s">
        <v>17</v>
      </c>
      <c r="D1462" s="12" t="s">
        <v>12</v>
      </c>
      <c r="E1462" s="13"/>
      <c r="F1462" s="13"/>
      <c r="G1462" s="12"/>
      <c r="H1462" s="14"/>
      <c r="I1462" s="12">
        <f>IFERROR(IF(T_PROD[[#This Row],[PREVISTO]]-T_PROD[[#This Row],[EFETIVO]]&lt; 0,0,T_PROD[[#This Row],[PREVISTO]]-T_PROD[[#This Row],[EFETIVO]] ),"")</f>
        <v>0</v>
      </c>
      <c r="J1462" s="15" t="str">
        <f>IFERROR(IF(T_PROD[[#This Row],[META]]&gt;0,(T_PROD[[#This Row],[META]]/T_PROD[[#This Row],[PREVISTO]]),""),"")</f>
        <v/>
      </c>
      <c r="K1462" s="15" t="str">
        <f>IFERROR(IF(T_PROD[[#This Row],[PRODUÇÃO]]&gt;0,(T_PROD[[#This Row],[PRODUÇÃO]]/T_PROD[[#This Row],[EFETIVO]]),""),"")</f>
        <v/>
      </c>
    </row>
    <row r="1463" spans="1:11" x14ac:dyDescent="0.3">
      <c r="A1463" s="11">
        <v>46262</v>
      </c>
      <c r="B1463" s="12" t="str">
        <f t="shared" si="161"/>
        <v>AGOSTO</v>
      </c>
      <c r="C1463" s="12" t="s">
        <v>18</v>
      </c>
      <c r="D1463" s="12" t="s">
        <v>12</v>
      </c>
      <c r="E1463" s="13"/>
      <c r="F1463" s="13"/>
      <c r="G1463" s="12"/>
      <c r="H1463" s="14"/>
      <c r="I1463" s="12">
        <f>IFERROR(IF(T_PROD[[#This Row],[PREVISTO]]-T_PROD[[#This Row],[EFETIVO]]&lt; 0,0,T_PROD[[#This Row],[PREVISTO]]-T_PROD[[#This Row],[EFETIVO]] ),"")</f>
        <v>0</v>
      </c>
      <c r="J1463" s="15" t="str">
        <f>IFERROR(IF(T_PROD[[#This Row],[META]]&gt;0,(T_PROD[[#This Row],[META]]/T_PROD[[#This Row],[PREVISTO]]),""),"")</f>
        <v/>
      </c>
      <c r="K1463" s="15" t="str">
        <f>IFERROR(IF(T_PROD[[#This Row],[PRODUÇÃO]]&gt;0,(T_PROD[[#This Row],[PRODUÇÃO]]/T_PROD[[#This Row],[EFETIVO]]),""),"")</f>
        <v/>
      </c>
    </row>
    <row r="1464" spans="1:11" x14ac:dyDescent="0.3">
      <c r="A1464" s="11">
        <v>46262</v>
      </c>
      <c r="B1464" s="12" t="str">
        <f t="shared" si="161"/>
        <v>AGOSTO</v>
      </c>
      <c r="C1464" s="12" t="s">
        <v>19</v>
      </c>
      <c r="D1464" s="12" t="s">
        <v>12</v>
      </c>
      <c r="E1464" s="13"/>
      <c r="F1464" s="13"/>
      <c r="G1464" s="12"/>
      <c r="H1464" s="14"/>
      <c r="I1464" s="12">
        <f>IFERROR(IF(T_PROD[[#This Row],[PREVISTO]]-T_PROD[[#This Row],[EFETIVO]]&lt; 0,0,T_PROD[[#This Row],[PREVISTO]]-T_PROD[[#This Row],[EFETIVO]] ),"")</f>
        <v>0</v>
      </c>
      <c r="J1464" s="15" t="str">
        <f>IFERROR(IF(T_PROD[[#This Row],[META]]&gt;0,(T_PROD[[#This Row],[META]]/T_PROD[[#This Row],[PREVISTO]]),""),"")</f>
        <v/>
      </c>
      <c r="K1464" s="15" t="str">
        <f>IFERROR(IF(T_PROD[[#This Row],[PRODUÇÃO]]&gt;0,(T_PROD[[#This Row],[PRODUÇÃO]]/T_PROD[[#This Row],[EFETIVO]]),""),"")</f>
        <v/>
      </c>
    </row>
    <row r="1465" spans="1:11" x14ac:dyDescent="0.3">
      <c r="A1465" s="11">
        <v>46262</v>
      </c>
      <c r="B1465" s="12" t="str">
        <f t="shared" si="161"/>
        <v>AGOSTO</v>
      </c>
      <c r="C1465" s="12" t="s">
        <v>20</v>
      </c>
      <c r="D1465" s="12" t="s">
        <v>12</v>
      </c>
      <c r="E1465" s="13"/>
      <c r="F1465" s="13"/>
      <c r="G1465" s="12"/>
      <c r="H1465" s="14"/>
      <c r="I1465" s="12">
        <f>IFERROR(IF(T_PROD[[#This Row],[PREVISTO]]-T_PROD[[#This Row],[EFETIVO]]&lt; 0,0,T_PROD[[#This Row],[PREVISTO]]-T_PROD[[#This Row],[EFETIVO]] ),"")</f>
        <v>0</v>
      </c>
      <c r="J1465" s="15" t="str">
        <f>IFERROR(IF(T_PROD[[#This Row],[META]]&gt;0,(T_PROD[[#This Row],[META]]/T_PROD[[#This Row],[PREVISTO]]),""),"")</f>
        <v/>
      </c>
      <c r="K1465" s="15" t="str">
        <f>IFERROR(IF(T_PROD[[#This Row],[PRODUÇÃO]]&gt;0,(T_PROD[[#This Row],[PRODUÇÃO]]/T_PROD[[#This Row],[EFETIVO]]),""),"")</f>
        <v/>
      </c>
    </row>
    <row r="1466" spans="1:11" x14ac:dyDescent="0.3">
      <c r="A1466" s="11">
        <v>46262</v>
      </c>
      <c r="B1466" s="12" t="str">
        <f t="shared" si="161"/>
        <v>AGOSTO</v>
      </c>
      <c r="C1466" s="12" t="s">
        <v>11</v>
      </c>
      <c r="D1466" s="12" t="s">
        <v>12</v>
      </c>
      <c r="E1466" s="13">
        <v>560</v>
      </c>
      <c r="F1466" s="13">
        <v>560</v>
      </c>
      <c r="G1466" s="12">
        <v>28</v>
      </c>
      <c r="H1466" s="14">
        <v>28</v>
      </c>
      <c r="I1466" s="12">
        <f>IFERROR(IF(T_PROD[[#This Row],[PREVISTO]]-T_PROD[[#This Row],[EFETIVO]]&lt; 0,0,T_PROD[[#This Row],[PREVISTO]]-T_PROD[[#This Row],[EFETIVO]] ),"")</f>
        <v>0</v>
      </c>
      <c r="J1466" s="15">
        <f>IFERROR(IF(T_PROD[[#This Row],[META]]&gt;0,(T_PROD[[#This Row],[META]]/T_PROD[[#This Row],[PREVISTO]]),""),"")</f>
        <v>20</v>
      </c>
      <c r="K1466" s="15">
        <f>IFERROR(IF(T_PROD[[#This Row],[PRODUÇÃO]]&gt;0,(T_PROD[[#This Row],[PRODUÇÃO]]/T_PROD[[#This Row],[EFETIVO]]),""),"")</f>
        <v>20</v>
      </c>
    </row>
    <row r="1467" spans="1:11" x14ac:dyDescent="0.3">
      <c r="A1467" s="11">
        <v>46262</v>
      </c>
      <c r="B1467" s="12" t="str">
        <f t="shared" si="161"/>
        <v>AGOSTO</v>
      </c>
      <c r="C1467" s="12" t="s">
        <v>32</v>
      </c>
      <c r="D1467" s="12" t="s">
        <v>12</v>
      </c>
      <c r="E1467" s="13">
        <v>66</v>
      </c>
      <c r="F1467" s="13">
        <v>60</v>
      </c>
      <c r="G1467" s="12">
        <v>6</v>
      </c>
      <c r="H1467" s="14">
        <v>6</v>
      </c>
      <c r="I1467" s="12">
        <f>IFERROR(IF(T_PROD[[#This Row],[PREVISTO]]-T_PROD[[#This Row],[EFETIVO]]&lt; 0,0,T_PROD[[#This Row],[PREVISTO]]-T_PROD[[#This Row],[EFETIVO]] ),"")</f>
        <v>0</v>
      </c>
      <c r="J1467" s="15">
        <f>IFERROR(IF(T_PROD[[#This Row],[META]]&gt;0,(T_PROD[[#This Row],[META]]/T_PROD[[#This Row],[PREVISTO]]),""),"")</f>
        <v>11</v>
      </c>
      <c r="K1467" s="15">
        <f>IFERROR(IF(T_PROD[[#This Row],[PRODUÇÃO]]&gt;0,(T_PROD[[#This Row],[PRODUÇÃO]]/T_PROD[[#This Row],[EFETIVO]]),""),"")</f>
        <v>10</v>
      </c>
    </row>
    <row r="1468" spans="1:11" x14ac:dyDescent="0.3">
      <c r="A1468" s="11">
        <v>46262</v>
      </c>
      <c r="B1468" s="12" t="str">
        <f t="shared" si="161"/>
        <v>AGOSTO</v>
      </c>
      <c r="C1468" s="12" t="s">
        <v>14</v>
      </c>
      <c r="D1468" s="12" t="s">
        <v>12</v>
      </c>
      <c r="E1468" s="13">
        <v>626</v>
      </c>
      <c r="F1468" s="13">
        <v>620</v>
      </c>
      <c r="G1468" s="12">
        <v>78</v>
      </c>
      <c r="H1468" s="14">
        <v>76</v>
      </c>
      <c r="I1468" s="12">
        <f>IFERROR(IF(T_PROD[[#This Row],[PREVISTO]]-T_PROD[[#This Row],[EFETIVO]]&lt; 0,0,T_PROD[[#This Row],[PREVISTO]]-T_PROD[[#This Row],[EFETIVO]] ),"")</f>
        <v>2</v>
      </c>
      <c r="J1468" s="15">
        <f>IFERROR(IF(T_PROD[[#This Row],[META]]&gt;0,(T_PROD[[#This Row],[META]]/T_PROD[[#This Row],[PREVISTO]]),""),"")</f>
        <v>8.0256410256410255</v>
      </c>
      <c r="K1468" s="15">
        <f>IFERROR(IF(T_PROD[[#This Row],[PRODUÇÃO]]&gt;0,(T_PROD[[#This Row],[PRODUÇÃO]]/T_PROD[[#This Row],[EFETIVO]]),""),"")</f>
        <v>8.1578947368421044</v>
      </c>
    </row>
    <row r="1469" spans="1:11" x14ac:dyDescent="0.3">
      <c r="A1469" s="11">
        <v>46265</v>
      </c>
      <c r="B1469" s="12" t="str">
        <f>UPPER(TEXT(A1469,"MMMM"))</f>
        <v>AGOSTO</v>
      </c>
      <c r="C1469" s="12" t="s">
        <v>15</v>
      </c>
      <c r="D1469" s="12" t="s">
        <v>12</v>
      </c>
      <c r="E1469" s="13"/>
      <c r="F1469" s="13"/>
      <c r="G1469" s="12"/>
      <c r="H1469" s="14"/>
      <c r="I1469" s="12">
        <f>IFERROR(IF(T_PROD[[#This Row],[PREVISTO]]-T_PROD[[#This Row],[EFETIVO]]&lt; 0,0,T_PROD[[#This Row],[PREVISTO]]-T_PROD[[#This Row],[EFETIVO]] ),"")</f>
        <v>0</v>
      </c>
      <c r="J1469" s="15" t="str">
        <f>IFERROR(IF(T_PROD[[#This Row],[META]]&gt;0,(T_PROD[[#This Row],[META]]/T_PROD[[#This Row],[PREVISTO]]),""),"")</f>
        <v/>
      </c>
      <c r="K1469" s="15" t="str">
        <f>IFERROR(IF(T_PROD[[#This Row],[PRODUÇÃO]]&gt;0,(T_PROD[[#This Row],[PRODUÇÃO]]/T_PROD[[#This Row],[EFETIVO]]),""),"")</f>
        <v/>
      </c>
    </row>
    <row r="1470" spans="1:11" x14ac:dyDescent="0.3">
      <c r="A1470" s="11">
        <v>46265</v>
      </c>
      <c r="B1470" s="12" t="str">
        <f t="shared" ref="B1470:B1477" si="162">UPPER(TEXT(A1470,"MMMM"))</f>
        <v>AGOSTO</v>
      </c>
      <c r="C1470" s="12" t="s">
        <v>16</v>
      </c>
      <c r="D1470" s="12" t="s">
        <v>12</v>
      </c>
      <c r="E1470" s="13"/>
      <c r="F1470" s="13"/>
      <c r="G1470" s="12"/>
      <c r="H1470" s="14"/>
      <c r="I1470" s="12">
        <f>IFERROR(IF(T_PROD[[#This Row],[PREVISTO]]-T_PROD[[#This Row],[EFETIVO]]&lt; 0,0,T_PROD[[#This Row],[PREVISTO]]-T_PROD[[#This Row],[EFETIVO]] ),"")</f>
        <v>0</v>
      </c>
      <c r="J1470" s="15" t="str">
        <f>IFERROR(IF(T_PROD[[#This Row],[META]]&gt;0,(T_PROD[[#This Row],[META]]/T_PROD[[#This Row],[PREVISTO]]),""),"")</f>
        <v/>
      </c>
      <c r="K1470" s="15" t="str">
        <f>IFERROR(IF(T_PROD[[#This Row],[PRODUÇÃO]]&gt;0,(T_PROD[[#This Row],[PRODUÇÃO]]/T_PROD[[#This Row],[EFETIVO]]),""),"")</f>
        <v/>
      </c>
    </row>
    <row r="1471" spans="1:11" x14ac:dyDescent="0.3">
      <c r="A1471" s="11">
        <v>46265</v>
      </c>
      <c r="B1471" s="12" t="str">
        <f t="shared" si="162"/>
        <v>AGOSTO</v>
      </c>
      <c r="C1471" s="12" t="s">
        <v>17</v>
      </c>
      <c r="D1471" s="12" t="s">
        <v>12</v>
      </c>
      <c r="E1471" s="13"/>
      <c r="F1471" s="13"/>
      <c r="G1471" s="12"/>
      <c r="H1471" s="14"/>
      <c r="I1471" s="12">
        <f>IFERROR(IF(T_PROD[[#This Row],[PREVISTO]]-T_PROD[[#This Row],[EFETIVO]]&lt; 0,0,T_PROD[[#This Row],[PREVISTO]]-T_PROD[[#This Row],[EFETIVO]] ),"")</f>
        <v>0</v>
      </c>
      <c r="J1471" s="15" t="str">
        <f>IFERROR(IF(T_PROD[[#This Row],[META]]&gt;0,(T_PROD[[#This Row],[META]]/T_PROD[[#This Row],[PREVISTO]]),""),"")</f>
        <v/>
      </c>
      <c r="K1471" s="15" t="str">
        <f>IFERROR(IF(T_PROD[[#This Row],[PRODUÇÃO]]&gt;0,(T_PROD[[#This Row],[PRODUÇÃO]]/T_PROD[[#This Row],[EFETIVO]]),""),"")</f>
        <v/>
      </c>
    </row>
    <row r="1472" spans="1:11" x14ac:dyDescent="0.3">
      <c r="A1472" s="11">
        <v>46265</v>
      </c>
      <c r="B1472" s="12" t="str">
        <f t="shared" si="162"/>
        <v>AGOSTO</v>
      </c>
      <c r="C1472" s="12" t="s">
        <v>18</v>
      </c>
      <c r="D1472" s="12" t="s">
        <v>12</v>
      </c>
      <c r="E1472" s="13"/>
      <c r="F1472" s="13"/>
      <c r="G1472" s="12"/>
      <c r="H1472" s="14"/>
      <c r="I1472" s="12">
        <f>IFERROR(IF(T_PROD[[#This Row],[PREVISTO]]-T_PROD[[#This Row],[EFETIVO]]&lt; 0,0,T_PROD[[#This Row],[PREVISTO]]-T_PROD[[#This Row],[EFETIVO]] ),"")</f>
        <v>0</v>
      </c>
      <c r="J1472" s="15" t="str">
        <f>IFERROR(IF(T_PROD[[#This Row],[META]]&gt;0,(T_PROD[[#This Row],[META]]/T_PROD[[#This Row],[PREVISTO]]),""),"")</f>
        <v/>
      </c>
      <c r="K1472" s="15" t="str">
        <f>IFERROR(IF(T_PROD[[#This Row],[PRODUÇÃO]]&gt;0,(T_PROD[[#This Row],[PRODUÇÃO]]/T_PROD[[#This Row],[EFETIVO]]),""),"")</f>
        <v/>
      </c>
    </row>
    <row r="1473" spans="1:11" x14ac:dyDescent="0.3">
      <c r="A1473" s="11">
        <v>46265</v>
      </c>
      <c r="B1473" s="12" t="str">
        <f t="shared" si="162"/>
        <v>AGOSTO</v>
      </c>
      <c r="C1473" s="12" t="s">
        <v>19</v>
      </c>
      <c r="D1473" s="12" t="s">
        <v>12</v>
      </c>
      <c r="E1473" s="13"/>
      <c r="F1473" s="13"/>
      <c r="G1473" s="12"/>
      <c r="H1473" s="14"/>
      <c r="I1473" s="12">
        <f>IFERROR(IF(T_PROD[[#This Row],[PREVISTO]]-T_PROD[[#This Row],[EFETIVO]]&lt; 0,0,T_PROD[[#This Row],[PREVISTO]]-T_PROD[[#This Row],[EFETIVO]] ),"")</f>
        <v>0</v>
      </c>
      <c r="J1473" s="15" t="str">
        <f>IFERROR(IF(T_PROD[[#This Row],[META]]&gt;0,(T_PROD[[#This Row],[META]]/T_PROD[[#This Row],[PREVISTO]]),""),"")</f>
        <v/>
      </c>
      <c r="K1473" s="15" t="str">
        <f>IFERROR(IF(T_PROD[[#This Row],[PRODUÇÃO]]&gt;0,(T_PROD[[#This Row],[PRODUÇÃO]]/T_PROD[[#This Row],[EFETIVO]]),""),"")</f>
        <v/>
      </c>
    </row>
    <row r="1474" spans="1:11" x14ac:dyDescent="0.3">
      <c r="A1474" s="11">
        <v>46265</v>
      </c>
      <c r="B1474" s="12" t="str">
        <f t="shared" si="162"/>
        <v>AGOSTO</v>
      </c>
      <c r="C1474" s="12" t="s">
        <v>20</v>
      </c>
      <c r="D1474" s="12" t="s">
        <v>12</v>
      </c>
      <c r="E1474" s="13"/>
      <c r="F1474" s="13"/>
      <c r="G1474" s="12"/>
      <c r="H1474" s="14"/>
      <c r="I1474" s="12">
        <f>IFERROR(IF(T_PROD[[#This Row],[PREVISTO]]-T_PROD[[#This Row],[EFETIVO]]&lt; 0,0,T_PROD[[#This Row],[PREVISTO]]-T_PROD[[#This Row],[EFETIVO]] ),"")</f>
        <v>0</v>
      </c>
      <c r="J1474" s="15" t="str">
        <f>IFERROR(IF(T_PROD[[#This Row],[META]]&gt;0,(T_PROD[[#This Row],[META]]/T_PROD[[#This Row],[PREVISTO]]),""),"")</f>
        <v/>
      </c>
      <c r="K1474" s="15" t="str">
        <f>IFERROR(IF(T_PROD[[#This Row],[PRODUÇÃO]]&gt;0,(T_PROD[[#This Row],[PRODUÇÃO]]/T_PROD[[#This Row],[EFETIVO]]),""),"")</f>
        <v/>
      </c>
    </row>
    <row r="1475" spans="1:11" x14ac:dyDescent="0.3">
      <c r="A1475" s="11">
        <v>46265</v>
      </c>
      <c r="B1475" s="12" t="str">
        <f t="shared" si="162"/>
        <v>AGOSTO</v>
      </c>
      <c r="C1475" s="12" t="s">
        <v>11</v>
      </c>
      <c r="D1475" s="12" t="s">
        <v>12</v>
      </c>
      <c r="E1475" s="13">
        <v>840</v>
      </c>
      <c r="F1475" s="13">
        <v>830</v>
      </c>
      <c r="G1475" s="12">
        <v>42</v>
      </c>
      <c r="H1475" s="14">
        <v>42</v>
      </c>
      <c r="I1475" s="12">
        <f>IFERROR(IF(T_PROD[[#This Row],[PREVISTO]]-T_PROD[[#This Row],[EFETIVO]]&lt; 0,0,T_PROD[[#This Row],[PREVISTO]]-T_PROD[[#This Row],[EFETIVO]] ),"")</f>
        <v>0</v>
      </c>
      <c r="J1475" s="15">
        <f>IFERROR(IF(T_PROD[[#This Row],[META]]&gt;0,(T_PROD[[#This Row],[META]]/T_PROD[[#This Row],[PREVISTO]]),""),"")</f>
        <v>20</v>
      </c>
      <c r="K1475" s="15">
        <f>IFERROR(IF(T_PROD[[#This Row],[PRODUÇÃO]]&gt;0,(T_PROD[[#This Row],[PRODUÇÃO]]/T_PROD[[#This Row],[EFETIVO]]),""),"")</f>
        <v>19.761904761904763</v>
      </c>
    </row>
    <row r="1476" spans="1:11" x14ac:dyDescent="0.3">
      <c r="A1476" s="11">
        <v>46265</v>
      </c>
      <c r="B1476" s="12" t="str">
        <f t="shared" si="162"/>
        <v>AGOSTO</v>
      </c>
      <c r="C1476" s="12" t="s">
        <v>32</v>
      </c>
      <c r="D1476" s="12" t="s">
        <v>12</v>
      </c>
      <c r="E1476" s="13">
        <v>66</v>
      </c>
      <c r="F1476" s="13">
        <v>71</v>
      </c>
      <c r="G1476" s="12">
        <v>6</v>
      </c>
      <c r="H1476" s="14">
        <v>6</v>
      </c>
      <c r="I1476" s="12">
        <f>IFERROR(IF(T_PROD[[#This Row],[PREVISTO]]-T_PROD[[#This Row],[EFETIVO]]&lt; 0,0,T_PROD[[#This Row],[PREVISTO]]-T_PROD[[#This Row],[EFETIVO]] ),"")</f>
        <v>0</v>
      </c>
      <c r="J1476" s="15">
        <f>IFERROR(IF(T_PROD[[#This Row],[META]]&gt;0,(T_PROD[[#This Row],[META]]/T_PROD[[#This Row],[PREVISTO]]),""),"")</f>
        <v>11</v>
      </c>
      <c r="K1476" s="15">
        <f>IFERROR(IF(T_PROD[[#This Row],[PRODUÇÃO]]&gt;0,(T_PROD[[#This Row],[PRODUÇÃO]]/T_PROD[[#This Row],[EFETIVO]]),""),"")</f>
        <v>11.833333333333334</v>
      </c>
    </row>
    <row r="1477" spans="1:11" x14ac:dyDescent="0.3">
      <c r="A1477" s="11">
        <v>46265</v>
      </c>
      <c r="B1477" s="12" t="str">
        <f t="shared" si="162"/>
        <v>AGOSTO</v>
      </c>
      <c r="C1477" s="12" t="s">
        <v>14</v>
      </c>
      <c r="D1477" s="12" t="s">
        <v>12</v>
      </c>
      <c r="E1477" s="13">
        <v>906</v>
      </c>
      <c r="F1477" s="13">
        <v>901</v>
      </c>
      <c r="G1477" s="12">
        <v>96</v>
      </c>
      <c r="H1477" s="14">
        <v>96</v>
      </c>
      <c r="I1477" s="12">
        <f>IFERROR(IF(T_PROD[[#This Row],[PREVISTO]]-T_PROD[[#This Row],[EFETIVO]]&lt; 0,0,T_PROD[[#This Row],[PREVISTO]]-T_PROD[[#This Row],[EFETIVO]] ),"")</f>
        <v>0</v>
      </c>
      <c r="J1477" s="15">
        <f>IFERROR(IF(T_PROD[[#This Row],[META]]&gt;0,(T_PROD[[#This Row],[META]]/T_PROD[[#This Row],[PREVISTO]]),""),"")</f>
        <v>9.4375</v>
      </c>
      <c r="K1477" s="15">
        <f>IFERROR(IF(T_PROD[[#This Row],[PRODUÇÃO]]&gt;0,(T_PROD[[#This Row],[PRODUÇÃO]]/T_PROD[[#This Row],[EFETIVO]]),""),"")</f>
        <v>9.3854166666666661</v>
      </c>
    </row>
    <row r="1478" spans="1:11" x14ac:dyDescent="0.3">
      <c r="A1478" s="7">
        <v>46266</v>
      </c>
      <c r="B1478" s="6" t="str">
        <f>UPPER(TEXT(A1478,"MMMM"))</f>
        <v>SETEMBRO</v>
      </c>
      <c r="C1478" s="12" t="s">
        <v>15</v>
      </c>
      <c r="D1478" s="12" t="s">
        <v>12</v>
      </c>
      <c r="E1478" s="8">
        <v>90</v>
      </c>
      <c r="F1478" s="8">
        <v>50</v>
      </c>
      <c r="G1478" s="6">
        <v>6</v>
      </c>
      <c r="H1478" s="9">
        <v>6</v>
      </c>
      <c r="I1478" s="6">
        <f>IFERROR(IF(T_PROD[[#This Row],[PREVISTO]]-T_PROD[[#This Row],[EFETIVO]]&lt; 0,0,T_PROD[[#This Row],[PREVISTO]]-T_PROD[[#This Row],[EFETIVO]] ),"")</f>
        <v>0</v>
      </c>
      <c r="J1478" s="10">
        <f>IFERROR(IF(T_PROD[[#This Row],[META]]&gt;0,(T_PROD[[#This Row],[META]]/T_PROD[[#This Row],[PREVISTO]]),""),"")</f>
        <v>15</v>
      </c>
      <c r="K1478" s="10">
        <f>IFERROR(IF(T_PROD[[#This Row],[PRODUÇÃO]]&gt;0,(T_PROD[[#This Row],[PRODUÇÃO]]/T_PROD[[#This Row],[EFETIVO]]),""),"")</f>
        <v>8.3333333333333339</v>
      </c>
    </row>
    <row r="1479" spans="1:11" x14ac:dyDescent="0.3">
      <c r="A1479" s="7">
        <v>46266</v>
      </c>
      <c r="B1479" s="6" t="str">
        <f t="shared" ref="B1479:B1486" si="163">UPPER(TEXT(A1479,"MMMM"))</f>
        <v>SETEMBRO</v>
      </c>
      <c r="C1479" s="12" t="s">
        <v>16</v>
      </c>
      <c r="D1479" s="12" t="s">
        <v>12</v>
      </c>
      <c r="E1479" s="8">
        <v>255</v>
      </c>
      <c r="F1479" s="8">
        <v>168</v>
      </c>
      <c r="G1479" s="6">
        <v>7.5</v>
      </c>
      <c r="H1479" s="9">
        <v>7.5</v>
      </c>
      <c r="I1479" s="6">
        <f>IFERROR(IF(T_PROD[[#This Row],[PREVISTO]]-T_PROD[[#This Row],[EFETIVO]]&lt; 0,0,T_PROD[[#This Row],[PREVISTO]]-T_PROD[[#This Row],[EFETIVO]] ),"")</f>
        <v>0</v>
      </c>
      <c r="J1479" s="10">
        <f>IFERROR(IF(T_PROD[[#This Row],[META]]&gt;0,(T_PROD[[#This Row],[META]]/T_PROD[[#This Row],[PREVISTO]]),""),"")</f>
        <v>34</v>
      </c>
      <c r="K1479" s="10">
        <f>IFERROR(IF(T_PROD[[#This Row],[PRODUÇÃO]]&gt;0,(T_PROD[[#This Row],[PRODUÇÃO]]/T_PROD[[#This Row],[EFETIVO]]),""),"")</f>
        <v>22.4</v>
      </c>
    </row>
    <row r="1480" spans="1:11" x14ac:dyDescent="0.3">
      <c r="A1480" s="7">
        <v>46266</v>
      </c>
      <c r="B1480" s="6" t="str">
        <f t="shared" si="163"/>
        <v>SETEMBRO</v>
      </c>
      <c r="C1480" s="12" t="s">
        <v>17</v>
      </c>
      <c r="D1480" s="12" t="s">
        <v>12</v>
      </c>
      <c r="E1480" s="8">
        <v>374</v>
      </c>
      <c r="F1480" s="8">
        <v>213</v>
      </c>
      <c r="G1480" s="6">
        <v>17</v>
      </c>
      <c r="H1480" s="9">
        <v>17</v>
      </c>
      <c r="I1480" s="6">
        <f>IFERROR(IF(T_PROD[[#This Row],[PREVISTO]]-T_PROD[[#This Row],[EFETIVO]]&lt; 0,0,T_PROD[[#This Row],[PREVISTO]]-T_PROD[[#This Row],[EFETIVO]] ),"")</f>
        <v>0</v>
      </c>
      <c r="J1480" s="10">
        <f>IFERROR(IF(T_PROD[[#This Row],[META]]&gt;0,(T_PROD[[#This Row],[META]]/T_PROD[[#This Row],[PREVISTO]]),""),"")</f>
        <v>22</v>
      </c>
      <c r="K1480" s="10">
        <f>IFERROR(IF(T_PROD[[#This Row],[PRODUÇÃO]]&gt;0,(T_PROD[[#This Row],[PRODUÇÃO]]/T_PROD[[#This Row],[EFETIVO]]),""),"")</f>
        <v>12.529411764705882</v>
      </c>
    </row>
    <row r="1481" spans="1:11" x14ac:dyDescent="0.3">
      <c r="A1481" s="7">
        <v>46266</v>
      </c>
      <c r="B1481" s="6" t="str">
        <f t="shared" si="163"/>
        <v>SETEMBRO</v>
      </c>
      <c r="C1481" s="12" t="s">
        <v>18</v>
      </c>
      <c r="D1481" s="12" t="s">
        <v>12</v>
      </c>
      <c r="E1481" s="8"/>
      <c r="F1481" s="8"/>
      <c r="G1481" s="6"/>
      <c r="H1481" s="9"/>
      <c r="I1481" s="6">
        <f>IFERROR(IF(T_PROD[[#This Row],[PREVISTO]]-T_PROD[[#This Row],[EFETIVO]]&lt; 0,0,T_PROD[[#This Row],[PREVISTO]]-T_PROD[[#This Row],[EFETIVO]] ),"")</f>
        <v>0</v>
      </c>
      <c r="J1481" s="10" t="str">
        <f>IFERROR(IF(T_PROD[[#This Row],[META]]&gt;0,(T_PROD[[#This Row],[META]]/T_PROD[[#This Row],[PREVISTO]]),""),"")</f>
        <v/>
      </c>
      <c r="K1481" s="10" t="str">
        <f>IFERROR(IF(T_PROD[[#This Row],[PRODUÇÃO]]&gt;0,(T_PROD[[#This Row],[PRODUÇÃO]]/T_PROD[[#This Row],[EFETIVO]]),""),"")</f>
        <v/>
      </c>
    </row>
    <row r="1482" spans="1:11" x14ac:dyDescent="0.3">
      <c r="A1482" s="7">
        <v>46266</v>
      </c>
      <c r="B1482" s="6" t="str">
        <f t="shared" si="163"/>
        <v>SETEMBRO</v>
      </c>
      <c r="C1482" s="12" t="s">
        <v>19</v>
      </c>
      <c r="D1482" s="12" t="s">
        <v>12</v>
      </c>
      <c r="E1482" s="8"/>
      <c r="F1482" s="8"/>
      <c r="G1482" s="6"/>
      <c r="H1482" s="9"/>
      <c r="I1482" s="6">
        <f>IFERROR(IF(T_PROD[[#This Row],[PREVISTO]]-T_PROD[[#This Row],[EFETIVO]]&lt; 0,0,T_PROD[[#This Row],[PREVISTO]]-T_PROD[[#This Row],[EFETIVO]] ),"")</f>
        <v>0</v>
      </c>
      <c r="J1482" s="10" t="str">
        <f>IFERROR(IF(T_PROD[[#This Row],[META]]&gt;0,(T_PROD[[#This Row],[META]]/T_PROD[[#This Row],[PREVISTO]]),""),"")</f>
        <v/>
      </c>
      <c r="K1482" s="10" t="str">
        <f>IFERROR(IF(T_PROD[[#This Row],[PRODUÇÃO]]&gt;0,(T_PROD[[#This Row],[PRODUÇÃO]]/T_PROD[[#This Row],[EFETIVO]]),""),"")</f>
        <v/>
      </c>
    </row>
    <row r="1483" spans="1:11" x14ac:dyDescent="0.3">
      <c r="A1483" s="7">
        <v>46266</v>
      </c>
      <c r="B1483" s="6" t="str">
        <f t="shared" si="163"/>
        <v>SETEMBRO</v>
      </c>
      <c r="C1483" s="12" t="s">
        <v>20</v>
      </c>
      <c r="D1483" s="12" t="s">
        <v>12</v>
      </c>
      <c r="E1483" s="8">
        <v>719</v>
      </c>
      <c r="F1483" s="8">
        <v>431</v>
      </c>
      <c r="G1483" s="6">
        <v>90</v>
      </c>
      <c r="H1483" s="9">
        <v>90</v>
      </c>
      <c r="I1483" s="6">
        <f>IFERROR(IF(T_PROD[[#This Row],[PREVISTO]]-T_PROD[[#This Row],[EFETIVO]]&lt; 0,0,T_PROD[[#This Row],[PREVISTO]]-T_PROD[[#This Row],[EFETIVO]] ),"")</f>
        <v>0</v>
      </c>
      <c r="J1483" s="10">
        <f>IFERROR(IF(T_PROD[[#This Row],[META]]&gt;0,(T_PROD[[#This Row],[META]]/T_PROD[[#This Row],[PREVISTO]]),""),"")</f>
        <v>7.9888888888888889</v>
      </c>
      <c r="K1483" s="10">
        <f>IFERROR(IF(T_PROD[[#This Row],[PRODUÇÃO]]&gt;0,(T_PROD[[#This Row],[PRODUÇÃO]]/T_PROD[[#This Row],[EFETIVO]]),""),"")</f>
        <v>4.7888888888888888</v>
      </c>
    </row>
    <row r="1484" spans="1:11" x14ac:dyDescent="0.3">
      <c r="A1484" s="7">
        <v>46266</v>
      </c>
      <c r="B1484" s="6" t="str">
        <f t="shared" si="163"/>
        <v>SETEMBRO</v>
      </c>
      <c r="C1484" s="12" t="s">
        <v>11</v>
      </c>
      <c r="D1484" s="12" t="s">
        <v>12</v>
      </c>
      <c r="E1484" s="8">
        <v>840</v>
      </c>
      <c r="F1484" s="8">
        <v>850</v>
      </c>
      <c r="G1484" s="6">
        <v>42</v>
      </c>
      <c r="H1484" s="9">
        <v>42</v>
      </c>
      <c r="I1484" s="6">
        <f>IFERROR(IF(T_PROD[[#This Row],[PREVISTO]]-T_PROD[[#This Row],[EFETIVO]]&lt; 0,0,T_PROD[[#This Row],[PREVISTO]]-T_PROD[[#This Row],[EFETIVO]] ),"")</f>
        <v>0</v>
      </c>
      <c r="J1484" s="10">
        <f>IFERROR(IF(T_PROD[[#This Row],[META]]&gt;0,(T_PROD[[#This Row],[META]]/T_PROD[[#This Row],[PREVISTO]]),""),"")</f>
        <v>20</v>
      </c>
      <c r="K1484" s="10">
        <f>IFERROR(IF(T_PROD[[#This Row],[PRODUÇÃO]]&gt;0,(T_PROD[[#This Row],[PRODUÇÃO]]/T_PROD[[#This Row],[EFETIVO]]),""),"")</f>
        <v>20.238095238095237</v>
      </c>
    </row>
    <row r="1485" spans="1:11" x14ac:dyDescent="0.3">
      <c r="A1485" s="7">
        <v>46266</v>
      </c>
      <c r="B1485" s="6" t="str">
        <f t="shared" si="163"/>
        <v>SETEMBRO</v>
      </c>
      <c r="C1485" s="12" t="s">
        <v>32</v>
      </c>
      <c r="D1485" s="12" t="s">
        <v>12</v>
      </c>
      <c r="E1485" s="8">
        <v>66</v>
      </c>
      <c r="F1485" s="8">
        <v>76</v>
      </c>
      <c r="G1485" s="6">
        <v>6</v>
      </c>
      <c r="H1485" s="9">
        <v>6</v>
      </c>
      <c r="I1485" s="6">
        <f>IFERROR(IF(T_PROD[[#This Row],[PREVISTO]]-T_PROD[[#This Row],[EFETIVO]]&lt; 0,0,T_PROD[[#This Row],[PREVISTO]]-T_PROD[[#This Row],[EFETIVO]] ),"")</f>
        <v>0</v>
      </c>
      <c r="J1485" s="10">
        <f>IFERROR(IF(T_PROD[[#This Row],[META]]&gt;0,(T_PROD[[#This Row],[META]]/T_PROD[[#This Row],[PREVISTO]]),""),"")</f>
        <v>11</v>
      </c>
      <c r="K1485" s="10">
        <f>IFERROR(IF(T_PROD[[#This Row],[PRODUÇÃO]]&gt;0,(T_PROD[[#This Row],[PRODUÇÃO]]/T_PROD[[#This Row],[EFETIVO]]),""),"")</f>
        <v>12.666666666666666</v>
      </c>
    </row>
    <row r="1486" spans="1:11" x14ac:dyDescent="0.3">
      <c r="A1486" s="7">
        <v>46266</v>
      </c>
      <c r="B1486" s="6" t="str">
        <f t="shared" si="163"/>
        <v>SETEMBRO</v>
      </c>
      <c r="C1486" s="12" t="s">
        <v>14</v>
      </c>
      <c r="D1486" s="12" t="s">
        <v>12</v>
      </c>
      <c r="E1486" s="8">
        <v>906</v>
      </c>
      <c r="F1486" s="8">
        <v>926</v>
      </c>
      <c r="G1486" s="6">
        <v>98</v>
      </c>
      <c r="H1486" s="9">
        <v>97</v>
      </c>
      <c r="I1486" s="6">
        <f>IFERROR(IF(T_PROD[[#This Row],[PREVISTO]]-T_PROD[[#This Row],[EFETIVO]]&lt; 0,0,T_PROD[[#This Row],[PREVISTO]]-T_PROD[[#This Row],[EFETIVO]] ),"")</f>
        <v>1</v>
      </c>
      <c r="J1486" s="10">
        <f>IFERROR(IF(T_PROD[[#This Row],[META]]&gt;0,(T_PROD[[#This Row],[META]]/T_PROD[[#This Row],[PREVISTO]]),""),"")</f>
        <v>9.2448979591836729</v>
      </c>
      <c r="K1486" s="10">
        <f>IFERROR(IF(T_PROD[[#This Row],[PRODUÇÃO]]&gt;0,(T_PROD[[#This Row],[PRODUÇÃO]]/T_PROD[[#This Row],[EFETIVO]]),""),"")</f>
        <v>9.5463917525773194</v>
      </c>
    </row>
    <row r="1487" spans="1:11" x14ac:dyDescent="0.3">
      <c r="A1487" s="7">
        <v>46267</v>
      </c>
      <c r="B1487" s="6" t="str">
        <f>UPPER(TEXT(A1487,"MMMM"))</f>
        <v>SETEMBRO</v>
      </c>
      <c r="C1487" s="12" t="s">
        <v>15</v>
      </c>
      <c r="D1487" s="12" t="s">
        <v>12</v>
      </c>
      <c r="E1487" s="8">
        <v>105</v>
      </c>
      <c r="F1487" s="8">
        <v>67</v>
      </c>
      <c r="G1487" s="6">
        <v>7</v>
      </c>
      <c r="H1487" s="9">
        <v>7</v>
      </c>
      <c r="I1487" s="6">
        <f>IFERROR(IF(T_PROD[[#This Row],[PREVISTO]]-T_PROD[[#This Row],[EFETIVO]]&lt; 0,0,T_PROD[[#This Row],[PREVISTO]]-T_PROD[[#This Row],[EFETIVO]] ),"")</f>
        <v>0</v>
      </c>
      <c r="J1487" s="10">
        <f>IFERROR(IF(T_PROD[[#This Row],[META]]&gt;0,(T_PROD[[#This Row],[META]]/T_PROD[[#This Row],[PREVISTO]]),""),"")</f>
        <v>15</v>
      </c>
      <c r="K1487" s="10">
        <f>IFERROR(IF(T_PROD[[#This Row],[PRODUÇÃO]]&gt;0,(T_PROD[[#This Row],[PRODUÇÃO]]/T_PROD[[#This Row],[EFETIVO]]),""),"")</f>
        <v>9.5714285714285712</v>
      </c>
    </row>
    <row r="1488" spans="1:11" x14ac:dyDescent="0.3">
      <c r="A1488" s="7">
        <v>46267</v>
      </c>
      <c r="B1488" s="6" t="str">
        <f t="shared" ref="B1488:B1495" si="164">UPPER(TEXT(A1488,"MMMM"))</f>
        <v>SETEMBRO</v>
      </c>
      <c r="C1488" s="12" t="s">
        <v>16</v>
      </c>
      <c r="D1488" s="12" t="s">
        <v>12</v>
      </c>
      <c r="E1488" s="8">
        <v>170</v>
      </c>
      <c r="F1488" s="8">
        <v>120</v>
      </c>
      <c r="G1488" s="6">
        <v>5</v>
      </c>
      <c r="H1488" s="9">
        <v>5</v>
      </c>
      <c r="I1488" s="6">
        <f>IFERROR(IF(T_PROD[[#This Row],[PREVISTO]]-T_PROD[[#This Row],[EFETIVO]]&lt; 0,0,T_PROD[[#This Row],[PREVISTO]]-T_PROD[[#This Row],[EFETIVO]] ),"")</f>
        <v>0</v>
      </c>
      <c r="J1488" s="10">
        <f>IFERROR(IF(T_PROD[[#This Row],[META]]&gt;0,(T_PROD[[#This Row],[META]]/T_PROD[[#This Row],[PREVISTO]]),""),"")</f>
        <v>34</v>
      </c>
      <c r="K1488" s="10">
        <f>IFERROR(IF(T_PROD[[#This Row],[PRODUÇÃO]]&gt;0,(T_PROD[[#This Row],[PRODUÇÃO]]/T_PROD[[#This Row],[EFETIVO]]),""),"")</f>
        <v>24</v>
      </c>
    </row>
    <row r="1489" spans="1:11" x14ac:dyDescent="0.3">
      <c r="A1489" s="7">
        <v>46267</v>
      </c>
      <c r="B1489" s="6" t="str">
        <f t="shared" si="164"/>
        <v>SETEMBRO</v>
      </c>
      <c r="C1489" s="12" t="s">
        <v>17</v>
      </c>
      <c r="D1489" s="12" t="s">
        <v>12</v>
      </c>
      <c r="E1489" s="8">
        <v>352</v>
      </c>
      <c r="F1489" s="8">
        <v>318</v>
      </c>
      <c r="G1489" s="6">
        <v>16</v>
      </c>
      <c r="H1489" s="9">
        <v>16</v>
      </c>
      <c r="I1489" s="6">
        <f>IFERROR(IF(T_PROD[[#This Row],[PREVISTO]]-T_PROD[[#This Row],[EFETIVO]]&lt; 0,0,T_PROD[[#This Row],[PREVISTO]]-T_PROD[[#This Row],[EFETIVO]] ),"")</f>
        <v>0</v>
      </c>
      <c r="J1489" s="10">
        <f>IFERROR(IF(T_PROD[[#This Row],[META]]&gt;0,(T_PROD[[#This Row],[META]]/T_PROD[[#This Row],[PREVISTO]]),""),"")</f>
        <v>22</v>
      </c>
      <c r="K1489" s="10">
        <f>IFERROR(IF(T_PROD[[#This Row],[PRODUÇÃO]]&gt;0,(T_PROD[[#This Row],[PRODUÇÃO]]/T_PROD[[#This Row],[EFETIVO]]),""),"")</f>
        <v>19.875</v>
      </c>
    </row>
    <row r="1490" spans="1:11" x14ac:dyDescent="0.3">
      <c r="A1490" s="7">
        <v>46267</v>
      </c>
      <c r="B1490" s="6" t="str">
        <f t="shared" si="164"/>
        <v>SETEMBRO</v>
      </c>
      <c r="C1490" s="12" t="s">
        <v>18</v>
      </c>
      <c r="D1490" s="12" t="s">
        <v>12</v>
      </c>
      <c r="E1490" s="8"/>
      <c r="F1490" s="8"/>
      <c r="G1490" s="6"/>
      <c r="H1490" s="9"/>
      <c r="I1490" s="6">
        <f>IFERROR(IF(T_PROD[[#This Row],[PREVISTO]]-T_PROD[[#This Row],[EFETIVO]]&lt; 0,0,T_PROD[[#This Row],[PREVISTO]]-T_PROD[[#This Row],[EFETIVO]] ),"")</f>
        <v>0</v>
      </c>
      <c r="J1490" s="10" t="str">
        <f>IFERROR(IF(T_PROD[[#This Row],[META]]&gt;0,(T_PROD[[#This Row],[META]]/T_PROD[[#This Row],[PREVISTO]]),""),"")</f>
        <v/>
      </c>
      <c r="K1490" s="10" t="str">
        <f>IFERROR(IF(T_PROD[[#This Row],[PRODUÇÃO]]&gt;0,(T_PROD[[#This Row],[PRODUÇÃO]]/T_PROD[[#This Row],[EFETIVO]]),""),"")</f>
        <v/>
      </c>
    </row>
    <row r="1491" spans="1:11" x14ac:dyDescent="0.3">
      <c r="A1491" s="7">
        <v>46267</v>
      </c>
      <c r="B1491" s="6" t="str">
        <f t="shared" si="164"/>
        <v>SETEMBRO</v>
      </c>
      <c r="C1491" s="12" t="s">
        <v>19</v>
      </c>
      <c r="D1491" s="12" t="s">
        <v>12</v>
      </c>
      <c r="E1491" s="8"/>
      <c r="F1491" s="8"/>
      <c r="G1491" s="6"/>
      <c r="H1491" s="9"/>
      <c r="I1491" s="6">
        <f>IFERROR(IF(T_PROD[[#This Row],[PREVISTO]]-T_PROD[[#This Row],[EFETIVO]]&lt; 0,0,T_PROD[[#This Row],[PREVISTO]]-T_PROD[[#This Row],[EFETIVO]] ),"")</f>
        <v>0</v>
      </c>
      <c r="J1491" s="10" t="str">
        <f>IFERROR(IF(T_PROD[[#This Row],[META]]&gt;0,(T_PROD[[#This Row],[META]]/T_PROD[[#This Row],[PREVISTO]]),""),"")</f>
        <v/>
      </c>
      <c r="K1491" s="10" t="str">
        <f>IFERROR(IF(T_PROD[[#This Row],[PRODUÇÃO]]&gt;0,(T_PROD[[#This Row],[PRODUÇÃO]]/T_PROD[[#This Row],[EFETIVO]]),""),"")</f>
        <v/>
      </c>
    </row>
    <row r="1492" spans="1:11" x14ac:dyDescent="0.3">
      <c r="A1492" s="7">
        <v>46267</v>
      </c>
      <c r="B1492" s="6" t="str">
        <f t="shared" si="164"/>
        <v>SETEMBRO</v>
      </c>
      <c r="C1492" s="12" t="s">
        <v>20</v>
      </c>
      <c r="D1492" s="12" t="s">
        <v>12</v>
      </c>
      <c r="E1492" s="8">
        <v>627</v>
      </c>
      <c r="F1492" s="8">
        <v>505</v>
      </c>
      <c r="G1492" s="6">
        <v>90</v>
      </c>
      <c r="H1492" s="9">
        <v>90</v>
      </c>
      <c r="I1492" s="6">
        <f>IFERROR(IF(T_PROD[[#This Row],[PREVISTO]]-T_PROD[[#This Row],[EFETIVO]]&lt; 0,0,T_PROD[[#This Row],[PREVISTO]]-T_PROD[[#This Row],[EFETIVO]] ),"")</f>
        <v>0</v>
      </c>
      <c r="J1492" s="10">
        <f>IFERROR(IF(T_PROD[[#This Row],[META]]&gt;0,(T_PROD[[#This Row],[META]]/T_PROD[[#This Row],[PREVISTO]]),""),"")</f>
        <v>6.9666666666666668</v>
      </c>
      <c r="K1492" s="10">
        <f>IFERROR(IF(T_PROD[[#This Row],[PRODUÇÃO]]&gt;0,(T_PROD[[#This Row],[PRODUÇÃO]]/T_PROD[[#This Row],[EFETIVO]]),""),"")</f>
        <v>5.6111111111111107</v>
      </c>
    </row>
    <row r="1493" spans="1:11" x14ac:dyDescent="0.3">
      <c r="A1493" s="7">
        <v>46267</v>
      </c>
      <c r="B1493" s="6" t="str">
        <f t="shared" si="164"/>
        <v>SETEMBRO</v>
      </c>
      <c r="C1493" s="12" t="s">
        <v>11</v>
      </c>
      <c r="D1493" s="12" t="s">
        <v>12</v>
      </c>
      <c r="E1493" s="8">
        <v>800</v>
      </c>
      <c r="F1493" s="8">
        <v>815</v>
      </c>
      <c r="G1493" s="6">
        <v>40</v>
      </c>
      <c r="H1493" s="9">
        <v>40</v>
      </c>
      <c r="I1493" s="6">
        <f>IFERROR(IF(T_PROD[[#This Row],[PREVISTO]]-T_PROD[[#This Row],[EFETIVO]]&lt; 0,0,T_PROD[[#This Row],[PREVISTO]]-T_PROD[[#This Row],[EFETIVO]] ),"")</f>
        <v>0</v>
      </c>
      <c r="J1493" s="10">
        <f>IFERROR(IF(T_PROD[[#This Row],[META]]&gt;0,(T_PROD[[#This Row],[META]]/T_PROD[[#This Row],[PREVISTO]]),""),"")</f>
        <v>20</v>
      </c>
      <c r="K1493" s="10">
        <f>IFERROR(IF(T_PROD[[#This Row],[PRODUÇÃO]]&gt;0,(T_PROD[[#This Row],[PRODUÇÃO]]/T_PROD[[#This Row],[EFETIVO]]),""),"")</f>
        <v>20.375</v>
      </c>
    </row>
    <row r="1494" spans="1:11" x14ac:dyDescent="0.3">
      <c r="A1494" s="7">
        <v>46267</v>
      </c>
      <c r="B1494" s="6" t="str">
        <f t="shared" si="164"/>
        <v>SETEMBRO</v>
      </c>
      <c r="C1494" s="12" t="s">
        <v>32</v>
      </c>
      <c r="D1494" s="12" t="s">
        <v>12</v>
      </c>
      <c r="E1494" s="8">
        <v>66</v>
      </c>
      <c r="F1494" s="8">
        <v>65</v>
      </c>
      <c r="G1494" s="6">
        <v>6</v>
      </c>
      <c r="H1494" s="9">
        <v>6</v>
      </c>
      <c r="I1494" s="6">
        <f>IFERROR(IF(T_PROD[[#This Row],[PREVISTO]]-T_PROD[[#This Row],[EFETIVO]]&lt; 0,0,T_PROD[[#This Row],[PREVISTO]]-T_PROD[[#This Row],[EFETIVO]] ),"")</f>
        <v>0</v>
      </c>
      <c r="J1494" s="10">
        <f>IFERROR(IF(T_PROD[[#This Row],[META]]&gt;0,(T_PROD[[#This Row],[META]]/T_PROD[[#This Row],[PREVISTO]]),""),"")</f>
        <v>11</v>
      </c>
      <c r="K1494" s="10">
        <f>IFERROR(IF(T_PROD[[#This Row],[PRODUÇÃO]]&gt;0,(T_PROD[[#This Row],[PRODUÇÃO]]/T_PROD[[#This Row],[EFETIVO]]),""),"")</f>
        <v>10.833333333333334</v>
      </c>
    </row>
    <row r="1495" spans="1:11" x14ac:dyDescent="0.3">
      <c r="A1495" s="7">
        <v>46267</v>
      </c>
      <c r="B1495" s="6" t="str">
        <f t="shared" si="164"/>
        <v>SETEMBRO</v>
      </c>
      <c r="C1495" s="12" t="s">
        <v>14</v>
      </c>
      <c r="D1495" s="12" t="s">
        <v>12</v>
      </c>
      <c r="E1495" s="8">
        <v>866</v>
      </c>
      <c r="F1495" s="8">
        <v>880</v>
      </c>
      <c r="G1495" s="6">
        <v>95</v>
      </c>
      <c r="H1495" s="9">
        <v>95</v>
      </c>
      <c r="I1495" s="6">
        <f>IFERROR(IF(T_PROD[[#This Row],[PREVISTO]]-T_PROD[[#This Row],[EFETIVO]]&lt; 0,0,T_PROD[[#This Row],[PREVISTO]]-T_PROD[[#This Row],[EFETIVO]] ),"")</f>
        <v>0</v>
      </c>
      <c r="J1495" s="10">
        <f>IFERROR(IF(T_PROD[[#This Row],[META]]&gt;0,(T_PROD[[#This Row],[META]]/T_PROD[[#This Row],[PREVISTO]]),""),"")</f>
        <v>9.1157894736842113</v>
      </c>
      <c r="K1495" s="10">
        <f>IFERROR(IF(T_PROD[[#This Row],[PRODUÇÃO]]&gt;0,(T_PROD[[#This Row],[PRODUÇÃO]]/T_PROD[[#This Row],[EFETIVO]]),""),"")</f>
        <v>9.2631578947368425</v>
      </c>
    </row>
    <row r="1496" spans="1:11" x14ac:dyDescent="0.3">
      <c r="A1496" s="28">
        <v>46268</v>
      </c>
      <c r="B1496" s="29" t="str">
        <f>UPPER(TEXT(A1496,"MMMM"))</f>
        <v>SETEMBRO</v>
      </c>
      <c r="C1496" s="12" t="s">
        <v>15</v>
      </c>
      <c r="D1496" s="12" t="s">
        <v>12</v>
      </c>
      <c r="E1496" s="30"/>
      <c r="F1496" s="30"/>
      <c r="G1496" s="29"/>
      <c r="H1496" s="31"/>
      <c r="I1496" s="29">
        <f>IFERROR(IF(T_PROD[[#This Row],[PREVISTO]]-T_PROD[[#This Row],[EFETIVO]]&lt; 0,0,T_PROD[[#This Row],[PREVISTO]]-T_PROD[[#This Row],[EFETIVO]] ),"")</f>
        <v>0</v>
      </c>
      <c r="J1496" s="32" t="str">
        <f>IFERROR(IF(T_PROD[[#This Row],[META]]&gt;0,(T_PROD[[#This Row],[META]]/T_PROD[[#This Row],[PREVISTO]]),""),"")</f>
        <v/>
      </c>
      <c r="K1496" s="32" t="str">
        <f>IFERROR(IF(T_PROD[[#This Row],[PRODUÇÃO]]&gt;0,(T_PROD[[#This Row],[PRODUÇÃO]]/T_PROD[[#This Row],[EFETIVO]]),""),"")</f>
        <v/>
      </c>
    </row>
    <row r="1497" spans="1:11" x14ac:dyDescent="0.3">
      <c r="A1497" s="28">
        <v>46268</v>
      </c>
      <c r="B1497" s="29" t="str">
        <f t="shared" ref="B1497:B1504" si="165">UPPER(TEXT(A1497,"MMMM"))</f>
        <v>SETEMBRO</v>
      </c>
      <c r="C1497" s="12" t="s">
        <v>16</v>
      </c>
      <c r="D1497" s="12" t="s">
        <v>12</v>
      </c>
      <c r="E1497" s="30"/>
      <c r="F1497" s="30"/>
      <c r="G1497" s="29"/>
      <c r="H1497" s="31"/>
      <c r="I1497" s="29">
        <f>IFERROR(IF(T_PROD[[#This Row],[PREVISTO]]-T_PROD[[#This Row],[EFETIVO]]&lt; 0,0,T_PROD[[#This Row],[PREVISTO]]-T_PROD[[#This Row],[EFETIVO]] ),"")</f>
        <v>0</v>
      </c>
      <c r="J1497" s="32" t="str">
        <f>IFERROR(IF(T_PROD[[#This Row],[META]]&gt;0,(T_PROD[[#This Row],[META]]/T_PROD[[#This Row],[PREVISTO]]),""),"")</f>
        <v/>
      </c>
      <c r="K1497" s="32" t="str">
        <f>IFERROR(IF(T_PROD[[#This Row],[PRODUÇÃO]]&gt;0,(T_PROD[[#This Row],[PRODUÇÃO]]/T_PROD[[#This Row],[EFETIVO]]),""),"")</f>
        <v/>
      </c>
    </row>
    <row r="1498" spans="1:11" x14ac:dyDescent="0.3">
      <c r="A1498" s="28">
        <v>46268</v>
      </c>
      <c r="B1498" s="29" t="str">
        <f t="shared" si="165"/>
        <v>SETEMBRO</v>
      </c>
      <c r="C1498" s="12" t="s">
        <v>17</v>
      </c>
      <c r="D1498" s="12" t="s">
        <v>12</v>
      </c>
      <c r="E1498" s="30"/>
      <c r="F1498" s="30"/>
      <c r="G1498" s="29"/>
      <c r="H1498" s="31"/>
      <c r="I1498" s="29">
        <f>IFERROR(IF(T_PROD[[#This Row],[PREVISTO]]-T_PROD[[#This Row],[EFETIVO]]&lt; 0,0,T_PROD[[#This Row],[PREVISTO]]-T_PROD[[#This Row],[EFETIVO]] ),"")</f>
        <v>0</v>
      </c>
      <c r="J1498" s="32" t="str">
        <f>IFERROR(IF(T_PROD[[#This Row],[META]]&gt;0,(T_PROD[[#This Row],[META]]/T_PROD[[#This Row],[PREVISTO]]),""),"")</f>
        <v/>
      </c>
      <c r="K1498" s="32" t="str">
        <f>IFERROR(IF(T_PROD[[#This Row],[PRODUÇÃO]]&gt;0,(T_PROD[[#This Row],[PRODUÇÃO]]/T_PROD[[#This Row],[EFETIVO]]),""),"")</f>
        <v/>
      </c>
    </row>
    <row r="1499" spans="1:11" x14ac:dyDescent="0.3">
      <c r="A1499" s="28">
        <v>46268</v>
      </c>
      <c r="B1499" s="29" t="str">
        <f t="shared" si="165"/>
        <v>SETEMBRO</v>
      </c>
      <c r="C1499" s="12" t="s">
        <v>18</v>
      </c>
      <c r="D1499" s="12" t="s">
        <v>12</v>
      </c>
      <c r="E1499" s="30"/>
      <c r="F1499" s="30"/>
      <c r="G1499" s="29"/>
      <c r="H1499" s="31"/>
      <c r="I1499" s="29">
        <f>IFERROR(IF(T_PROD[[#This Row],[PREVISTO]]-T_PROD[[#This Row],[EFETIVO]]&lt; 0,0,T_PROD[[#This Row],[PREVISTO]]-T_PROD[[#This Row],[EFETIVO]] ),"")</f>
        <v>0</v>
      </c>
      <c r="J1499" s="32" t="str">
        <f>IFERROR(IF(T_PROD[[#This Row],[META]]&gt;0,(T_PROD[[#This Row],[META]]/T_PROD[[#This Row],[PREVISTO]]),""),"")</f>
        <v/>
      </c>
      <c r="K1499" s="32" t="str">
        <f>IFERROR(IF(T_PROD[[#This Row],[PRODUÇÃO]]&gt;0,(T_PROD[[#This Row],[PRODUÇÃO]]/T_PROD[[#This Row],[EFETIVO]]),""),"")</f>
        <v/>
      </c>
    </row>
    <row r="1500" spans="1:11" x14ac:dyDescent="0.3">
      <c r="A1500" s="28">
        <v>46268</v>
      </c>
      <c r="B1500" s="29" t="str">
        <f t="shared" si="165"/>
        <v>SETEMBRO</v>
      </c>
      <c r="C1500" s="12" t="s">
        <v>19</v>
      </c>
      <c r="D1500" s="12" t="s">
        <v>12</v>
      </c>
      <c r="E1500" s="30"/>
      <c r="F1500" s="30"/>
      <c r="G1500" s="29"/>
      <c r="H1500" s="31"/>
      <c r="I1500" s="29">
        <f>IFERROR(IF(T_PROD[[#This Row],[PREVISTO]]-T_PROD[[#This Row],[EFETIVO]]&lt; 0,0,T_PROD[[#This Row],[PREVISTO]]-T_PROD[[#This Row],[EFETIVO]] ),"")</f>
        <v>0</v>
      </c>
      <c r="J1500" s="32" t="str">
        <f>IFERROR(IF(T_PROD[[#This Row],[META]]&gt;0,(T_PROD[[#This Row],[META]]/T_PROD[[#This Row],[PREVISTO]]),""),"")</f>
        <v/>
      </c>
      <c r="K1500" s="32" t="str">
        <f>IFERROR(IF(T_PROD[[#This Row],[PRODUÇÃO]]&gt;0,(T_PROD[[#This Row],[PRODUÇÃO]]/T_PROD[[#This Row],[EFETIVO]]),""),"")</f>
        <v/>
      </c>
    </row>
    <row r="1501" spans="1:11" x14ac:dyDescent="0.3">
      <c r="A1501" s="28">
        <v>46268</v>
      </c>
      <c r="B1501" s="29" t="str">
        <f t="shared" si="165"/>
        <v>SETEMBRO</v>
      </c>
      <c r="C1501" s="12" t="s">
        <v>20</v>
      </c>
      <c r="D1501" s="12" t="s">
        <v>12</v>
      </c>
      <c r="E1501" s="30"/>
      <c r="F1501" s="30"/>
      <c r="G1501" s="29"/>
      <c r="H1501" s="31"/>
      <c r="I1501" s="29">
        <f>IFERROR(IF(T_PROD[[#This Row],[PREVISTO]]-T_PROD[[#This Row],[EFETIVO]]&lt; 0,0,T_PROD[[#This Row],[PREVISTO]]-T_PROD[[#This Row],[EFETIVO]] ),"")</f>
        <v>0</v>
      </c>
      <c r="J1501" s="32" t="str">
        <f>IFERROR(IF(T_PROD[[#This Row],[META]]&gt;0,(T_PROD[[#This Row],[META]]/T_PROD[[#This Row],[PREVISTO]]),""),"")</f>
        <v/>
      </c>
      <c r="K1501" s="32" t="str">
        <f>IFERROR(IF(T_PROD[[#This Row],[PRODUÇÃO]]&gt;0,(T_PROD[[#This Row],[PRODUÇÃO]]/T_PROD[[#This Row],[EFETIVO]]),""),"")</f>
        <v/>
      </c>
    </row>
    <row r="1502" spans="1:11" x14ac:dyDescent="0.3">
      <c r="A1502" s="28">
        <v>46268</v>
      </c>
      <c r="B1502" s="29" t="str">
        <f t="shared" si="165"/>
        <v>SETEMBRO</v>
      </c>
      <c r="C1502" s="12" t="s">
        <v>11</v>
      </c>
      <c r="D1502" s="12" t="s">
        <v>12</v>
      </c>
      <c r="E1502" s="30">
        <v>800</v>
      </c>
      <c r="F1502" s="30">
        <v>760</v>
      </c>
      <c r="G1502" s="29">
        <v>40</v>
      </c>
      <c r="H1502" s="31">
        <v>40</v>
      </c>
      <c r="I1502" s="29">
        <f>IFERROR(IF(T_PROD[[#This Row],[PREVISTO]]-T_PROD[[#This Row],[EFETIVO]]&lt; 0,0,T_PROD[[#This Row],[PREVISTO]]-T_PROD[[#This Row],[EFETIVO]] ),"")</f>
        <v>0</v>
      </c>
      <c r="J1502" s="32">
        <f>IFERROR(IF(T_PROD[[#This Row],[META]]&gt;0,(T_PROD[[#This Row],[META]]/T_PROD[[#This Row],[PREVISTO]]),""),"")</f>
        <v>20</v>
      </c>
      <c r="K1502" s="32">
        <f>IFERROR(IF(T_PROD[[#This Row],[PRODUÇÃO]]&gt;0,(T_PROD[[#This Row],[PRODUÇÃO]]/T_PROD[[#This Row],[EFETIVO]]),""),"")</f>
        <v>19</v>
      </c>
    </row>
    <row r="1503" spans="1:11" x14ac:dyDescent="0.3">
      <c r="A1503" s="28">
        <v>46268</v>
      </c>
      <c r="B1503" s="29" t="str">
        <f t="shared" si="165"/>
        <v>SETEMBRO</v>
      </c>
      <c r="C1503" s="12" t="s">
        <v>32</v>
      </c>
      <c r="D1503" s="12" t="s">
        <v>12</v>
      </c>
      <c r="E1503" s="30">
        <v>66</v>
      </c>
      <c r="F1503" s="30">
        <v>60</v>
      </c>
      <c r="G1503" s="29">
        <v>6</v>
      </c>
      <c r="H1503" s="31">
        <v>6</v>
      </c>
      <c r="I1503" s="29">
        <f>IFERROR(IF(T_PROD[[#This Row],[PREVISTO]]-T_PROD[[#This Row],[EFETIVO]]&lt; 0,0,T_PROD[[#This Row],[PREVISTO]]-T_PROD[[#This Row],[EFETIVO]] ),"")</f>
        <v>0</v>
      </c>
      <c r="J1503" s="32">
        <f>IFERROR(IF(T_PROD[[#This Row],[META]]&gt;0,(T_PROD[[#This Row],[META]]/T_PROD[[#This Row],[PREVISTO]]),""),"")</f>
        <v>11</v>
      </c>
      <c r="K1503" s="32">
        <f>IFERROR(IF(T_PROD[[#This Row],[PRODUÇÃO]]&gt;0,(T_PROD[[#This Row],[PRODUÇÃO]]/T_PROD[[#This Row],[EFETIVO]]),""),"")</f>
        <v>10</v>
      </c>
    </row>
    <row r="1504" spans="1:11" x14ac:dyDescent="0.3">
      <c r="A1504" s="28">
        <v>46268</v>
      </c>
      <c r="B1504" s="29" t="str">
        <f t="shared" si="165"/>
        <v>SETEMBRO</v>
      </c>
      <c r="C1504" s="12" t="s">
        <v>14</v>
      </c>
      <c r="D1504" s="12" t="s">
        <v>12</v>
      </c>
      <c r="E1504" s="30">
        <v>866</v>
      </c>
      <c r="F1504" s="30">
        <v>720</v>
      </c>
      <c r="G1504" s="29">
        <v>95</v>
      </c>
      <c r="H1504" s="31">
        <v>93</v>
      </c>
      <c r="I1504" s="29">
        <f>IFERROR(IF(T_PROD[[#This Row],[PREVISTO]]-T_PROD[[#This Row],[EFETIVO]]&lt; 0,0,T_PROD[[#This Row],[PREVISTO]]-T_PROD[[#This Row],[EFETIVO]] ),"")</f>
        <v>2</v>
      </c>
      <c r="J1504" s="32">
        <f>IFERROR(IF(T_PROD[[#This Row],[META]]&gt;0,(T_PROD[[#This Row],[META]]/T_PROD[[#This Row],[PREVISTO]]),""),"")</f>
        <v>9.1157894736842113</v>
      </c>
      <c r="K1504" s="32">
        <f>IFERROR(IF(T_PROD[[#This Row],[PRODUÇÃO]]&gt;0,(T_PROD[[#This Row],[PRODUÇÃO]]/T_PROD[[#This Row],[EFETIVO]]),""),"")</f>
        <v>7.741935483870968</v>
      </c>
    </row>
    <row r="1505" spans="1:11" x14ac:dyDescent="0.3">
      <c r="A1505" s="28">
        <v>46269</v>
      </c>
      <c r="B1505" s="29" t="str">
        <f>UPPER(TEXT(A1505,"MMMM"))</f>
        <v>SETEMBRO</v>
      </c>
      <c r="C1505" s="12" t="s">
        <v>15</v>
      </c>
      <c r="D1505" s="12" t="s">
        <v>12</v>
      </c>
      <c r="E1505" s="30">
        <v>105</v>
      </c>
      <c r="F1505" s="30">
        <v>53</v>
      </c>
      <c r="G1505" s="29">
        <v>7</v>
      </c>
      <c r="H1505" s="31">
        <v>7</v>
      </c>
      <c r="I1505" s="29">
        <f>IFERROR(IF(T_PROD[[#This Row],[PREVISTO]]-T_PROD[[#This Row],[EFETIVO]]&lt; 0,0,T_PROD[[#This Row],[PREVISTO]]-T_PROD[[#This Row],[EFETIVO]] ),"")</f>
        <v>0</v>
      </c>
      <c r="J1505" s="32">
        <f>IFERROR(IF(T_PROD[[#This Row],[META]]&gt;0,(T_PROD[[#This Row],[META]]/T_PROD[[#This Row],[PREVISTO]]),""),"")</f>
        <v>15</v>
      </c>
      <c r="K1505" s="32">
        <f>IFERROR(IF(T_PROD[[#This Row],[PRODUÇÃO]]&gt;0,(T_PROD[[#This Row],[PRODUÇÃO]]/T_PROD[[#This Row],[EFETIVO]]),""),"")</f>
        <v>7.5714285714285712</v>
      </c>
    </row>
    <row r="1506" spans="1:11" x14ac:dyDescent="0.3">
      <c r="A1506" s="28">
        <v>46269</v>
      </c>
      <c r="B1506" s="29" t="str">
        <f t="shared" ref="B1506:B1513" si="166">UPPER(TEXT(A1506,"MMMM"))</f>
        <v>SETEMBRO</v>
      </c>
      <c r="C1506" s="12" t="s">
        <v>16</v>
      </c>
      <c r="D1506" s="12" t="s">
        <v>12</v>
      </c>
      <c r="E1506" s="30">
        <v>170</v>
      </c>
      <c r="F1506" s="30">
        <v>103</v>
      </c>
      <c r="G1506" s="29">
        <v>5</v>
      </c>
      <c r="H1506" s="31">
        <v>5</v>
      </c>
      <c r="I1506" s="29">
        <f>IFERROR(IF(T_PROD[[#This Row],[PREVISTO]]-T_PROD[[#This Row],[EFETIVO]]&lt; 0,0,T_PROD[[#This Row],[PREVISTO]]-T_PROD[[#This Row],[EFETIVO]] ),"")</f>
        <v>0</v>
      </c>
      <c r="J1506" s="32">
        <f>IFERROR(IF(T_PROD[[#This Row],[META]]&gt;0,(T_PROD[[#This Row],[META]]/T_PROD[[#This Row],[PREVISTO]]),""),"")</f>
        <v>34</v>
      </c>
      <c r="K1506" s="32">
        <f>IFERROR(IF(T_PROD[[#This Row],[PRODUÇÃO]]&gt;0,(T_PROD[[#This Row],[PRODUÇÃO]]/T_PROD[[#This Row],[EFETIVO]]),""),"")</f>
        <v>20.6</v>
      </c>
    </row>
    <row r="1507" spans="1:11" x14ac:dyDescent="0.3">
      <c r="A1507" s="28">
        <v>46269</v>
      </c>
      <c r="B1507" s="29" t="str">
        <f t="shared" si="166"/>
        <v>SETEMBRO</v>
      </c>
      <c r="C1507" s="12" t="s">
        <v>17</v>
      </c>
      <c r="D1507" s="12" t="s">
        <v>12</v>
      </c>
      <c r="E1507" s="30">
        <v>352</v>
      </c>
      <c r="F1507" s="30">
        <v>266</v>
      </c>
      <c r="G1507" s="29">
        <v>16</v>
      </c>
      <c r="H1507" s="31">
        <v>16</v>
      </c>
      <c r="I1507" s="29">
        <f>IFERROR(IF(T_PROD[[#This Row],[PREVISTO]]-T_PROD[[#This Row],[EFETIVO]]&lt; 0,0,T_PROD[[#This Row],[PREVISTO]]-T_PROD[[#This Row],[EFETIVO]] ),"")</f>
        <v>0</v>
      </c>
      <c r="J1507" s="32">
        <f>IFERROR(IF(T_PROD[[#This Row],[META]]&gt;0,(T_PROD[[#This Row],[META]]/T_PROD[[#This Row],[PREVISTO]]),""),"")</f>
        <v>22</v>
      </c>
      <c r="K1507" s="32">
        <f>IFERROR(IF(T_PROD[[#This Row],[PRODUÇÃO]]&gt;0,(T_PROD[[#This Row],[PRODUÇÃO]]/T_PROD[[#This Row],[EFETIVO]]),""),"")</f>
        <v>16.625</v>
      </c>
    </row>
    <row r="1508" spans="1:11" x14ac:dyDescent="0.3">
      <c r="A1508" s="28">
        <v>46269</v>
      </c>
      <c r="B1508" s="29" t="str">
        <f t="shared" si="166"/>
        <v>SETEMBRO</v>
      </c>
      <c r="C1508" s="12" t="s">
        <v>18</v>
      </c>
      <c r="D1508" s="12" t="s">
        <v>12</v>
      </c>
      <c r="E1508" s="30"/>
      <c r="F1508" s="30"/>
      <c r="G1508" s="29"/>
      <c r="H1508" s="31"/>
      <c r="I1508" s="29">
        <f>IFERROR(IF(T_PROD[[#This Row],[PREVISTO]]-T_PROD[[#This Row],[EFETIVO]]&lt; 0,0,T_PROD[[#This Row],[PREVISTO]]-T_PROD[[#This Row],[EFETIVO]] ),"")</f>
        <v>0</v>
      </c>
      <c r="J1508" s="32" t="str">
        <f>IFERROR(IF(T_PROD[[#This Row],[META]]&gt;0,(T_PROD[[#This Row],[META]]/T_PROD[[#This Row],[PREVISTO]]),""),"")</f>
        <v/>
      </c>
      <c r="K1508" s="32" t="str">
        <f>IFERROR(IF(T_PROD[[#This Row],[PRODUÇÃO]]&gt;0,(T_PROD[[#This Row],[PRODUÇÃO]]/T_PROD[[#This Row],[EFETIVO]]),""),"")</f>
        <v/>
      </c>
    </row>
    <row r="1509" spans="1:11" x14ac:dyDescent="0.3">
      <c r="A1509" s="28">
        <v>46269</v>
      </c>
      <c r="B1509" s="29" t="str">
        <f t="shared" si="166"/>
        <v>SETEMBRO</v>
      </c>
      <c r="C1509" s="12" t="s">
        <v>19</v>
      </c>
      <c r="D1509" s="12" t="s">
        <v>12</v>
      </c>
      <c r="E1509" s="30"/>
      <c r="F1509" s="30"/>
      <c r="G1509" s="29"/>
      <c r="H1509" s="31"/>
      <c r="I1509" s="29">
        <f>IFERROR(IF(T_PROD[[#This Row],[PREVISTO]]-T_PROD[[#This Row],[EFETIVO]]&lt; 0,0,T_PROD[[#This Row],[PREVISTO]]-T_PROD[[#This Row],[EFETIVO]] ),"")</f>
        <v>0</v>
      </c>
      <c r="J1509" s="32" t="str">
        <f>IFERROR(IF(T_PROD[[#This Row],[META]]&gt;0,(T_PROD[[#This Row],[META]]/T_PROD[[#This Row],[PREVISTO]]),""),"")</f>
        <v/>
      </c>
      <c r="K1509" s="32" t="str">
        <f>IFERROR(IF(T_PROD[[#This Row],[PRODUÇÃO]]&gt;0,(T_PROD[[#This Row],[PRODUÇÃO]]/T_PROD[[#This Row],[EFETIVO]]),""),"")</f>
        <v/>
      </c>
    </row>
    <row r="1510" spans="1:11" x14ac:dyDescent="0.3">
      <c r="A1510" s="28">
        <v>46269</v>
      </c>
      <c r="B1510" s="29" t="str">
        <f t="shared" si="166"/>
        <v>SETEMBRO</v>
      </c>
      <c r="C1510" s="12" t="s">
        <v>20</v>
      </c>
      <c r="D1510" s="12" t="s">
        <v>12</v>
      </c>
      <c r="E1510" s="30">
        <v>627</v>
      </c>
      <c r="F1510" s="30">
        <v>422</v>
      </c>
      <c r="G1510" s="29">
        <v>100</v>
      </c>
      <c r="H1510" s="31">
        <v>100</v>
      </c>
      <c r="I1510" s="29">
        <f>IFERROR(IF(T_PROD[[#This Row],[PREVISTO]]-T_PROD[[#This Row],[EFETIVO]]&lt; 0,0,T_PROD[[#This Row],[PREVISTO]]-T_PROD[[#This Row],[EFETIVO]] ),"")</f>
        <v>0</v>
      </c>
      <c r="J1510" s="32">
        <f>IFERROR(IF(T_PROD[[#This Row],[META]]&gt;0,(T_PROD[[#This Row],[META]]/T_PROD[[#This Row],[PREVISTO]]),""),"")</f>
        <v>6.27</v>
      </c>
      <c r="K1510" s="32">
        <f>IFERROR(IF(T_PROD[[#This Row],[PRODUÇÃO]]&gt;0,(T_PROD[[#This Row],[PRODUÇÃO]]/T_PROD[[#This Row],[EFETIVO]]),""),"")</f>
        <v>4.22</v>
      </c>
    </row>
    <row r="1511" spans="1:11" x14ac:dyDescent="0.3">
      <c r="A1511" s="28">
        <v>46269</v>
      </c>
      <c r="B1511" s="29" t="str">
        <f t="shared" si="166"/>
        <v>SETEMBRO</v>
      </c>
      <c r="C1511" s="12" t="s">
        <v>11</v>
      </c>
      <c r="D1511" s="12" t="s">
        <v>12</v>
      </c>
      <c r="E1511" s="30">
        <v>640</v>
      </c>
      <c r="F1511" s="30">
        <v>650</v>
      </c>
      <c r="G1511" s="29">
        <v>32</v>
      </c>
      <c r="H1511" s="31">
        <v>32</v>
      </c>
      <c r="I1511" s="29">
        <f>IFERROR(IF(T_PROD[[#This Row],[PREVISTO]]-T_PROD[[#This Row],[EFETIVO]]&lt; 0,0,T_PROD[[#This Row],[PREVISTO]]-T_PROD[[#This Row],[EFETIVO]] ),"")</f>
        <v>0</v>
      </c>
      <c r="J1511" s="32">
        <f>IFERROR(IF(T_PROD[[#This Row],[META]]&gt;0,(T_PROD[[#This Row],[META]]/T_PROD[[#This Row],[PREVISTO]]),""),"")</f>
        <v>20</v>
      </c>
      <c r="K1511" s="32">
        <f>IFERROR(IF(T_PROD[[#This Row],[PRODUÇÃO]]&gt;0,(T_PROD[[#This Row],[PRODUÇÃO]]/T_PROD[[#This Row],[EFETIVO]]),""),"")</f>
        <v>20.3125</v>
      </c>
    </row>
    <row r="1512" spans="1:11" x14ac:dyDescent="0.3">
      <c r="A1512" s="28">
        <v>46269</v>
      </c>
      <c r="B1512" s="29" t="str">
        <f t="shared" si="166"/>
        <v>SETEMBRO</v>
      </c>
      <c r="C1512" s="12" t="s">
        <v>32</v>
      </c>
      <c r="D1512" s="12" t="s">
        <v>12</v>
      </c>
      <c r="E1512" s="30">
        <v>44</v>
      </c>
      <c r="F1512" s="30">
        <v>45</v>
      </c>
      <c r="G1512" s="29">
        <v>4</v>
      </c>
      <c r="H1512" s="31">
        <v>4</v>
      </c>
      <c r="I1512" s="29">
        <f>IFERROR(IF(T_PROD[[#This Row],[PREVISTO]]-T_PROD[[#This Row],[EFETIVO]]&lt; 0,0,T_PROD[[#This Row],[PREVISTO]]-T_PROD[[#This Row],[EFETIVO]] ),"")</f>
        <v>0</v>
      </c>
      <c r="J1512" s="32">
        <f>IFERROR(IF(T_PROD[[#This Row],[META]]&gt;0,(T_PROD[[#This Row],[META]]/T_PROD[[#This Row],[PREVISTO]]),""),"")</f>
        <v>11</v>
      </c>
      <c r="K1512" s="32">
        <f>IFERROR(IF(T_PROD[[#This Row],[PRODUÇÃO]]&gt;0,(T_PROD[[#This Row],[PRODUÇÃO]]/T_PROD[[#This Row],[EFETIVO]]),""),"")</f>
        <v>11.25</v>
      </c>
    </row>
    <row r="1513" spans="1:11" x14ac:dyDescent="0.3">
      <c r="A1513" s="28">
        <v>46269</v>
      </c>
      <c r="B1513" s="29" t="str">
        <f t="shared" si="166"/>
        <v>SETEMBRO</v>
      </c>
      <c r="C1513" s="12" t="s">
        <v>14</v>
      </c>
      <c r="D1513" s="12" t="s">
        <v>12</v>
      </c>
      <c r="E1513" s="30">
        <v>684</v>
      </c>
      <c r="F1513" s="30">
        <v>695</v>
      </c>
      <c r="G1513" s="29">
        <v>80</v>
      </c>
      <c r="H1513" s="31">
        <v>79</v>
      </c>
      <c r="I1513" s="29">
        <f>IFERROR(IF(T_PROD[[#This Row],[PREVISTO]]-T_PROD[[#This Row],[EFETIVO]]&lt; 0,0,T_PROD[[#This Row],[PREVISTO]]-T_PROD[[#This Row],[EFETIVO]] ),"")</f>
        <v>1</v>
      </c>
      <c r="J1513" s="32">
        <f>IFERROR(IF(T_PROD[[#This Row],[META]]&gt;0,(T_PROD[[#This Row],[META]]/T_PROD[[#This Row],[PREVISTO]]),""),"")</f>
        <v>8.5500000000000007</v>
      </c>
      <c r="K1513" s="32">
        <f>IFERROR(IF(T_PROD[[#This Row],[PRODUÇÃO]]&gt;0,(T_PROD[[#This Row],[PRODUÇÃO]]/T_PROD[[#This Row],[EFETIVO]]),""),"")</f>
        <v>8.7974683544303804</v>
      </c>
    </row>
    <row r="1514" spans="1:11" x14ac:dyDescent="0.3">
      <c r="A1514" s="28">
        <v>46273</v>
      </c>
      <c r="B1514" s="29" t="str">
        <f>UPPER(TEXT(A1514,"MMMM"))</f>
        <v>SETEMBRO</v>
      </c>
      <c r="C1514" s="12" t="s">
        <v>15</v>
      </c>
      <c r="D1514" s="12" t="s">
        <v>12</v>
      </c>
      <c r="E1514" s="30">
        <v>90</v>
      </c>
      <c r="F1514" s="30">
        <v>59</v>
      </c>
      <c r="G1514" s="29">
        <v>6</v>
      </c>
      <c r="H1514" s="31">
        <v>6</v>
      </c>
      <c r="I1514" s="29">
        <f>IFERROR(IF(T_PROD[[#This Row],[PREVISTO]]-T_PROD[[#This Row],[EFETIVO]]&lt; 0,0,T_PROD[[#This Row],[PREVISTO]]-T_PROD[[#This Row],[EFETIVO]] ),"")</f>
        <v>0</v>
      </c>
      <c r="J1514" s="32">
        <f>IFERROR(IF(T_PROD[[#This Row],[META]]&gt;0,(T_PROD[[#This Row],[META]]/T_PROD[[#This Row],[PREVISTO]]),""),"")</f>
        <v>15</v>
      </c>
      <c r="K1514" s="32">
        <f>IFERROR(IF(T_PROD[[#This Row],[PRODUÇÃO]]&gt;0,(T_PROD[[#This Row],[PRODUÇÃO]]/T_PROD[[#This Row],[EFETIVO]]),""),"")</f>
        <v>9.8333333333333339</v>
      </c>
    </row>
    <row r="1515" spans="1:11" x14ac:dyDescent="0.3">
      <c r="A1515" s="28">
        <v>46273</v>
      </c>
      <c r="B1515" s="29" t="str">
        <f t="shared" ref="B1515:B1522" si="167">UPPER(TEXT(A1515,"MMMM"))</f>
        <v>SETEMBRO</v>
      </c>
      <c r="C1515" s="12" t="s">
        <v>16</v>
      </c>
      <c r="D1515" s="12" t="s">
        <v>12</v>
      </c>
      <c r="E1515" s="30">
        <v>272</v>
      </c>
      <c r="F1515" s="30">
        <v>220</v>
      </c>
      <c r="G1515" s="29">
        <v>8</v>
      </c>
      <c r="H1515" s="31">
        <v>8</v>
      </c>
      <c r="I1515" s="29">
        <f>IFERROR(IF(T_PROD[[#This Row],[PREVISTO]]-T_PROD[[#This Row],[EFETIVO]]&lt; 0,0,T_PROD[[#This Row],[PREVISTO]]-T_PROD[[#This Row],[EFETIVO]] ),"")</f>
        <v>0</v>
      </c>
      <c r="J1515" s="32">
        <f>IFERROR(IF(T_PROD[[#This Row],[META]]&gt;0,(T_PROD[[#This Row],[META]]/T_PROD[[#This Row],[PREVISTO]]),""),"")</f>
        <v>34</v>
      </c>
      <c r="K1515" s="32">
        <f>IFERROR(IF(T_PROD[[#This Row],[PRODUÇÃO]]&gt;0,(T_PROD[[#This Row],[PRODUÇÃO]]/T_PROD[[#This Row],[EFETIVO]]),""),"")</f>
        <v>27.5</v>
      </c>
    </row>
    <row r="1516" spans="1:11" x14ac:dyDescent="0.3">
      <c r="A1516" s="28">
        <v>46273</v>
      </c>
      <c r="B1516" s="29" t="str">
        <f t="shared" si="167"/>
        <v>SETEMBRO</v>
      </c>
      <c r="C1516" s="12" t="s">
        <v>17</v>
      </c>
      <c r="D1516" s="12" t="s">
        <v>12</v>
      </c>
      <c r="E1516" s="30">
        <v>352</v>
      </c>
      <c r="F1516" s="30">
        <v>300</v>
      </c>
      <c r="G1516" s="29">
        <v>16</v>
      </c>
      <c r="H1516" s="31">
        <v>16</v>
      </c>
      <c r="I1516" s="29">
        <f>IFERROR(IF(T_PROD[[#This Row],[PREVISTO]]-T_PROD[[#This Row],[EFETIVO]]&lt; 0,0,T_PROD[[#This Row],[PREVISTO]]-T_PROD[[#This Row],[EFETIVO]] ),"")</f>
        <v>0</v>
      </c>
      <c r="J1516" s="32">
        <f>IFERROR(IF(T_PROD[[#This Row],[META]]&gt;0,(T_PROD[[#This Row],[META]]/T_PROD[[#This Row],[PREVISTO]]),""),"")</f>
        <v>22</v>
      </c>
      <c r="K1516" s="32">
        <f>IFERROR(IF(T_PROD[[#This Row],[PRODUÇÃO]]&gt;0,(T_PROD[[#This Row],[PRODUÇÃO]]/T_PROD[[#This Row],[EFETIVO]]),""),"")</f>
        <v>18.75</v>
      </c>
    </row>
    <row r="1517" spans="1:11" x14ac:dyDescent="0.3">
      <c r="A1517" s="28">
        <v>46273</v>
      </c>
      <c r="B1517" s="29" t="str">
        <f t="shared" si="167"/>
        <v>SETEMBRO</v>
      </c>
      <c r="C1517" s="12" t="s">
        <v>18</v>
      </c>
      <c r="D1517" s="12" t="s">
        <v>12</v>
      </c>
      <c r="E1517" s="30"/>
      <c r="F1517" s="30"/>
      <c r="G1517" s="29"/>
      <c r="H1517" s="31"/>
      <c r="I1517" s="29">
        <f>IFERROR(IF(T_PROD[[#This Row],[PREVISTO]]-T_PROD[[#This Row],[EFETIVO]]&lt; 0,0,T_PROD[[#This Row],[PREVISTO]]-T_PROD[[#This Row],[EFETIVO]] ),"")</f>
        <v>0</v>
      </c>
      <c r="J1517" s="32" t="str">
        <f>IFERROR(IF(T_PROD[[#This Row],[META]]&gt;0,(T_PROD[[#This Row],[META]]/T_PROD[[#This Row],[PREVISTO]]),""),"")</f>
        <v/>
      </c>
      <c r="K1517" s="32" t="str">
        <f>IFERROR(IF(T_PROD[[#This Row],[PRODUÇÃO]]&gt;0,(T_PROD[[#This Row],[PRODUÇÃO]]/T_PROD[[#This Row],[EFETIVO]]),""),"")</f>
        <v/>
      </c>
    </row>
    <row r="1518" spans="1:11" x14ac:dyDescent="0.3">
      <c r="A1518" s="28">
        <v>46273</v>
      </c>
      <c r="B1518" s="29" t="str">
        <f t="shared" si="167"/>
        <v>SETEMBRO</v>
      </c>
      <c r="C1518" s="12" t="s">
        <v>19</v>
      </c>
      <c r="D1518" s="12" t="s">
        <v>12</v>
      </c>
      <c r="E1518" s="30"/>
      <c r="F1518" s="30"/>
      <c r="G1518" s="29"/>
      <c r="H1518" s="31"/>
      <c r="I1518" s="29">
        <f>IFERROR(IF(T_PROD[[#This Row],[PREVISTO]]-T_PROD[[#This Row],[EFETIVO]]&lt; 0,0,T_PROD[[#This Row],[PREVISTO]]-T_PROD[[#This Row],[EFETIVO]] ),"")</f>
        <v>0</v>
      </c>
      <c r="J1518" s="32" t="str">
        <f>IFERROR(IF(T_PROD[[#This Row],[META]]&gt;0,(T_PROD[[#This Row],[META]]/T_PROD[[#This Row],[PREVISTO]]),""),"")</f>
        <v/>
      </c>
      <c r="K1518" s="32" t="str">
        <f>IFERROR(IF(T_PROD[[#This Row],[PRODUÇÃO]]&gt;0,(T_PROD[[#This Row],[PRODUÇÃO]]/T_PROD[[#This Row],[EFETIVO]]),""),"")</f>
        <v/>
      </c>
    </row>
    <row r="1519" spans="1:11" x14ac:dyDescent="0.3">
      <c r="A1519" s="28">
        <v>46273</v>
      </c>
      <c r="B1519" s="29" t="str">
        <f t="shared" si="167"/>
        <v>SETEMBRO</v>
      </c>
      <c r="C1519" s="12" t="s">
        <v>20</v>
      </c>
      <c r="D1519" s="12" t="s">
        <v>12</v>
      </c>
      <c r="E1519" s="30">
        <v>714</v>
      </c>
      <c r="F1519" s="30">
        <v>579</v>
      </c>
      <c r="G1519" s="29">
        <v>100</v>
      </c>
      <c r="H1519" s="31">
        <v>100</v>
      </c>
      <c r="I1519" s="29">
        <f>IFERROR(IF(T_PROD[[#This Row],[PREVISTO]]-T_PROD[[#This Row],[EFETIVO]]&lt; 0,0,T_PROD[[#This Row],[PREVISTO]]-T_PROD[[#This Row],[EFETIVO]] ),"")</f>
        <v>0</v>
      </c>
      <c r="J1519" s="32">
        <f>IFERROR(IF(T_PROD[[#This Row],[META]]&gt;0,(T_PROD[[#This Row],[META]]/T_PROD[[#This Row],[PREVISTO]]),""),"")</f>
        <v>7.14</v>
      </c>
      <c r="K1519" s="32">
        <f>IFERROR(IF(T_PROD[[#This Row],[PRODUÇÃO]]&gt;0,(T_PROD[[#This Row],[PRODUÇÃO]]/T_PROD[[#This Row],[EFETIVO]]),""),"")</f>
        <v>5.79</v>
      </c>
    </row>
    <row r="1520" spans="1:11" x14ac:dyDescent="0.3">
      <c r="A1520" s="28">
        <v>46273</v>
      </c>
      <c r="B1520" s="29" t="str">
        <f t="shared" si="167"/>
        <v>SETEMBRO</v>
      </c>
      <c r="C1520" s="12" t="s">
        <v>11</v>
      </c>
      <c r="D1520" s="12" t="s">
        <v>12</v>
      </c>
      <c r="E1520" s="30">
        <v>820</v>
      </c>
      <c r="F1520" s="30">
        <v>800</v>
      </c>
      <c r="G1520" s="29">
        <v>41</v>
      </c>
      <c r="H1520" s="31">
        <v>41</v>
      </c>
      <c r="I1520" s="29">
        <f>IFERROR(IF(T_PROD[[#This Row],[PREVISTO]]-T_PROD[[#This Row],[EFETIVO]]&lt; 0,0,T_PROD[[#This Row],[PREVISTO]]-T_PROD[[#This Row],[EFETIVO]] ),"")</f>
        <v>0</v>
      </c>
      <c r="J1520" s="32">
        <f>IFERROR(IF(T_PROD[[#This Row],[META]]&gt;0,(T_PROD[[#This Row],[META]]/T_PROD[[#This Row],[PREVISTO]]),""),"")</f>
        <v>20</v>
      </c>
      <c r="K1520" s="32">
        <f>IFERROR(IF(T_PROD[[#This Row],[PRODUÇÃO]]&gt;0,(T_PROD[[#This Row],[PRODUÇÃO]]/T_PROD[[#This Row],[EFETIVO]]),""),"")</f>
        <v>19.512195121951219</v>
      </c>
    </row>
    <row r="1521" spans="1:11" x14ac:dyDescent="0.3">
      <c r="A1521" s="28">
        <v>46273</v>
      </c>
      <c r="B1521" s="29" t="str">
        <f t="shared" si="167"/>
        <v>SETEMBRO</v>
      </c>
      <c r="C1521" s="12" t="s">
        <v>32</v>
      </c>
      <c r="D1521" s="12" t="s">
        <v>12</v>
      </c>
      <c r="E1521" s="30"/>
      <c r="F1521" s="30"/>
      <c r="G1521" s="29"/>
      <c r="H1521" s="31"/>
      <c r="I1521" s="29">
        <f>IFERROR(IF(T_PROD[[#This Row],[PREVISTO]]-T_PROD[[#This Row],[EFETIVO]]&lt; 0,0,T_PROD[[#This Row],[PREVISTO]]-T_PROD[[#This Row],[EFETIVO]] ),"")</f>
        <v>0</v>
      </c>
      <c r="J1521" s="32" t="str">
        <f>IFERROR(IF(T_PROD[[#This Row],[META]]&gt;0,(T_PROD[[#This Row],[META]]/T_PROD[[#This Row],[PREVISTO]]),""),"")</f>
        <v/>
      </c>
      <c r="K1521" s="32" t="str">
        <f>IFERROR(IF(T_PROD[[#This Row],[PRODUÇÃO]]&gt;0,(T_PROD[[#This Row],[PRODUÇÃO]]/T_PROD[[#This Row],[EFETIVO]]),""),"")</f>
        <v/>
      </c>
    </row>
    <row r="1522" spans="1:11" x14ac:dyDescent="0.3">
      <c r="A1522" s="28">
        <v>46273</v>
      </c>
      <c r="B1522" s="29" t="str">
        <f t="shared" si="167"/>
        <v>SETEMBRO</v>
      </c>
      <c r="C1522" s="12" t="s">
        <v>14</v>
      </c>
      <c r="D1522" s="12" t="s">
        <v>12</v>
      </c>
      <c r="E1522" s="30">
        <v>820</v>
      </c>
      <c r="F1522" s="30">
        <v>800</v>
      </c>
      <c r="G1522" s="29">
        <v>98</v>
      </c>
      <c r="H1522" s="31">
        <v>97</v>
      </c>
      <c r="I1522" s="29">
        <f>IFERROR(IF(T_PROD[[#This Row],[PREVISTO]]-T_PROD[[#This Row],[EFETIVO]]&lt; 0,0,T_PROD[[#This Row],[PREVISTO]]-T_PROD[[#This Row],[EFETIVO]] ),"")</f>
        <v>1</v>
      </c>
      <c r="J1522" s="32">
        <f>IFERROR(IF(T_PROD[[#This Row],[META]]&gt;0,(T_PROD[[#This Row],[META]]/T_PROD[[#This Row],[PREVISTO]]),""),"")</f>
        <v>8.3673469387755102</v>
      </c>
      <c r="K1522" s="32">
        <f>IFERROR(IF(T_PROD[[#This Row],[PRODUÇÃO]]&gt;0,(T_PROD[[#This Row],[PRODUÇÃO]]/T_PROD[[#This Row],[EFETIVO]]),""),"")</f>
        <v>8.2474226804123703</v>
      </c>
    </row>
    <row r="1523" spans="1:11" x14ac:dyDescent="0.3">
      <c r="A1523" s="28">
        <v>46274</v>
      </c>
      <c r="B1523" s="29" t="str">
        <f>UPPER(TEXT(A1523,"MMMM"))</f>
        <v>SETEMBRO</v>
      </c>
      <c r="C1523" s="12" t="s">
        <v>15</v>
      </c>
      <c r="D1523" s="12" t="s">
        <v>12</v>
      </c>
      <c r="E1523" s="30">
        <v>90</v>
      </c>
      <c r="F1523" s="30">
        <v>50</v>
      </c>
      <c r="G1523" s="29">
        <v>6</v>
      </c>
      <c r="H1523" s="31">
        <v>6</v>
      </c>
      <c r="I1523" s="29">
        <f>IFERROR(IF(T_PROD[[#This Row],[PREVISTO]]-T_PROD[[#This Row],[EFETIVO]]&lt; 0,0,T_PROD[[#This Row],[PREVISTO]]-T_PROD[[#This Row],[EFETIVO]] ),"")</f>
        <v>0</v>
      </c>
      <c r="J1523" s="32">
        <f>IFERROR(IF(T_PROD[[#This Row],[META]]&gt;0,(T_PROD[[#This Row],[META]]/T_PROD[[#This Row],[PREVISTO]]),""),"")</f>
        <v>15</v>
      </c>
      <c r="K1523" s="32">
        <f>IFERROR(IF(T_PROD[[#This Row],[PRODUÇÃO]]&gt;0,(T_PROD[[#This Row],[PRODUÇÃO]]/T_PROD[[#This Row],[EFETIVO]]),""),"")</f>
        <v>8.3333333333333339</v>
      </c>
    </row>
    <row r="1524" spans="1:11" x14ac:dyDescent="0.3">
      <c r="A1524" s="28">
        <v>46274</v>
      </c>
      <c r="B1524" s="29" t="str">
        <f t="shared" ref="B1524:B1531" si="168">UPPER(TEXT(A1524,"MMMM"))</f>
        <v>SETEMBRO</v>
      </c>
      <c r="C1524" s="12" t="s">
        <v>16</v>
      </c>
      <c r="D1524" s="12" t="s">
        <v>12</v>
      </c>
      <c r="E1524" s="30">
        <v>272</v>
      </c>
      <c r="F1524" s="30">
        <v>221</v>
      </c>
      <c r="G1524" s="29">
        <v>8</v>
      </c>
      <c r="H1524" s="31">
        <v>8</v>
      </c>
      <c r="I1524" s="29">
        <f>IFERROR(IF(T_PROD[[#This Row],[PREVISTO]]-T_PROD[[#This Row],[EFETIVO]]&lt; 0,0,T_PROD[[#This Row],[PREVISTO]]-T_PROD[[#This Row],[EFETIVO]] ),"")</f>
        <v>0</v>
      </c>
      <c r="J1524" s="32">
        <f>IFERROR(IF(T_PROD[[#This Row],[META]]&gt;0,(T_PROD[[#This Row],[META]]/T_PROD[[#This Row],[PREVISTO]]),""),"")</f>
        <v>34</v>
      </c>
      <c r="K1524" s="32">
        <f>IFERROR(IF(T_PROD[[#This Row],[PRODUÇÃO]]&gt;0,(T_PROD[[#This Row],[PRODUÇÃO]]/T_PROD[[#This Row],[EFETIVO]]),""),"")</f>
        <v>27.625</v>
      </c>
    </row>
    <row r="1525" spans="1:11" x14ac:dyDescent="0.3">
      <c r="A1525" s="28">
        <v>46274</v>
      </c>
      <c r="B1525" s="29" t="str">
        <f t="shared" si="168"/>
        <v>SETEMBRO</v>
      </c>
      <c r="C1525" s="12" t="s">
        <v>17</v>
      </c>
      <c r="D1525" s="12" t="s">
        <v>12</v>
      </c>
      <c r="E1525" s="30">
        <v>352</v>
      </c>
      <c r="F1525" s="30">
        <v>320</v>
      </c>
      <c r="G1525" s="29">
        <v>16</v>
      </c>
      <c r="H1525" s="31">
        <v>16</v>
      </c>
      <c r="I1525" s="29">
        <f>IFERROR(IF(T_PROD[[#This Row],[PREVISTO]]-T_PROD[[#This Row],[EFETIVO]]&lt; 0,0,T_PROD[[#This Row],[PREVISTO]]-T_PROD[[#This Row],[EFETIVO]] ),"")</f>
        <v>0</v>
      </c>
      <c r="J1525" s="32">
        <f>IFERROR(IF(T_PROD[[#This Row],[META]]&gt;0,(T_PROD[[#This Row],[META]]/T_PROD[[#This Row],[PREVISTO]]),""),"")</f>
        <v>22</v>
      </c>
      <c r="K1525" s="32">
        <f>IFERROR(IF(T_PROD[[#This Row],[PRODUÇÃO]]&gt;0,(T_PROD[[#This Row],[PRODUÇÃO]]/T_PROD[[#This Row],[EFETIVO]]),""),"")</f>
        <v>20</v>
      </c>
    </row>
    <row r="1526" spans="1:11" x14ac:dyDescent="0.3">
      <c r="A1526" s="28">
        <v>46274</v>
      </c>
      <c r="B1526" s="29" t="str">
        <f t="shared" si="168"/>
        <v>SETEMBRO</v>
      </c>
      <c r="C1526" s="12" t="s">
        <v>18</v>
      </c>
      <c r="D1526" s="12" t="s">
        <v>12</v>
      </c>
      <c r="E1526" s="30"/>
      <c r="F1526" s="30"/>
      <c r="G1526" s="29"/>
      <c r="H1526" s="31"/>
      <c r="I1526" s="29">
        <f>IFERROR(IF(T_PROD[[#This Row],[PREVISTO]]-T_PROD[[#This Row],[EFETIVO]]&lt; 0,0,T_PROD[[#This Row],[PREVISTO]]-T_PROD[[#This Row],[EFETIVO]] ),"")</f>
        <v>0</v>
      </c>
      <c r="J1526" s="32" t="str">
        <f>IFERROR(IF(T_PROD[[#This Row],[META]]&gt;0,(T_PROD[[#This Row],[META]]/T_PROD[[#This Row],[PREVISTO]]),""),"")</f>
        <v/>
      </c>
      <c r="K1526" s="32" t="str">
        <f>IFERROR(IF(T_PROD[[#This Row],[PRODUÇÃO]]&gt;0,(T_PROD[[#This Row],[PRODUÇÃO]]/T_PROD[[#This Row],[EFETIVO]]),""),"")</f>
        <v/>
      </c>
    </row>
    <row r="1527" spans="1:11" x14ac:dyDescent="0.3">
      <c r="A1527" s="28">
        <v>46274</v>
      </c>
      <c r="B1527" s="29" t="str">
        <f t="shared" si="168"/>
        <v>SETEMBRO</v>
      </c>
      <c r="C1527" s="12" t="s">
        <v>19</v>
      </c>
      <c r="D1527" s="12" t="s">
        <v>12</v>
      </c>
      <c r="E1527" s="30"/>
      <c r="F1527" s="30"/>
      <c r="G1527" s="29"/>
      <c r="H1527" s="31"/>
      <c r="I1527" s="29">
        <f>IFERROR(IF(T_PROD[[#This Row],[PREVISTO]]-T_PROD[[#This Row],[EFETIVO]]&lt; 0,0,T_PROD[[#This Row],[PREVISTO]]-T_PROD[[#This Row],[EFETIVO]] ),"")</f>
        <v>0</v>
      </c>
      <c r="J1527" s="32" t="str">
        <f>IFERROR(IF(T_PROD[[#This Row],[META]]&gt;0,(T_PROD[[#This Row],[META]]/T_PROD[[#This Row],[PREVISTO]]),""),"")</f>
        <v/>
      </c>
      <c r="K1527" s="32" t="str">
        <f>IFERROR(IF(T_PROD[[#This Row],[PRODUÇÃO]]&gt;0,(T_PROD[[#This Row],[PRODUÇÃO]]/T_PROD[[#This Row],[EFETIVO]]),""),"")</f>
        <v/>
      </c>
    </row>
    <row r="1528" spans="1:11" x14ac:dyDescent="0.3">
      <c r="A1528" s="28">
        <v>46274</v>
      </c>
      <c r="B1528" s="29" t="str">
        <f t="shared" si="168"/>
        <v>SETEMBRO</v>
      </c>
      <c r="C1528" s="12" t="s">
        <v>20</v>
      </c>
      <c r="D1528" s="12" t="s">
        <v>12</v>
      </c>
      <c r="E1528" s="30">
        <v>714</v>
      </c>
      <c r="F1528" s="30">
        <v>591</v>
      </c>
      <c r="G1528" s="29">
        <v>100</v>
      </c>
      <c r="H1528" s="31">
        <v>100</v>
      </c>
      <c r="I1528" s="29">
        <f>IFERROR(IF(T_PROD[[#This Row],[PREVISTO]]-T_PROD[[#This Row],[EFETIVO]]&lt; 0,0,T_PROD[[#This Row],[PREVISTO]]-T_PROD[[#This Row],[EFETIVO]] ),"")</f>
        <v>0</v>
      </c>
      <c r="J1528" s="32">
        <f>IFERROR(IF(T_PROD[[#This Row],[META]]&gt;0,(T_PROD[[#This Row],[META]]/T_PROD[[#This Row],[PREVISTO]]),""),"")</f>
        <v>7.14</v>
      </c>
      <c r="K1528" s="32">
        <f>IFERROR(IF(T_PROD[[#This Row],[PRODUÇÃO]]&gt;0,(T_PROD[[#This Row],[PRODUÇÃO]]/T_PROD[[#This Row],[EFETIVO]]),""),"")</f>
        <v>5.91</v>
      </c>
    </row>
    <row r="1529" spans="1:11" x14ac:dyDescent="0.3">
      <c r="A1529" s="28">
        <v>46274</v>
      </c>
      <c r="B1529" s="29" t="str">
        <f t="shared" si="168"/>
        <v>SETEMBRO</v>
      </c>
      <c r="C1529" s="12" t="s">
        <v>11</v>
      </c>
      <c r="D1529" s="12" t="s">
        <v>12</v>
      </c>
      <c r="E1529" s="30">
        <v>840</v>
      </c>
      <c r="F1529" s="30">
        <v>830</v>
      </c>
      <c r="G1529" s="29">
        <v>42</v>
      </c>
      <c r="H1529" s="31">
        <v>42</v>
      </c>
      <c r="I1529" s="29">
        <f>IFERROR(IF(T_PROD[[#This Row],[PREVISTO]]-T_PROD[[#This Row],[EFETIVO]]&lt; 0,0,T_PROD[[#This Row],[PREVISTO]]-T_PROD[[#This Row],[EFETIVO]] ),"")</f>
        <v>0</v>
      </c>
      <c r="J1529" s="32">
        <f>IFERROR(IF(T_PROD[[#This Row],[META]]&gt;0,(T_PROD[[#This Row],[META]]/T_PROD[[#This Row],[PREVISTO]]),""),"")</f>
        <v>20</v>
      </c>
      <c r="K1529" s="32">
        <f>IFERROR(IF(T_PROD[[#This Row],[PRODUÇÃO]]&gt;0,(T_PROD[[#This Row],[PRODUÇÃO]]/T_PROD[[#This Row],[EFETIVO]]),""),"")</f>
        <v>19.761904761904763</v>
      </c>
    </row>
    <row r="1530" spans="1:11" x14ac:dyDescent="0.3">
      <c r="A1530" s="28">
        <v>46274</v>
      </c>
      <c r="B1530" s="29" t="str">
        <f t="shared" si="168"/>
        <v>SETEMBRO</v>
      </c>
      <c r="C1530" s="12" t="s">
        <v>32</v>
      </c>
      <c r="D1530" s="12" t="s">
        <v>12</v>
      </c>
      <c r="E1530" s="30"/>
      <c r="F1530" s="30"/>
      <c r="G1530" s="29"/>
      <c r="H1530" s="31"/>
      <c r="I1530" s="29">
        <f>IFERROR(IF(T_PROD[[#This Row],[PREVISTO]]-T_PROD[[#This Row],[EFETIVO]]&lt; 0,0,T_PROD[[#This Row],[PREVISTO]]-T_PROD[[#This Row],[EFETIVO]] ),"")</f>
        <v>0</v>
      </c>
      <c r="J1530" s="32" t="str">
        <f>IFERROR(IF(T_PROD[[#This Row],[META]]&gt;0,(T_PROD[[#This Row],[META]]/T_PROD[[#This Row],[PREVISTO]]),""),"")</f>
        <v/>
      </c>
      <c r="K1530" s="32" t="str">
        <f>IFERROR(IF(T_PROD[[#This Row],[PRODUÇÃO]]&gt;0,(T_PROD[[#This Row],[PRODUÇÃO]]/T_PROD[[#This Row],[EFETIVO]]),""),"")</f>
        <v/>
      </c>
    </row>
    <row r="1531" spans="1:11" x14ac:dyDescent="0.3">
      <c r="A1531" s="28">
        <v>46274</v>
      </c>
      <c r="B1531" s="29" t="str">
        <f t="shared" si="168"/>
        <v>SETEMBRO</v>
      </c>
      <c r="C1531" s="12" t="s">
        <v>14</v>
      </c>
      <c r="D1531" s="12" t="s">
        <v>12</v>
      </c>
      <c r="E1531" s="30">
        <v>840</v>
      </c>
      <c r="F1531" s="30">
        <v>830</v>
      </c>
      <c r="G1531" s="29">
        <v>95</v>
      </c>
      <c r="H1531" s="31">
        <v>95</v>
      </c>
      <c r="I1531" s="29">
        <f>IFERROR(IF(T_PROD[[#This Row],[PREVISTO]]-T_PROD[[#This Row],[EFETIVO]]&lt; 0,0,T_PROD[[#This Row],[PREVISTO]]-T_PROD[[#This Row],[EFETIVO]] ),"")</f>
        <v>0</v>
      </c>
      <c r="J1531" s="32">
        <f>IFERROR(IF(T_PROD[[#This Row],[META]]&gt;0,(T_PROD[[#This Row],[META]]/T_PROD[[#This Row],[PREVISTO]]),""),"")</f>
        <v>8.8421052631578956</v>
      </c>
      <c r="K1531" s="32">
        <f>IFERROR(IF(T_PROD[[#This Row],[PRODUÇÃO]]&gt;0,(T_PROD[[#This Row],[PRODUÇÃO]]/T_PROD[[#This Row],[EFETIVO]]),""),"")</f>
        <v>8.7368421052631575</v>
      </c>
    </row>
    <row r="1532" spans="1:11" x14ac:dyDescent="0.3">
      <c r="A1532" s="28">
        <v>46275</v>
      </c>
      <c r="B1532" s="29" t="str">
        <f>UPPER(TEXT(A1532,"MMMM"))</f>
        <v>SETEMBRO</v>
      </c>
      <c r="C1532" s="12" t="s">
        <v>15</v>
      </c>
      <c r="D1532" s="12" t="s">
        <v>12</v>
      </c>
      <c r="E1532" s="30">
        <v>90</v>
      </c>
      <c r="F1532" s="30">
        <v>40</v>
      </c>
      <c r="G1532" s="29">
        <v>6</v>
      </c>
      <c r="H1532" s="31">
        <v>6</v>
      </c>
      <c r="I1532" s="29">
        <f>IFERROR(IF(T_PROD[[#This Row],[PREVISTO]]-T_PROD[[#This Row],[EFETIVO]]&lt; 0,0,T_PROD[[#This Row],[PREVISTO]]-T_PROD[[#This Row],[EFETIVO]] ),"")</f>
        <v>0</v>
      </c>
      <c r="J1532" s="32">
        <f>IFERROR(IF(T_PROD[[#This Row],[META]]&gt;0,(T_PROD[[#This Row],[META]]/T_PROD[[#This Row],[PREVISTO]]),""),"")</f>
        <v>15</v>
      </c>
      <c r="K1532" s="32">
        <f>IFERROR(IF(T_PROD[[#This Row],[PRODUÇÃO]]&gt;0,(T_PROD[[#This Row],[PRODUÇÃO]]/T_PROD[[#This Row],[EFETIVO]]),""),"")</f>
        <v>6.666666666666667</v>
      </c>
    </row>
    <row r="1533" spans="1:11" x14ac:dyDescent="0.3">
      <c r="A1533" s="28">
        <v>46275</v>
      </c>
      <c r="B1533" s="29" t="str">
        <f t="shared" ref="B1533:B1540" si="169">UPPER(TEXT(A1533,"MMMM"))</f>
        <v>SETEMBRO</v>
      </c>
      <c r="C1533" s="12" t="s">
        <v>16</v>
      </c>
      <c r="D1533" s="12" t="s">
        <v>12</v>
      </c>
      <c r="E1533" s="30">
        <v>272</v>
      </c>
      <c r="F1533" s="30">
        <v>263</v>
      </c>
      <c r="G1533" s="29">
        <v>8</v>
      </c>
      <c r="H1533" s="31">
        <v>8</v>
      </c>
      <c r="I1533" s="29">
        <f>IFERROR(IF(T_PROD[[#This Row],[PREVISTO]]-T_PROD[[#This Row],[EFETIVO]]&lt; 0,0,T_PROD[[#This Row],[PREVISTO]]-T_PROD[[#This Row],[EFETIVO]] ),"")</f>
        <v>0</v>
      </c>
      <c r="J1533" s="32">
        <f>IFERROR(IF(T_PROD[[#This Row],[META]]&gt;0,(T_PROD[[#This Row],[META]]/T_PROD[[#This Row],[PREVISTO]]),""),"")</f>
        <v>34</v>
      </c>
      <c r="K1533" s="32">
        <f>IFERROR(IF(T_PROD[[#This Row],[PRODUÇÃO]]&gt;0,(T_PROD[[#This Row],[PRODUÇÃO]]/T_PROD[[#This Row],[EFETIVO]]),""),"")</f>
        <v>32.875</v>
      </c>
    </row>
    <row r="1534" spans="1:11" x14ac:dyDescent="0.3">
      <c r="A1534" s="28">
        <v>46275</v>
      </c>
      <c r="B1534" s="29" t="str">
        <f t="shared" si="169"/>
        <v>SETEMBRO</v>
      </c>
      <c r="C1534" s="12" t="s">
        <v>17</v>
      </c>
      <c r="D1534" s="12" t="s">
        <v>12</v>
      </c>
      <c r="E1534" s="30">
        <v>352</v>
      </c>
      <c r="F1534" s="30">
        <v>325</v>
      </c>
      <c r="G1534" s="29">
        <v>16</v>
      </c>
      <c r="H1534" s="31">
        <v>16</v>
      </c>
      <c r="I1534" s="29">
        <f>IFERROR(IF(T_PROD[[#This Row],[PREVISTO]]-T_PROD[[#This Row],[EFETIVO]]&lt; 0,0,T_PROD[[#This Row],[PREVISTO]]-T_PROD[[#This Row],[EFETIVO]] ),"")</f>
        <v>0</v>
      </c>
      <c r="J1534" s="32">
        <f>IFERROR(IF(T_PROD[[#This Row],[META]]&gt;0,(T_PROD[[#This Row],[META]]/T_PROD[[#This Row],[PREVISTO]]),""),"")</f>
        <v>22</v>
      </c>
      <c r="K1534" s="32">
        <f>IFERROR(IF(T_PROD[[#This Row],[PRODUÇÃO]]&gt;0,(T_PROD[[#This Row],[PRODUÇÃO]]/T_PROD[[#This Row],[EFETIVO]]),""),"")</f>
        <v>20.3125</v>
      </c>
    </row>
    <row r="1535" spans="1:11" x14ac:dyDescent="0.3">
      <c r="A1535" s="28">
        <v>46275</v>
      </c>
      <c r="B1535" s="29" t="str">
        <f t="shared" si="169"/>
        <v>SETEMBRO</v>
      </c>
      <c r="C1535" s="12" t="s">
        <v>18</v>
      </c>
      <c r="D1535" s="12" t="s">
        <v>12</v>
      </c>
      <c r="E1535" s="30"/>
      <c r="F1535" s="30"/>
      <c r="G1535" s="29"/>
      <c r="H1535" s="31"/>
      <c r="I1535" s="29">
        <f>IFERROR(IF(T_PROD[[#This Row],[PREVISTO]]-T_PROD[[#This Row],[EFETIVO]]&lt; 0,0,T_PROD[[#This Row],[PREVISTO]]-T_PROD[[#This Row],[EFETIVO]] ),"")</f>
        <v>0</v>
      </c>
      <c r="J1535" s="32" t="str">
        <f>IFERROR(IF(T_PROD[[#This Row],[META]]&gt;0,(T_PROD[[#This Row],[META]]/T_PROD[[#This Row],[PREVISTO]]),""),"")</f>
        <v/>
      </c>
      <c r="K1535" s="32" t="str">
        <f>IFERROR(IF(T_PROD[[#This Row],[PRODUÇÃO]]&gt;0,(T_PROD[[#This Row],[PRODUÇÃO]]/T_PROD[[#This Row],[EFETIVO]]),""),"")</f>
        <v/>
      </c>
    </row>
    <row r="1536" spans="1:11" x14ac:dyDescent="0.3">
      <c r="A1536" s="28">
        <v>46275</v>
      </c>
      <c r="B1536" s="29" t="str">
        <f t="shared" si="169"/>
        <v>SETEMBRO</v>
      </c>
      <c r="C1536" s="12" t="s">
        <v>19</v>
      </c>
      <c r="D1536" s="12" t="s">
        <v>12</v>
      </c>
      <c r="E1536" s="30"/>
      <c r="F1536" s="30"/>
      <c r="G1536" s="29"/>
      <c r="H1536" s="31"/>
      <c r="I1536" s="29">
        <f>IFERROR(IF(T_PROD[[#This Row],[PREVISTO]]-T_PROD[[#This Row],[EFETIVO]]&lt; 0,0,T_PROD[[#This Row],[PREVISTO]]-T_PROD[[#This Row],[EFETIVO]] ),"")</f>
        <v>0</v>
      </c>
      <c r="J1536" s="32" t="str">
        <f>IFERROR(IF(T_PROD[[#This Row],[META]]&gt;0,(T_PROD[[#This Row],[META]]/T_PROD[[#This Row],[PREVISTO]]),""),"")</f>
        <v/>
      </c>
      <c r="K1536" s="32" t="str">
        <f>IFERROR(IF(T_PROD[[#This Row],[PRODUÇÃO]]&gt;0,(T_PROD[[#This Row],[PRODUÇÃO]]/T_PROD[[#This Row],[EFETIVO]]),""),"")</f>
        <v/>
      </c>
    </row>
    <row r="1537" spans="1:11" x14ac:dyDescent="0.3">
      <c r="A1537" s="28">
        <v>46275</v>
      </c>
      <c r="B1537" s="29" t="str">
        <f t="shared" si="169"/>
        <v>SETEMBRO</v>
      </c>
      <c r="C1537" s="12" t="s">
        <v>20</v>
      </c>
      <c r="D1537" s="12" t="s">
        <v>12</v>
      </c>
      <c r="E1537" s="30">
        <v>714</v>
      </c>
      <c r="F1537" s="30">
        <v>628</v>
      </c>
      <c r="G1537" s="29">
        <v>100</v>
      </c>
      <c r="H1537" s="31">
        <v>100</v>
      </c>
      <c r="I1537" s="29">
        <f>IFERROR(IF(T_PROD[[#This Row],[PREVISTO]]-T_PROD[[#This Row],[EFETIVO]]&lt; 0,0,T_PROD[[#This Row],[PREVISTO]]-T_PROD[[#This Row],[EFETIVO]] ),"")</f>
        <v>0</v>
      </c>
      <c r="J1537" s="32">
        <f>IFERROR(IF(T_PROD[[#This Row],[META]]&gt;0,(T_PROD[[#This Row],[META]]/T_PROD[[#This Row],[PREVISTO]]),""),"")</f>
        <v>7.14</v>
      </c>
      <c r="K1537" s="32">
        <f>IFERROR(IF(T_PROD[[#This Row],[PRODUÇÃO]]&gt;0,(T_PROD[[#This Row],[PRODUÇÃO]]/T_PROD[[#This Row],[EFETIVO]]),""),"")</f>
        <v>6.28</v>
      </c>
    </row>
    <row r="1538" spans="1:11" x14ac:dyDescent="0.3">
      <c r="A1538" s="28">
        <v>46275</v>
      </c>
      <c r="B1538" s="29" t="str">
        <f t="shared" si="169"/>
        <v>SETEMBRO</v>
      </c>
      <c r="C1538" s="12" t="s">
        <v>11</v>
      </c>
      <c r="D1538" s="12" t="s">
        <v>12</v>
      </c>
      <c r="E1538" s="30">
        <v>840</v>
      </c>
      <c r="F1538" s="30">
        <v>900</v>
      </c>
      <c r="G1538" s="29">
        <v>42</v>
      </c>
      <c r="H1538" s="31">
        <v>42</v>
      </c>
      <c r="I1538" s="29">
        <f>IFERROR(IF(T_PROD[[#This Row],[PREVISTO]]-T_PROD[[#This Row],[EFETIVO]]&lt; 0,0,T_PROD[[#This Row],[PREVISTO]]-T_PROD[[#This Row],[EFETIVO]] ),"")</f>
        <v>0</v>
      </c>
      <c r="J1538" s="32">
        <f>IFERROR(IF(T_PROD[[#This Row],[META]]&gt;0,(T_PROD[[#This Row],[META]]/T_PROD[[#This Row],[PREVISTO]]),""),"")</f>
        <v>20</v>
      </c>
      <c r="K1538" s="32">
        <f>IFERROR(IF(T_PROD[[#This Row],[PRODUÇÃO]]&gt;0,(T_PROD[[#This Row],[PRODUÇÃO]]/T_PROD[[#This Row],[EFETIVO]]),""),"")</f>
        <v>21.428571428571427</v>
      </c>
    </row>
    <row r="1539" spans="1:11" x14ac:dyDescent="0.3">
      <c r="A1539" s="28">
        <v>46275</v>
      </c>
      <c r="B1539" s="29" t="str">
        <f t="shared" si="169"/>
        <v>SETEMBRO</v>
      </c>
      <c r="C1539" s="12" t="s">
        <v>32</v>
      </c>
      <c r="D1539" s="12" t="s">
        <v>12</v>
      </c>
      <c r="E1539" s="30"/>
      <c r="F1539" s="30"/>
      <c r="G1539" s="29"/>
      <c r="H1539" s="31"/>
      <c r="I1539" s="29">
        <f>IFERROR(IF(T_PROD[[#This Row],[PREVISTO]]-T_PROD[[#This Row],[EFETIVO]]&lt; 0,0,T_PROD[[#This Row],[PREVISTO]]-T_PROD[[#This Row],[EFETIVO]] ),"")</f>
        <v>0</v>
      </c>
      <c r="J1539" s="32" t="str">
        <f>IFERROR(IF(T_PROD[[#This Row],[META]]&gt;0,(T_PROD[[#This Row],[META]]/T_PROD[[#This Row],[PREVISTO]]),""),"")</f>
        <v/>
      </c>
      <c r="K1539" s="32" t="str">
        <f>IFERROR(IF(T_PROD[[#This Row],[PRODUÇÃO]]&gt;0,(T_PROD[[#This Row],[PRODUÇÃO]]/T_PROD[[#This Row],[EFETIVO]]),""),"")</f>
        <v/>
      </c>
    </row>
    <row r="1540" spans="1:11" x14ac:dyDescent="0.3">
      <c r="A1540" s="28">
        <v>46275</v>
      </c>
      <c r="B1540" s="29" t="str">
        <f t="shared" si="169"/>
        <v>SETEMBRO</v>
      </c>
      <c r="C1540" s="12" t="s">
        <v>14</v>
      </c>
      <c r="D1540" s="12" t="s">
        <v>12</v>
      </c>
      <c r="E1540" s="30">
        <v>840</v>
      </c>
      <c r="F1540" s="30">
        <v>900</v>
      </c>
      <c r="G1540" s="29">
        <v>99</v>
      </c>
      <c r="H1540" s="31">
        <v>97</v>
      </c>
      <c r="I1540" s="29">
        <f>IFERROR(IF(T_PROD[[#This Row],[PREVISTO]]-T_PROD[[#This Row],[EFETIVO]]&lt; 0,0,T_PROD[[#This Row],[PREVISTO]]-T_PROD[[#This Row],[EFETIVO]] ),"")</f>
        <v>2</v>
      </c>
      <c r="J1540" s="32">
        <f>IFERROR(IF(T_PROD[[#This Row],[META]]&gt;0,(T_PROD[[#This Row],[META]]/T_PROD[[#This Row],[PREVISTO]]),""),"")</f>
        <v>8.4848484848484844</v>
      </c>
      <c r="K1540" s="32">
        <f>IFERROR(IF(T_PROD[[#This Row],[PRODUÇÃO]]&gt;0,(T_PROD[[#This Row],[PRODUÇÃO]]/T_PROD[[#This Row],[EFETIVO]]),""),"")</f>
        <v>9.2783505154639183</v>
      </c>
    </row>
    <row r="1541" spans="1:11" x14ac:dyDescent="0.3">
      <c r="A1541" s="28">
        <v>46276</v>
      </c>
      <c r="B1541" s="29" t="str">
        <f>UPPER(TEXT(A1541,"MMMM"))</f>
        <v>SETEMBRO</v>
      </c>
      <c r="C1541" s="12" t="s">
        <v>15</v>
      </c>
      <c r="D1541" s="12" t="s">
        <v>12</v>
      </c>
      <c r="E1541" s="30">
        <v>105</v>
      </c>
      <c r="F1541" s="30">
        <v>48</v>
      </c>
      <c r="G1541" s="29">
        <v>7</v>
      </c>
      <c r="H1541" s="31">
        <v>7</v>
      </c>
      <c r="I1541" s="29">
        <f>IFERROR(IF(T_PROD[[#This Row],[PREVISTO]]-T_PROD[[#This Row],[EFETIVO]]&lt; 0,0,T_PROD[[#This Row],[PREVISTO]]-T_PROD[[#This Row],[EFETIVO]] ),"")</f>
        <v>0</v>
      </c>
      <c r="J1541" s="32">
        <f>IFERROR(IF(T_PROD[[#This Row],[META]]&gt;0,(T_PROD[[#This Row],[META]]/T_PROD[[#This Row],[PREVISTO]]),""),"")</f>
        <v>15</v>
      </c>
      <c r="K1541" s="32">
        <f>IFERROR(IF(T_PROD[[#This Row],[PRODUÇÃO]]&gt;0,(T_PROD[[#This Row],[PRODUÇÃO]]/T_PROD[[#This Row],[EFETIVO]]),""),"")</f>
        <v>6.8571428571428568</v>
      </c>
    </row>
    <row r="1542" spans="1:11" x14ac:dyDescent="0.3">
      <c r="A1542" s="28">
        <v>46276</v>
      </c>
      <c r="B1542" s="29" t="str">
        <f t="shared" ref="B1542:B1549" si="170">UPPER(TEXT(A1542,"MMMM"))</f>
        <v>SETEMBRO</v>
      </c>
      <c r="C1542" s="12" t="s">
        <v>16</v>
      </c>
      <c r="D1542" s="12" t="s">
        <v>12</v>
      </c>
      <c r="E1542" s="30">
        <v>238</v>
      </c>
      <c r="F1542" s="30">
        <v>190</v>
      </c>
      <c r="G1542" s="29">
        <v>7</v>
      </c>
      <c r="H1542" s="31">
        <v>7</v>
      </c>
      <c r="I1542" s="29">
        <f>IFERROR(IF(T_PROD[[#This Row],[PREVISTO]]-T_PROD[[#This Row],[EFETIVO]]&lt; 0,0,T_PROD[[#This Row],[PREVISTO]]-T_PROD[[#This Row],[EFETIVO]] ),"")</f>
        <v>0</v>
      </c>
      <c r="J1542" s="32">
        <f>IFERROR(IF(T_PROD[[#This Row],[META]]&gt;0,(T_PROD[[#This Row],[META]]/T_PROD[[#This Row],[PREVISTO]]),""),"")</f>
        <v>34</v>
      </c>
      <c r="K1542" s="32">
        <f>IFERROR(IF(T_PROD[[#This Row],[PRODUÇÃO]]&gt;0,(T_PROD[[#This Row],[PRODUÇÃO]]/T_PROD[[#This Row],[EFETIVO]]),""),"")</f>
        <v>27.142857142857142</v>
      </c>
    </row>
    <row r="1543" spans="1:11" x14ac:dyDescent="0.3">
      <c r="A1543" s="28">
        <v>46276</v>
      </c>
      <c r="B1543" s="29" t="str">
        <f t="shared" si="170"/>
        <v>SETEMBRO</v>
      </c>
      <c r="C1543" s="12" t="s">
        <v>17</v>
      </c>
      <c r="D1543" s="12" t="s">
        <v>12</v>
      </c>
      <c r="E1543" s="30">
        <v>352</v>
      </c>
      <c r="F1543" s="30">
        <v>265</v>
      </c>
      <c r="G1543" s="29">
        <v>16</v>
      </c>
      <c r="H1543" s="31">
        <v>16</v>
      </c>
      <c r="I1543" s="29">
        <f>IFERROR(IF(T_PROD[[#This Row],[PREVISTO]]-T_PROD[[#This Row],[EFETIVO]]&lt; 0,0,T_PROD[[#This Row],[PREVISTO]]-T_PROD[[#This Row],[EFETIVO]] ),"")</f>
        <v>0</v>
      </c>
      <c r="J1543" s="32">
        <f>IFERROR(IF(T_PROD[[#This Row],[META]]&gt;0,(T_PROD[[#This Row],[META]]/T_PROD[[#This Row],[PREVISTO]]),""),"")</f>
        <v>22</v>
      </c>
      <c r="K1543" s="32">
        <f>IFERROR(IF(T_PROD[[#This Row],[PRODUÇÃO]]&gt;0,(T_PROD[[#This Row],[PRODUÇÃO]]/T_PROD[[#This Row],[EFETIVO]]),""),"")</f>
        <v>16.5625</v>
      </c>
    </row>
    <row r="1544" spans="1:11" x14ac:dyDescent="0.3">
      <c r="A1544" s="28">
        <v>46276</v>
      </c>
      <c r="B1544" s="29" t="str">
        <f t="shared" si="170"/>
        <v>SETEMBRO</v>
      </c>
      <c r="C1544" s="12" t="s">
        <v>18</v>
      </c>
      <c r="D1544" s="12" t="s">
        <v>12</v>
      </c>
      <c r="E1544" s="30"/>
      <c r="F1544" s="30"/>
      <c r="G1544" s="29"/>
      <c r="H1544" s="31"/>
      <c r="I1544" s="29">
        <f>IFERROR(IF(T_PROD[[#This Row],[PREVISTO]]-T_PROD[[#This Row],[EFETIVO]]&lt; 0,0,T_PROD[[#This Row],[PREVISTO]]-T_PROD[[#This Row],[EFETIVO]] ),"")</f>
        <v>0</v>
      </c>
      <c r="J1544" s="32" t="str">
        <f>IFERROR(IF(T_PROD[[#This Row],[META]]&gt;0,(T_PROD[[#This Row],[META]]/T_PROD[[#This Row],[PREVISTO]]),""),"")</f>
        <v/>
      </c>
      <c r="K1544" s="32" t="str">
        <f>IFERROR(IF(T_PROD[[#This Row],[PRODUÇÃO]]&gt;0,(T_PROD[[#This Row],[PRODUÇÃO]]/T_PROD[[#This Row],[EFETIVO]]),""),"")</f>
        <v/>
      </c>
    </row>
    <row r="1545" spans="1:11" x14ac:dyDescent="0.3">
      <c r="A1545" s="28">
        <v>46276</v>
      </c>
      <c r="B1545" s="29" t="str">
        <f t="shared" si="170"/>
        <v>SETEMBRO</v>
      </c>
      <c r="C1545" s="12" t="s">
        <v>19</v>
      </c>
      <c r="D1545" s="12" t="s">
        <v>12</v>
      </c>
      <c r="E1545" s="30"/>
      <c r="F1545" s="30"/>
      <c r="G1545" s="29"/>
      <c r="H1545" s="31"/>
      <c r="I1545" s="29">
        <f>IFERROR(IF(T_PROD[[#This Row],[PREVISTO]]-T_PROD[[#This Row],[EFETIVO]]&lt; 0,0,T_PROD[[#This Row],[PREVISTO]]-T_PROD[[#This Row],[EFETIVO]] ),"")</f>
        <v>0</v>
      </c>
      <c r="J1545" s="32" t="str">
        <f>IFERROR(IF(T_PROD[[#This Row],[META]]&gt;0,(T_PROD[[#This Row],[META]]/T_PROD[[#This Row],[PREVISTO]]),""),"")</f>
        <v/>
      </c>
      <c r="K1545" s="32" t="str">
        <f>IFERROR(IF(T_PROD[[#This Row],[PRODUÇÃO]]&gt;0,(T_PROD[[#This Row],[PRODUÇÃO]]/T_PROD[[#This Row],[EFETIVO]]),""),"")</f>
        <v/>
      </c>
    </row>
    <row r="1546" spans="1:11" x14ac:dyDescent="0.3">
      <c r="A1546" s="28">
        <v>46276</v>
      </c>
      <c r="B1546" s="29" t="str">
        <f t="shared" si="170"/>
        <v>SETEMBRO</v>
      </c>
      <c r="C1546" s="12" t="s">
        <v>20</v>
      </c>
      <c r="D1546" s="12" t="s">
        <v>12</v>
      </c>
      <c r="E1546" s="30">
        <v>695</v>
      </c>
      <c r="F1546" s="30">
        <v>503</v>
      </c>
      <c r="G1546" s="29">
        <v>100</v>
      </c>
      <c r="H1546" s="31">
        <v>100</v>
      </c>
      <c r="I1546" s="29">
        <f>IFERROR(IF(T_PROD[[#This Row],[PREVISTO]]-T_PROD[[#This Row],[EFETIVO]]&lt; 0,0,T_PROD[[#This Row],[PREVISTO]]-T_PROD[[#This Row],[EFETIVO]] ),"")</f>
        <v>0</v>
      </c>
      <c r="J1546" s="32">
        <f>IFERROR(IF(T_PROD[[#This Row],[META]]&gt;0,(T_PROD[[#This Row],[META]]/T_PROD[[#This Row],[PREVISTO]]),""),"")</f>
        <v>6.95</v>
      </c>
      <c r="K1546" s="32">
        <f>IFERROR(IF(T_PROD[[#This Row],[PRODUÇÃO]]&gt;0,(T_PROD[[#This Row],[PRODUÇÃO]]/T_PROD[[#This Row],[EFETIVO]]),""),"")</f>
        <v>5.03</v>
      </c>
    </row>
    <row r="1547" spans="1:11" x14ac:dyDescent="0.3">
      <c r="A1547" s="28">
        <v>46276</v>
      </c>
      <c r="B1547" s="29" t="str">
        <f t="shared" si="170"/>
        <v>SETEMBRO</v>
      </c>
      <c r="C1547" s="12" t="s">
        <v>11</v>
      </c>
      <c r="D1547" s="12" t="s">
        <v>12</v>
      </c>
      <c r="E1547" s="30">
        <v>680</v>
      </c>
      <c r="F1547" s="30">
        <v>700</v>
      </c>
      <c r="G1547" s="29">
        <v>34</v>
      </c>
      <c r="H1547" s="31">
        <v>34</v>
      </c>
      <c r="I1547" s="29">
        <f>IFERROR(IF(T_PROD[[#This Row],[PREVISTO]]-T_PROD[[#This Row],[EFETIVO]]&lt; 0,0,T_PROD[[#This Row],[PREVISTO]]-T_PROD[[#This Row],[EFETIVO]] ),"")</f>
        <v>0</v>
      </c>
      <c r="J1547" s="32">
        <f>IFERROR(IF(T_PROD[[#This Row],[META]]&gt;0,(T_PROD[[#This Row],[META]]/T_PROD[[#This Row],[PREVISTO]]),""),"")</f>
        <v>20</v>
      </c>
      <c r="K1547" s="32">
        <f>IFERROR(IF(T_PROD[[#This Row],[PRODUÇÃO]]&gt;0,(T_PROD[[#This Row],[PRODUÇÃO]]/T_PROD[[#This Row],[EFETIVO]]),""),"")</f>
        <v>20.588235294117649</v>
      </c>
    </row>
    <row r="1548" spans="1:11" x14ac:dyDescent="0.3">
      <c r="A1548" s="28">
        <v>46276</v>
      </c>
      <c r="B1548" s="29" t="str">
        <f t="shared" si="170"/>
        <v>SETEMBRO</v>
      </c>
      <c r="C1548" s="12" t="s">
        <v>32</v>
      </c>
      <c r="D1548" s="12" t="s">
        <v>12</v>
      </c>
      <c r="E1548" s="30">
        <v>44</v>
      </c>
      <c r="F1548" s="30">
        <v>48</v>
      </c>
      <c r="G1548" s="29">
        <v>4</v>
      </c>
      <c r="H1548" s="31">
        <v>4</v>
      </c>
      <c r="I1548" s="29">
        <f>IFERROR(IF(T_PROD[[#This Row],[PREVISTO]]-T_PROD[[#This Row],[EFETIVO]]&lt; 0,0,T_PROD[[#This Row],[PREVISTO]]-T_PROD[[#This Row],[EFETIVO]] ),"")</f>
        <v>0</v>
      </c>
      <c r="J1548" s="32">
        <f>IFERROR(IF(T_PROD[[#This Row],[META]]&gt;0,(T_PROD[[#This Row],[META]]/T_PROD[[#This Row],[PREVISTO]]),""),"")</f>
        <v>11</v>
      </c>
      <c r="K1548" s="32">
        <f>IFERROR(IF(T_PROD[[#This Row],[PRODUÇÃO]]&gt;0,(T_PROD[[#This Row],[PRODUÇÃO]]/T_PROD[[#This Row],[EFETIVO]]),""),"")</f>
        <v>12</v>
      </c>
    </row>
    <row r="1549" spans="1:11" x14ac:dyDescent="0.3">
      <c r="A1549" s="28">
        <v>46276</v>
      </c>
      <c r="B1549" s="29" t="str">
        <f t="shared" si="170"/>
        <v>SETEMBRO</v>
      </c>
      <c r="C1549" s="12" t="s">
        <v>14</v>
      </c>
      <c r="D1549" s="12" t="s">
        <v>12</v>
      </c>
      <c r="E1549" s="30">
        <v>724</v>
      </c>
      <c r="F1549" s="30">
        <v>748</v>
      </c>
      <c r="G1549" s="29">
        <v>80</v>
      </c>
      <c r="H1549" s="31">
        <v>78</v>
      </c>
      <c r="I1549" s="29">
        <f>IFERROR(IF(T_PROD[[#This Row],[PREVISTO]]-T_PROD[[#This Row],[EFETIVO]]&lt; 0,0,T_PROD[[#This Row],[PREVISTO]]-T_PROD[[#This Row],[EFETIVO]] ),"")</f>
        <v>2</v>
      </c>
      <c r="J1549" s="32">
        <f>IFERROR(IF(T_PROD[[#This Row],[META]]&gt;0,(T_PROD[[#This Row],[META]]/T_PROD[[#This Row],[PREVISTO]]),""),"")</f>
        <v>9.0500000000000007</v>
      </c>
      <c r="K1549" s="32">
        <f>IFERROR(IF(T_PROD[[#This Row],[PRODUÇÃO]]&gt;0,(T_PROD[[#This Row],[PRODUÇÃO]]/T_PROD[[#This Row],[EFETIVO]]),""),"")</f>
        <v>9.5897435897435894</v>
      </c>
    </row>
    <row r="1550" spans="1:11" x14ac:dyDescent="0.3">
      <c r="A1550" s="28">
        <v>46279</v>
      </c>
      <c r="B1550" s="29" t="str">
        <f>UPPER(TEXT(A1550,"MMMM"))</f>
        <v>SETEMBRO</v>
      </c>
      <c r="C1550" s="12" t="s">
        <v>15</v>
      </c>
      <c r="D1550" s="12" t="s">
        <v>12</v>
      </c>
      <c r="E1550" s="30">
        <v>105</v>
      </c>
      <c r="F1550" s="30">
        <v>70</v>
      </c>
      <c r="G1550" s="29">
        <v>7</v>
      </c>
      <c r="H1550" s="31">
        <v>7</v>
      </c>
      <c r="I1550" s="29">
        <f>IFERROR(IF(T_PROD[[#This Row],[PREVISTO]]-T_PROD[[#This Row],[EFETIVO]]&lt; 0,0,T_PROD[[#This Row],[PREVISTO]]-T_PROD[[#This Row],[EFETIVO]] ),"")</f>
        <v>0</v>
      </c>
      <c r="J1550" s="32">
        <f>IFERROR(IF(T_PROD[[#This Row],[META]]&gt;0,(T_PROD[[#This Row],[META]]/T_PROD[[#This Row],[PREVISTO]]),""),"")</f>
        <v>15</v>
      </c>
      <c r="K1550" s="32">
        <f>IFERROR(IF(T_PROD[[#This Row],[PRODUÇÃO]]&gt;0,(T_PROD[[#This Row],[PRODUÇÃO]]/T_PROD[[#This Row],[EFETIVO]]),""),"")</f>
        <v>10</v>
      </c>
    </row>
    <row r="1551" spans="1:11" x14ac:dyDescent="0.3">
      <c r="A1551" s="28">
        <v>46279</v>
      </c>
      <c r="B1551" s="29" t="str">
        <f t="shared" ref="B1551:B1558" si="171">UPPER(TEXT(A1551,"MMMM"))</f>
        <v>SETEMBRO</v>
      </c>
      <c r="C1551" s="12" t="s">
        <v>16</v>
      </c>
      <c r="D1551" s="12" t="s">
        <v>12</v>
      </c>
      <c r="E1551" s="30">
        <v>238</v>
      </c>
      <c r="F1551" s="30">
        <v>100</v>
      </c>
      <c r="G1551" s="29">
        <v>7</v>
      </c>
      <c r="H1551" s="31">
        <v>7</v>
      </c>
      <c r="I1551" s="29">
        <f>IFERROR(IF(T_PROD[[#This Row],[PREVISTO]]-T_PROD[[#This Row],[EFETIVO]]&lt; 0,0,T_PROD[[#This Row],[PREVISTO]]-T_PROD[[#This Row],[EFETIVO]] ),"")</f>
        <v>0</v>
      </c>
      <c r="J1551" s="32">
        <f>IFERROR(IF(T_PROD[[#This Row],[META]]&gt;0,(T_PROD[[#This Row],[META]]/T_PROD[[#This Row],[PREVISTO]]),""),"")</f>
        <v>34</v>
      </c>
      <c r="K1551" s="32">
        <f>IFERROR(IF(T_PROD[[#This Row],[PRODUÇÃO]]&gt;0,(T_PROD[[#This Row],[PRODUÇÃO]]/T_PROD[[#This Row],[EFETIVO]]),""),"")</f>
        <v>14.285714285714286</v>
      </c>
    </row>
    <row r="1552" spans="1:11" x14ac:dyDescent="0.3">
      <c r="A1552" s="28">
        <v>46279</v>
      </c>
      <c r="B1552" s="29" t="str">
        <f t="shared" si="171"/>
        <v>SETEMBRO</v>
      </c>
      <c r="C1552" s="12" t="s">
        <v>17</v>
      </c>
      <c r="D1552" s="12" t="s">
        <v>12</v>
      </c>
      <c r="E1552" s="30">
        <v>352</v>
      </c>
      <c r="F1552" s="30">
        <v>336</v>
      </c>
      <c r="G1552" s="29">
        <v>16</v>
      </c>
      <c r="H1552" s="31">
        <v>16</v>
      </c>
      <c r="I1552" s="29">
        <f>IFERROR(IF(T_PROD[[#This Row],[PREVISTO]]-T_PROD[[#This Row],[EFETIVO]]&lt; 0,0,T_PROD[[#This Row],[PREVISTO]]-T_PROD[[#This Row],[EFETIVO]] ),"")</f>
        <v>0</v>
      </c>
      <c r="J1552" s="32">
        <f>IFERROR(IF(T_PROD[[#This Row],[META]]&gt;0,(T_PROD[[#This Row],[META]]/T_PROD[[#This Row],[PREVISTO]]),""),"")</f>
        <v>22</v>
      </c>
      <c r="K1552" s="32">
        <f>IFERROR(IF(T_PROD[[#This Row],[PRODUÇÃO]]&gt;0,(T_PROD[[#This Row],[PRODUÇÃO]]/T_PROD[[#This Row],[EFETIVO]]),""),"")</f>
        <v>21</v>
      </c>
    </row>
    <row r="1553" spans="1:11" x14ac:dyDescent="0.3">
      <c r="A1553" s="28">
        <v>46279</v>
      </c>
      <c r="B1553" s="29" t="str">
        <f t="shared" si="171"/>
        <v>SETEMBRO</v>
      </c>
      <c r="C1553" s="12" t="s">
        <v>18</v>
      </c>
      <c r="D1553" s="12" t="s">
        <v>12</v>
      </c>
      <c r="E1553" s="30"/>
      <c r="F1553" s="30"/>
      <c r="G1553" s="29"/>
      <c r="H1553" s="31"/>
      <c r="I1553" s="29">
        <f>IFERROR(IF(T_PROD[[#This Row],[PREVISTO]]-T_PROD[[#This Row],[EFETIVO]]&lt; 0,0,T_PROD[[#This Row],[PREVISTO]]-T_PROD[[#This Row],[EFETIVO]] ),"")</f>
        <v>0</v>
      </c>
      <c r="J1553" s="32" t="str">
        <f>IFERROR(IF(T_PROD[[#This Row],[META]]&gt;0,(T_PROD[[#This Row],[META]]/T_PROD[[#This Row],[PREVISTO]]),""),"")</f>
        <v/>
      </c>
      <c r="K1553" s="32" t="str">
        <f>IFERROR(IF(T_PROD[[#This Row],[PRODUÇÃO]]&gt;0,(T_PROD[[#This Row],[PRODUÇÃO]]/T_PROD[[#This Row],[EFETIVO]]),""),"")</f>
        <v/>
      </c>
    </row>
    <row r="1554" spans="1:11" x14ac:dyDescent="0.3">
      <c r="A1554" s="28">
        <v>46279</v>
      </c>
      <c r="B1554" s="29" t="str">
        <f t="shared" si="171"/>
        <v>SETEMBRO</v>
      </c>
      <c r="C1554" s="12" t="s">
        <v>19</v>
      </c>
      <c r="D1554" s="12" t="s">
        <v>12</v>
      </c>
      <c r="E1554" s="30"/>
      <c r="F1554" s="30"/>
      <c r="G1554" s="29"/>
      <c r="H1554" s="31"/>
      <c r="I1554" s="29">
        <f>IFERROR(IF(T_PROD[[#This Row],[PREVISTO]]-T_PROD[[#This Row],[EFETIVO]]&lt; 0,0,T_PROD[[#This Row],[PREVISTO]]-T_PROD[[#This Row],[EFETIVO]] ),"")</f>
        <v>0</v>
      </c>
      <c r="J1554" s="32" t="str">
        <f>IFERROR(IF(T_PROD[[#This Row],[META]]&gt;0,(T_PROD[[#This Row],[META]]/T_PROD[[#This Row],[PREVISTO]]),""),"")</f>
        <v/>
      </c>
      <c r="K1554" s="32" t="str">
        <f>IFERROR(IF(T_PROD[[#This Row],[PRODUÇÃO]]&gt;0,(T_PROD[[#This Row],[PRODUÇÃO]]/T_PROD[[#This Row],[EFETIVO]]),""),"")</f>
        <v/>
      </c>
    </row>
    <row r="1555" spans="1:11" x14ac:dyDescent="0.3">
      <c r="A1555" s="28">
        <v>46279</v>
      </c>
      <c r="B1555" s="29" t="str">
        <f t="shared" si="171"/>
        <v>SETEMBRO</v>
      </c>
      <c r="C1555" s="12" t="s">
        <v>20</v>
      </c>
      <c r="D1555" s="12" t="s">
        <v>12</v>
      </c>
      <c r="E1555" s="30">
        <v>695</v>
      </c>
      <c r="F1555" s="30">
        <v>505</v>
      </c>
      <c r="G1555" s="29">
        <v>100</v>
      </c>
      <c r="H1555" s="31">
        <v>100</v>
      </c>
      <c r="I1555" s="29">
        <f>IFERROR(IF(T_PROD[[#This Row],[PREVISTO]]-T_PROD[[#This Row],[EFETIVO]]&lt; 0,0,T_PROD[[#This Row],[PREVISTO]]-T_PROD[[#This Row],[EFETIVO]] ),"")</f>
        <v>0</v>
      </c>
      <c r="J1555" s="32">
        <f>IFERROR(IF(T_PROD[[#This Row],[META]]&gt;0,(T_PROD[[#This Row],[META]]/T_PROD[[#This Row],[PREVISTO]]),""),"")</f>
        <v>6.95</v>
      </c>
      <c r="K1555" s="32">
        <f>IFERROR(IF(T_PROD[[#This Row],[PRODUÇÃO]]&gt;0,(T_PROD[[#This Row],[PRODUÇÃO]]/T_PROD[[#This Row],[EFETIVO]]),""),"")</f>
        <v>5.05</v>
      </c>
    </row>
    <row r="1556" spans="1:11" x14ac:dyDescent="0.3">
      <c r="A1556" s="28">
        <v>46279</v>
      </c>
      <c r="B1556" s="29" t="str">
        <f t="shared" si="171"/>
        <v>SETEMBRO</v>
      </c>
      <c r="C1556" s="12" t="s">
        <v>11</v>
      </c>
      <c r="D1556" s="12" t="s">
        <v>12</v>
      </c>
      <c r="E1556" s="30">
        <v>800</v>
      </c>
      <c r="F1556" s="30">
        <v>740</v>
      </c>
      <c r="G1556" s="29">
        <v>40</v>
      </c>
      <c r="H1556" s="31">
        <v>40</v>
      </c>
      <c r="I1556" s="29">
        <f>IFERROR(IF(T_PROD[[#This Row],[PREVISTO]]-T_PROD[[#This Row],[EFETIVO]]&lt; 0,0,T_PROD[[#This Row],[PREVISTO]]-T_PROD[[#This Row],[EFETIVO]] ),"")</f>
        <v>0</v>
      </c>
      <c r="J1556" s="32">
        <f>IFERROR(IF(T_PROD[[#This Row],[META]]&gt;0,(T_PROD[[#This Row],[META]]/T_PROD[[#This Row],[PREVISTO]]),""),"")</f>
        <v>20</v>
      </c>
      <c r="K1556" s="32">
        <f>IFERROR(IF(T_PROD[[#This Row],[PRODUÇÃO]]&gt;0,(T_PROD[[#This Row],[PRODUÇÃO]]/T_PROD[[#This Row],[EFETIVO]]),""),"")</f>
        <v>18.5</v>
      </c>
    </row>
    <row r="1557" spans="1:11" x14ac:dyDescent="0.3">
      <c r="A1557" s="28">
        <v>46279</v>
      </c>
      <c r="B1557" s="29" t="str">
        <f t="shared" si="171"/>
        <v>SETEMBRO</v>
      </c>
      <c r="C1557" s="12" t="s">
        <v>32</v>
      </c>
      <c r="D1557" s="12" t="s">
        <v>12</v>
      </c>
      <c r="E1557" s="30">
        <v>88</v>
      </c>
      <c r="F1557" s="30">
        <v>63</v>
      </c>
      <c r="G1557" s="29">
        <v>8</v>
      </c>
      <c r="H1557" s="31">
        <v>8</v>
      </c>
      <c r="I1557" s="29">
        <f>IFERROR(IF(T_PROD[[#This Row],[PREVISTO]]-T_PROD[[#This Row],[EFETIVO]]&lt; 0,0,T_PROD[[#This Row],[PREVISTO]]-T_PROD[[#This Row],[EFETIVO]] ),"")</f>
        <v>0</v>
      </c>
      <c r="J1557" s="32">
        <f>IFERROR(IF(T_PROD[[#This Row],[META]]&gt;0,(T_PROD[[#This Row],[META]]/T_PROD[[#This Row],[PREVISTO]]),""),"")</f>
        <v>11</v>
      </c>
      <c r="K1557" s="32">
        <f>IFERROR(IF(T_PROD[[#This Row],[PRODUÇÃO]]&gt;0,(T_PROD[[#This Row],[PRODUÇÃO]]/T_PROD[[#This Row],[EFETIVO]]),""),"")</f>
        <v>7.875</v>
      </c>
    </row>
    <row r="1558" spans="1:11" x14ac:dyDescent="0.3">
      <c r="A1558" s="28">
        <v>46279</v>
      </c>
      <c r="B1558" s="29" t="str">
        <f t="shared" si="171"/>
        <v>SETEMBRO</v>
      </c>
      <c r="C1558" s="12" t="s">
        <v>14</v>
      </c>
      <c r="D1558" s="12" t="s">
        <v>12</v>
      </c>
      <c r="E1558" s="30">
        <v>888</v>
      </c>
      <c r="F1558" s="30">
        <v>803</v>
      </c>
      <c r="G1558" s="29">
        <v>98</v>
      </c>
      <c r="H1558" s="31">
        <v>96</v>
      </c>
      <c r="I1558" s="29">
        <f>IFERROR(IF(T_PROD[[#This Row],[PREVISTO]]-T_PROD[[#This Row],[EFETIVO]]&lt; 0,0,T_PROD[[#This Row],[PREVISTO]]-T_PROD[[#This Row],[EFETIVO]] ),"")</f>
        <v>2</v>
      </c>
      <c r="J1558" s="32">
        <f>IFERROR(IF(T_PROD[[#This Row],[META]]&gt;0,(T_PROD[[#This Row],[META]]/T_PROD[[#This Row],[PREVISTO]]),""),"")</f>
        <v>9.0612244897959187</v>
      </c>
      <c r="K1558" s="32">
        <f>IFERROR(IF(T_PROD[[#This Row],[PRODUÇÃO]]&gt;0,(T_PROD[[#This Row],[PRODUÇÃO]]/T_PROD[[#This Row],[EFETIVO]]),""),"")</f>
        <v>8.3645833333333339</v>
      </c>
    </row>
    <row r="1559" spans="1:11" x14ac:dyDescent="0.3">
      <c r="A1559" s="28">
        <v>46280</v>
      </c>
      <c r="B1559" s="29" t="str">
        <f>UPPER(TEXT(A1559,"MMMM"))</f>
        <v>SETEMBRO</v>
      </c>
      <c r="C1559" s="6" t="s">
        <v>15</v>
      </c>
      <c r="D1559" s="12" t="s">
        <v>12</v>
      </c>
      <c r="E1559" s="30">
        <v>60</v>
      </c>
      <c r="F1559" s="30">
        <v>31</v>
      </c>
      <c r="G1559" s="29">
        <v>4</v>
      </c>
      <c r="H1559" s="31">
        <v>4</v>
      </c>
      <c r="I1559" s="29">
        <f>IFERROR(IF(T_PROD[[#This Row],[PREVISTO]]-T_PROD[[#This Row],[EFETIVO]]&lt; 0,0,T_PROD[[#This Row],[PREVISTO]]-T_PROD[[#This Row],[EFETIVO]] ),"")</f>
        <v>0</v>
      </c>
      <c r="J1559" s="32">
        <f>IFERROR(IF(T_PROD[[#This Row],[META]]&gt;0,(T_PROD[[#This Row],[META]]/T_PROD[[#This Row],[PREVISTO]]),""),"")</f>
        <v>15</v>
      </c>
      <c r="K1559" s="32">
        <f>IFERROR(IF(T_PROD[[#This Row],[PRODUÇÃO]]&gt;0,(T_PROD[[#This Row],[PRODUÇÃO]]/T_PROD[[#This Row],[EFETIVO]]),""),"")</f>
        <v>7.75</v>
      </c>
    </row>
    <row r="1560" spans="1:11" x14ac:dyDescent="0.3">
      <c r="A1560" s="28">
        <v>46280</v>
      </c>
      <c r="B1560" s="29" t="str">
        <f t="shared" ref="B1560:B1567" si="172">UPPER(TEXT(A1560,"MMMM"))</f>
        <v>SETEMBRO</v>
      </c>
      <c r="C1560" s="12" t="s">
        <v>16</v>
      </c>
      <c r="D1560" s="12" t="s">
        <v>12</v>
      </c>
      <c r="E1560" s="30">
        <v>272</v>
      </c>
      <c r="F1560" s="30">
        <v>219</v>
      </c>
      <c r="G1560" s="29">
        <v>8</v>
      </c>
      <c r="H1560" s="31">
        <v>8</v>
      </c>
      <c r="I1560" s="29">
        <f>IFERROR(IF(T_PROD[[#This Row],[PREVISTO]]-T_PROD[[#This Row],[EFETIVO]]&lt; 0,0,T_PROD[[#This Row],[PREVISTO]]-T_PROD[[#This Row],[EFETIVO]] ),"")</f>
        <v>0</v>
      </c>
      <c r="J1560" s="32">
        <f>IFERROR(IF(T_PROD[[#This Row],[META]]&gt;0,(T_PROD[[#This Row],[META]]/T_PROD[[#This Row],[PREVISTO]]),""),"")</f>
        <v>34</v>
      </c>
      <c r="K1560" s="32">
        <f>IFERROR(IF(T_PROD[[#This Row],[PRODUÇÃO]]&gt;0,(T_PROD[[#This Row],[PRODUÇÃO]]/T_PROD[[#This Row],[EFETIVO]]),""),"")</f>
        <v>27.375</v>
      </c>
    </row>
    <row r="1561" spans="1:11" x14ac:dyDescent="0.3">
      <c r="A1561" s="28">
        <v>46280</v>
      </c>
      <c r="B1561" s="29" t="str">
        <f t="shared" si="172"/>
        <v>SETEMBRO</v>
      </c>
      <c r="C1561" s="12" t="s">
        <v>17</v>
      </c>
      <c r="D1561" s="12" t="s">
        <v>12</v>
      </c>
      <c r="E1561" s="30">
        <v>352</v>
      </c>
      <c r="F1561" s="30">
        <v>415</v>
      </c>
      <c r="G1561" s="29">
        <v>16</v>
      </c>
      <c r="H1561" s="31">
        <v>16</v>
      </c>
      <c r="I1561" s="29">
        <f>IFERROR(IF(T_PROD[[#This Row],[PREVISTO]]-T_PROD[[#This Row],[EFETIVO]]&lt; 0,0,T_PROD[[#This Row],[PREVISTO]]-T_PROD[[#This Row],[EFETIVO]] ),"")</f>
        <v>0</v>
      </c>
      <c r="J1561" s="32">
        <f>IFERROR(IF(T_PROD[[#This Row],[META]]&gt;0,(T_PROD[[#This Row],[META]]/T_PROD[[#This Row],[PREVISTO]]),""),"")</f>
        <v>22</v>
      </c>
      <c r="K1561" s="32">
        <f>IFERROR(IF(T_PROD[[#This Row],[PRODUÇÃO]]&gt;0,(T_PROD[[#This Row],[PRODUÇÃO]]/T_PROD[[#This Row],[EFETIVO]]),""),"")</f>
        <v>25.9375</v>
      </c>
    </row>
    <row r="1562" spans="1:11" x14ac:dyDescent="0.3">
      <c r="A1562" s="28">
        <v>46280</v>
      </c>
      <c r="B1562" s="29" t="str">
        <f t="shared" si="172"/>
        <v>SETEMBRO</v>
      </c>
      <c r="C1562" s="12" t="s">
        <v>18</v>
      </c>
      <c r="D1562" s="12" t="s">
        <v>12</v>
      </c>
      <c r="E1562" s="30"/>
      <c r="F1562" s="30"/>
      <c r="G1562" s="29"/>
      <c r="H1562" s="31"/>
      <c r="I1562" s="29">
        <f>IFERROR(IF(T_PROD[[#This Row],[PREVISTO]]-T_PROD[[#This Row],[EFETIVO]]&lt; 0,0,T_PROD[[#This Row],[PREVISTO]]-T_PROD[[#This Row],[EFETIVO]] ),"")</f>
        <v>0</v>
      </c>
      <c r="J1562" s="32" t="str">
        <f>IFERROR(IF(T_PROD[[#This Row],[META]]&gt;0,(T_PROD[[#This Row],[META]]/T_PROD[[#This Row],[PREVISTO]]),""),"")</f>
        <v/>
      </c>
      <c r="K1562" s="32" t="str">
        <f>IFERROR(IF(T_PROD[[#This Row],[PRODUÇÃO]]&gt;0,(T_PROD[[#This Row],[PRODUÇÃO]]/T_PROD[[#This Row],[EFETIVO]]),""),"")</f>
        <v/>
      </c>
    </row>
    <row r="1563" spans="1:11" x14ac:dyDescent="0.3">
      <c r="A1563" s="28">
        <v>46280</v>
      </c>
      <c r="B1563" s="29" t="str">
        <f t="shared" si="172"/>
        <v>SETEMBRO</v>
      </c>
      <c r="C1563" s="12" t="s">
        <v>19</v>
      </c>
      <c r="D1563" s="12" t="s">
        <v>12</v>
      </c>
      <c r="E1563" s="30"/>
      <c r="F1563" s="30"/>
      <c r="G1563" s="29"/>
      <c r="H1563" s="31"/>
      <c r="I1563" s="29">
        <f>IFERROR(IF(T_PROD[[#This Row],[PREVISTO]]-T_PROD[[#This Row],[EFETIVO]]&lt; 0,0,T_PROD[[#This Row],[PREVISTO]]-T_PROD[[#This Row],[EFETIVO]] ),"")</f>
        <v>0</v>
      </c>
      <c r="J1563" s="32" t="str">
        <f>IFERROR(IF(T_PROD[[#This Row],[META]]&gt;0,(T_PROD[[#This Row],[META]]/T_PROD[[#This Row],[PREVISTO]]),""),"")</f>
        <v/>
      </c>
      <c r="K1563" s="32" t="str">
        <f>IFERROR(IF(T_PROD[[#This Row],[PRODUÇÃO]]&gt;0,(T_PROD[[#This Row],[PRODUÇÃO]]/T_PROD[[#This Row],[EFETIVO]]),""),"")</f>
        <v/>
      </c>
    </row>
    <row r="1564" spans="1:11" x14ac:dyDescent="0.3">
      <c r="A1564" s="28">
        <v>46280</v>
      </c>
      <c r="B1564" s="29" t="str">
        <f t="shared" si="172"/>
        <v>SETEMBRO</v>
      </c>
      <c r="C1564" s="12" t="s">
        <v>20</v>
      </c>
      <c r="D1564" s="12" t="s">
        <v>12</v>
      </c>
      <c r="E1564" s="30">
        <v>684</v>
      </c>
      <c r="F1564" s="30">
        <v>665</v>
      </c>
      <c r="G1564" s="29">
        <v>100</v>
      </c>
      <c r="H1564" s="31">
        <v>100</v>
      </c>
      <c r="I1564" s="29">
        <f>IFERROR(IF(T_PROD[[#This Row],[PREVISTO]]-T_PROD[[#This Row],[EFETIVO]]&lt; 0,0,T_PROD[[#This Row],[PREVISTO]]-T_PROD[[#This Row],[EFETIVO]] ),"")</f>
        <v>0</v>
      </c>
      <c r="J1564" s="32">
        <f>IFERROR(IF(T_PROD[[#This Row],[META]]&gt;0,(T_PROD[[#This Row],[META]]/T_PROD[[#This Row],[PREVISTO]]),""),"")</f>
        <v>6.84</v>
      </c>
      <c r="K1564" s="32">
        <f>IFERROR(IF(T_PROD[[#This Row],[PRODUÇÃO]]&gt;0,(T_PROD[[#This Row],[PRODUÇÃO]]/T_PROD[[#This Row],[EFETIVO]]),""),"")</f>
        <v>6.65</v>
      </c>
    </row>
    <row r="1565" spans="1:11" x14ac:dyDescent="0.3">
      <c r="A1565" s="28">
        <v>46280</v>
      </c>
      <c r="B1565" s="29" t="str">
        <f t="shared" si="172"/>
        <v>SETEMBRO</v>
      </c>
      <c r="C1565" s="12" t="s">
        <v>11</v>
      </c>
      <c r="D1565" s="12" t="s">
        <v>12</v>
      </c>
      <c r="E1565" s="30">
        <v>760</v>
      </c>
      <c r="F1565" s="30">
        <v>780</v>
      </c>
      <c r="G1565" s="29">
        <v>38</v>
      </c>
      <c r="H1565" s="31">
        <v>37</v>
      </c>
      <c r="I1565" s="29">
        <f>IFERROR(IF(T_PROD[[#This Row],[PREVISTO]]-T_PROD[[#This Row],[EFETIVO]]&lt; 0,0,T_PROD[[#This Row],[PREVISTO]]-T_PROD[[#This Row],[EFETIVO]] ),"")</f>
        <v>1</v>
      </c>
      <c r="J1565" s="32">
        <f>IFERROR(IF(T_PROD[[#This Row],[META]]&gt;0,(T_PROD[[#This Row],[META]]/T_PROD[[#This Row],[PREVISTO]]),""),"")</f>
        <v>20</v>
      </c>
      <c r="K1565" s="32">
        <f>IFERROR(IF(T_PROD[[#This Row],[PRODUÇÃO]]&gt;0,(T_PROD[[#This Row],[PRODUÇÃO]]/T_PROD[[#This Row],[EFETIVO]]),""),"")</f>
        <v>21.081081081081081</v>
      </c>
    </row>
    <row r="1566" spans="1:11" x14ac:dyDescent="0.3">
      <c r="A1566" s="28">
        <v>46280</v>
      </c>
      <c r="B1566" s="29" t="str">
        <f t="shared" si="172"/>
        <v>SETEMBRO</v>
      </c>
      <c r="C1566" s="12" t="s">
        <v>32</v>
      </c>
      <c r="D1566" s="12" t="s">
        <v>12</v>
      </c>
      <c r="E1566" s="30">
        <v>77</v>
      </c>
      <c r="F1566" s="30">
        <v>77</v>
      </c>
      <c r="G1566" s="29">
        <v>7</v>
      </c>
      <c r="H1566" s="31">
        <v>7</v>
      </c>
      <c r="I1566" s="29">
        <f>IFERROR(IF(T_PROD[[#This Row],[PREVISTO]]-T_PROD[[#This Row],[EFETIVO]]&lt; 0,0,T_PROD[[#This Row],[PREVISTO]]-T_PROD[[#This Row],[EFETIVO]] ),"")</f>
        <v>0</v>
      </c>
      <c r="J1566" s="32">
        <f>IFERROR(IF(T_PROD[[#This Row],[META]]&gt;0,(T_PROD[[#This Row],[META]]/T_PROD[[#This Row],[PREVISTO]]),""),"")</f>
        <v>11</v>
      </c>
      <c r="K1566" s="32">
        <f>IFERROR(IF(T_PROD[[#This Row],[PRODUÇÃO]]&gt;0,(T_PROD[[#This Row],[PRODUÇÃO]]/T_PROD[[#This Row],[EFETIVO]]),""),"")</f>
        <v>11</v>
      </c>
    </row>
    <row r="1567" spans="1:11" x14ac:dyDescent="0.3">
      <c r="A1567" s="28">
        <v>46280</v>
      </c>
      <c r="B1567" s="29" t="str">
        <f t="shared" si="172"/>
        <v>SETEMBRO</v>
      </c>
      <c r="C1567" s="12" t="s">
        <v>14</v>
      </c>
      <c r="D1567" s="12" t="s">
        <v>12</v>
      </c>
      <c r="E1567" s="30">
        <v>837</v>
      </c>
      <c r="F1567" s="30">
        <v>857</v>
      </c>
      <c r="G1567" s="29">
        <v>98</v>
      </c>
      <c r="H1567" s="31">
        <v>96</v>
      </c>
      <c r="I1567" s="29">
        <f>IFERROR(IF(T_PROD[[#This Row],[PREVISTO]]-T_PROD[[#This Row],[EFETIVO]]&lt; 0,0,T_PROD[[#This Row],[PREVISTO]]-T_PROD[[#This Row],[EFETIVO]] ),"")</f>
        <v>2</v>
      </c>
      <c r="J1567" s="32">
        <f>IFERROR(IF(T_PROD[[#This Row],[META]]&gt;0,(T_PROD[[#This Row],[META]]/T_PROD[[#This Row],[PREVISTO]]),""),"")</f>
        <v>8.5408163265306118</v>
      </c>
      <c r="K1567" s="32">
        <f>IFERROR(IF(T_PROD[[#This Row],[PRODUÇÃO]]&gt;0,(T_PROD[[#This Row],[PRODUÇÃO]]/T_PROD[[#This Row],[EFETIVO]]),""),"")</f>
        <v>8.9270833333333339</v>
      </c>
    </row>
    <row r="1568" spans="1:11" x14ac:dyDescent="0.3">
      <c r="A1568" s="28">
        <v>46281</v>
      </c>
      <c r="B1568" s="29" t="str">
        <f>UPPER(TEXT(A1568,"MMMM"))</f>
        <v>SETEMBRO</v>
      </c>
      <c r="C1568" s="6" t="s">
        <v>15</v>
      </c>
      <c r="D1568" s="12" t="s">
        <v>12</v>
      </c>
      <c r="E1568" s="30">
        <v>90</v>
      </c>
      <c r="F1568" s="30">
        <v>55</v>
      </c>
      <c r="G1568" s="29">
        <v>6</v>
      </c>
      <c r="H1568" s="31">
        <v>6</v>
      </c>
      <c r="I1568" s="29">
        <f>IFERROR(IF(T_PROD[[#This Row],[PREVISTO]]-T_PROD[[#This Row],[EFETIVO]]&lt; 0,0,T_PROD[[#This Row],[PREVISTO]]-T_PROD[[#This Row],[EFETIVO]] ),"")</f>
        <v>0</v>
      </c>
      <c r="J1568" s="32">
        <f>IFERROR(IF(T_PROD[[#This Row],[META]]&gt;0,(T_PROD[[#This Row],[META]]/T_PROD[[#This Row],[PREVISTO]]),""),"")</f>
        <v>15</v>
      </c>
      <c r="K1568" s="32">
        <f>IFERROR(IF(T_PROD[[#This Row],[PRODUÇÃO]]&gt;0,(T_PROD[[#This Row],[PRODUÇÃO]]/T_PROD[[#This Row],[EFETIVO]]),""),"")</f>
        <v>9.1666666666666661</v>
      </c>
    </row>
    <row r="1569" spans="1:11" x14ac:dyDescent="0.3">
      <c r="A1569" s="28">
        <v>46281</v>
      </c>
      <c r="B1569" s="29" t="str">
        <f t="shared" ref="B1569:B1576" si="173">UPPER(TEXT(A1569,"MMMM"))</f>
        <v>SETEMBRO</v>
      </c>
      <c r="C1569" s="12" t="s">
        <v>16</v>
      </c>
      <c r="D1569" s="12" t="s">
        <v>12</v>
      </c>
      <c r="E1569" s="30">
        <v>272</v>
      </c>
      <c r="F1569" s="30">
        <v>261</v>
      </c>
      <c r="G1569" s="29">
        <v>8</v>
      </c>
      <c r="H1569" s="31">
        <v>8</v>
      </c>
      <c r="I1569" s="29">
        <f>IFERROR(IF(T_PROD[[#This Row],[PREVISTO]]-T_PROD[[#This Row],[EFETIVO]]&lt; 0,0,T_PROD[[#This Row],[PREVISTO]]-T_PROD[[#This Row],[EFETIVO]] ),"")</f>
        <v>0</v>
      </c>
      <c r="J1569" s="32">
        <f>IFERROR(IF(T_PROD[[#This Row],[META]]&gt;0,(T_PROD[[#This Row],[META]]/T_PROD[[#This Row],[PREVISTO]]),""),"")</f>
        <v>34</v>
      </c>
      <c r="K1569" s="32">
        <f>IFERROR(IF(T_PROD[[#This Row],[PRODUÇÃO]]&gt;0,(T_PROD[[#This Row],[PRODUÇÃO]]/T_PROD[[#This Row],[EFETIVO]]),""),"")</f>
        <v>32.625</v>
      </c>
    </row>
    <row r="1570" spans="1:11" x14ac:dyDescent="0.3">
      <c r="A1570" s="28">
        <v>46281</v>
      </c>
      <c r="B1570" s="29" t="str">
        <f t="shared" si="173"/>
        <v>SETEMBRO</v>
      </c>
      <c r="C1570" s="12" t="s">
        <v>17</v>
      </c>
      <c r="D1570" s="12" t="s">
        <v>12</v>
      </c>
      <c r="E1570" s="30">
        <v>330</v>
      </c>
      <c r="F1570" s="30">
        <v>361</v>
      </c>
      <c r="G1570" s="29">
        <v>15</v>
      </c>
      <c r="H1570" s="31">
        <v>15</v>
      </c>
      <c r="I1570" s="29">
        <f>IFERROR(IF(T_PROD[[#This Row],[PREVISTO]]-T_PROD[[#This Row],[EFETIVO]]&lt; 0,0,T_PROD[[#This Row],[PREVISTO]]-T_PROD[[#This Row],[EFETIVO]] ),"")</f>
        <v>0</v>
      </c>
      <c r="J1570" s="32">
        <f>IFERROR(IF(T_PROD[[#This Row],[META]]&gt;0,(T_PROD[[#This Row],[META]]/T_PROD[[#This Row],[PREVISTO]]),""),"")</f>
        <v>22</v>
      </c>
      <c r="K1570" s="32">
        <f>IFERROR(IF(T_PROD[[#This Row],[PRODUÇÃO]]&gt;0,(T_PROD[[#This Row],[PRODUÇÃO]]/T_PROD[[#This Row],[EFETIVO]]),""),"")</f>
        <v>24.066666666666666</v>
      </c>
    </row>
    <row r="1571" spans="1:11" x14ac:dyDescent="0.3">
      <c r="A1571" s="28">
        <v>46281</v>
      </c>
      <c r="B1571" s="29" t="str">
        <f t="shared" si="173"/>
        <v>SETEMBRO</v>
      </c>
      <c r="C1571" s="12" t="s">
        <v>18</v>
      </c>
      <c r="D1571" s="12" t="s">
        <v>12</v>
      </c>
      <c r="E1571" s="30"/>
      <c r="F1571" s="30"/>
      <c r="G1571" s="29"/>
      <c r="H1571" s="31"/>
      <c r="I1571" s="29">
        <f>IFERROR(IF(T_PROD[[#This Row],[PREVISTO]]-T_PROD[[#This Row],[EFETIVO]]&lt; 0,0,T_PROD[[#This Row],[PREVISTO]]-T_PROD[[#This Row],[EFETIVO]] ),"")</f>
        <v>0</v>
      </c>
      <c r="J1571" s="32" t="str">
        <f>IFERROR(IF(T_PROD[[#This Row],[META]]&gt;0,(T_PROD[[#This Row],[META]]/T_PROD[[#This Row],[PREVISTO]]),""),"")</f>
        <v/>
      </c>
      <c r="K1571" s="32" t="str">
        <f>IFERROR(IF(T_PROD[[#This Row],[PRODUÇÃO]]&gt;0,(T_PROD[[#This Row],[PRODUÇÃO]]/T_PROD[[#This Row],[EFETIVO]]),""),"")</f>
        <v/>
      </c>
    </row>
    <row r="1572" spans="1:11" x14ac:dyDescent="0.3">
      <c r="A1572" s="28">
        <v>46281</v>
      </c>
      <c r="B1572" s="29" t="str">
        <f t="shared" si="173"/>
        <v>SETEMBRO</v>
      </c>
      <c r="C1572" s="12" t="s">
        <v>19</v>
      </c>
      <c r="D1572" s="12" t="s">
        <v>12</v>
      </c>
      <c r="E1572" s="30"/>
      <c r="F1572" s="30"/>
      <c r="G1572" s="29"/>
      <c r="H1572" s="31"/>
      <c r="I1572" s="29">
        <f>IFERROR(IF(T_PROD[[#This Row],[PREVISTO]]-T_PROD[[#This Row],[EFETIVO]]&lt; 0,0,T_PROD[[#This Row],[PREVISTO]]-T_PROD[[#This Row],[EFETIVO]] ),"")</f>
        <v>0</v>
      </c>
      <c r="J1572" s="32" t="str">
        <f>IFERROR(IF(T_PROD[[#This Row],[META]]&gt;0,(T_PROD[[#This Row],[META]]/T_PROD[[#This Row],[PREVISTO]]),""),"")</f>
        <v/>
      </c>
      <c r="K1572" s="32" t="str">
        <f>IFERROR(IF(T_PROD[[#This Row],[PRODUÇÃO]]&gt;0,(T_PROD[[#This Row],[PRODUÇÃO]]/T_PROD[[#This Row],[EFETIVO]]),""),"")</f>
        <v/>
      </c>
    </row>
    <row r="1573" spans="1:11" x14ac:dyDescent="0.3">
      <c r="A1573" s="28">
        <v>46281</v>
      </c>
      <c r="B1573" s="29" t="str">
        <f t="shared" si="173"/>
        <v>SETEMBRO</v>
      </c>
      <c r="C1573" s="12" t="s">
        <v>20</v>
      </c>
      <c r="D1573" s="12" t="s">
        <v>12</v>
      </c>
      <c r="E1573" s="30">
        <v>692</v>
      </c>
      <c r="F1573" s="30">
        <v>677</v>
      </c>
      <c r="G1573" s="29">
        <v>100</v>
      </c>
      <c r="H1573" s="31">
        <v>98</v>
      </c>
      <c r="I1573" s="29">
        <f>IFERROR(IF(T_PROD[[#This Row],[PREVISTO]]-T_PROD[[#This Row],[EFETIVO]]&lt; 0,0,T_PROD[[#This Row],[PREVISTO]]-T_PROD[[#This Row],[EFETIVO]] ),"")</f>
        <v>2</v>
      </c>
      <c r="J1573" s="32">
        <f>IFERROR(IF(T_PROD[[#This Row],[META]]&gt;0,(T_PROD[[#This Row],[META]]/T_PROD[[#This Row],[PREVISTO]]),""),"")</f>
        <v>6.92</v>
      </c>
      <c r="K1573" s="32">
        <f>IFERROR(IF(T_PROD[[#This Row],[PRODUÇÃO]]&gt;0,(T_PROD[[#This Row],[PRODUÇÃO]]/T_PROD[[#This Row],[EFETIVO]]),""),"")</f>
        <v>6.908163265306122</v>
      </c>
    </row>
    <row r="1574" spans="1:11" x14ac:dyDescent="0.3">
      <c r="A1574" s="28">
        <v>46281</v>
      </c>
      <c r="B1574" s="29" t="str">
        <f t="shared" si="173"/>
        <v>SETEMBRO</v>
      </c>
      <c r="C1574" s="12" t="s">
        <v>11</v>
      </c>
      <c r="D1574" s="12" t="s">
        <v>12</v>
      </c>
      <c r="E1574" s="30">
        <v>760</v>
      </c>
      <c r="F1574" s="30">
        <v>590</v>
      </c>
      <c r="G1574" s="29">
        <v>38</v>
      </c>
      <c r="H1574" s="31">
        <v>38</v>
      </c>
      <c r="I1574" s="29">
        <f>IFERROR(IF(T_PROD[[#This Row],[PREVISTO]]-T_PROD[[#This Row],[EFETIVO]]&lt; 0,0,T_PROD[[#This Row],[PREVISTO]]-T_PROD[[#This Row],[EFETIVO]] ),"")</f>
        <v>0</v>
      </c>
      <c r="J1574" s="32">
        <f>IFERROR(IF(T_PROD[[#This Row],[META]]&gt;0,(T_PROD[[#This Row],[META]]/T_PROD[[#This Row],[PREVISTO]]),""),"")</f>
        <v>20</v>
      </c>
      <c r="K1574" s="32">
        <f>IFERROR(IF(T_PROD[[#This Row],[PRODUÇÃO]]&gt;0,(T_PROD[[#This Row],[PRODUÇÃO]]/T_PROD[[#This Row],[EFETIVO]]),""),"")</f>
        <v>15.526315789473685</v>
      </c>
    </row>
    <row r="1575" spans="1:11" x14ac:dyDescent="0.3">
      <c r="A1575" s="28">
        <v>46281</v>
      </c>
      <c r="B1575" s="29" t="str">
        <f t="shared" si="173"/>
        <v>SETEMBRO</v>
      </c>
      <c r="C1575" s="12" t="s">
        <v>32</v>
      </c>
      <c r="D1575" s="12" t="s">
        <v>12</v>
      </c>
      <c r="E1575" s="30">
        <v>99</v>
      </c>
      <c r="F1575" s="30">
        <v>105</v>
      </c>
      <c r="G1575" s="29">
        <v>9</v>
      </c>
      <c r="H1575" s="31">
        <v>9</v>
      </c>
      <c r="I1575" s="29">
        <f>IFERROR(IF(T_PROD[[#This Row],[PREVISTO]]-T_PROD[[#This Row],[EFETIVO]]&lt; 0,0,T_PROD[[#This Row],[PREVISTO]]-T_PROD[[#This Row],[EFETIVO]] ),"")</f>
        <v>0</v>
      </c>
      <c r="J1575" s="32">
        <f>IFERROR(IF(T_PROD[[#This Row],[META]]&gt;0,(T_PROD[[#This Row],[META]]/T_PROD[[#This Row],[PREVISTO]]),""),"")</f>
        <v>11</v>
      </c>
      <c r="K1575" s="32">
        <f>IFERROR(IF(T_PROD[[#This Row],[PRODUÇÃO]]&gt;0,(T_PROD[[#This Row],[PRODUÇÃO]]/T_PROD[[#This Row],[EFETIVO]]),""),"")</f>
        <v>11.666666666666666</v>
      </c>
    </row>
    <row r="1576" spans="1:11" x14ac:dyDescent="0.3">
      <c r="A1576" s="28">
        <v>46281</v>
      </c>
      <c r="B1576" s="29" t="str">
        <f t="shared" si="173"/>
        <v>SETEMBRO</v>
      </c>
      <c r="C1576" s="12" t="s">
        <v>14</v>
      </c>
      <c r="D1576" s="12" t="s">
        <v>12</v>
      </c>
      <c r="E1576" s="30">
        <v>859</v>
      </c>
      <c r="F1576" s="30">
        <v>695</v>
      </c>
      <c r="G1576" s="29">
        <v>95</v>
      </c>
      <c r="H1576" s="31">
        <v>93</v>
      </c>
      <c r="I1576" s="29">
        <f>IFERROR(IF(T_PROD[[#This Row],[PREVISTO]]-T_PROD[[#This Row],[EFETIVO]]&lt; 0,0,T_PROD[[#This Row],[PREVISTO]]-T_PROD[[#This Row],[EFETIVO]] ),"")</f>
        <v>2</v>
      </c>
      <c r="J1576" s="32">
        <f>IFERROR(IF(T_PROD[[#This Row],[META]]&gt;0,(T_PROD[[#This Row],[META]]/T_PROD[[#This Row],[PREVISTO]]),""),"")</f>
        <v>9.0421052631578949</v>
      </c>
      <c r="K1576" s="32">
        <f>IFERROR(IF(T_PROD[[#This Row],[PRODUÇÃO]]&gt;0,(T_PROD[[#This Row],[PRODUÇÃO]]/T_PROD[[#This Row],[EFETIVO]]),""),"")</f>
        <v>7.4731182795698921</v>
      </c>
    </row>
    <row r="1577" spans="1:11" x14ac:dyDescent="0.3">
      <c r="A1577" s="28">
        <v>46282</v>
      </c>
      <c r="B1577" s="29" t="str">
        <f>UPPER(TEXT(A1577,"MMMM"))</f>
        <v>SETEMBRO</v>
      </c>
      <c r="C1577" s="6" t="s">
        <v>15</v>
      </c>
      <c r="D1577" s="12" t="s">
        <v>12</v>
      </c>
      <c r="E1577" s="30">
        <v>82.5</v>
      </c>
      <c r="F1577" s="30">
        <v>56</v>
      </c>
      <c r="G1577" s="29">
        <v>5.5</v>
      </c>
      <c r="H1577" s="31">
        <v>5.5</v>
      </c>
      <c r="I1577" s="29">
        <f>IFERROR(IF(T_PROD[[#This Row],[PREVISTO]]-T_PROD[[#This Row],[EFETIVO]]&lt; 0,0,T_PROD[[#This Row],[PREVISTO]]-T_PROD[[#This Row],[EFETIVO]] ),"")</f>
        <v>0</v>
      </c>
      <c r="J1577" s="32">
        <f>IFERROR(IF(T_PROD[[#This Row],[META]]&gt;0,(T_PROD[[#This Row],[META]]/T_PROD[[#This Row],[PREVISTO]]),""),"")</f>
        <v>15</v>
      </c>
      <c r="K1577" s="32">
        <f>IFERROR(IF(T_PROD[[#This Row],[PRODUÇÃO]]&gt;0,(T_PROD[[#This Row],[PRODUÇÃO]]/T_PROD[[#This Row],[EFETIVO]]),""),"")</f>
        <v>10.181818181818182</v>
      </c>
    </row>
    <row r="1578" spans="1:11" x14ac:dyDescent="0.3">
      <c r="A1578" s="28">
        <v>46282</v>
      </c>
      <c r="B1578" s="29" t="str">
        <f t="shared" ref="B1578:B1585" si="174">UPPER(TEXT(A1578,"MMMM"))</f>
        <v>SETEMBRO</v>
      </c>
      <c r="C1578" s="12" t="s">
        <v>16</v>
      </c>
      <c r="D1578" s="12" t="s">
        <v>12</v>
      </c>
      <c r="E1578" s="30">
        <v>255</v>
      </c>
      <c r="F1578" s="30">
        <v>246</v>
      </c>
      <c r="G1578" s="29">
        <v>7.5</v>
      </c>
      <c r="H1578" s="31">
        <v>7.5</v>
      </c>
      <c r="I1578" s="29">
        <f>IFERROR(IF(T_PROD[[#This Row],[PREVISTO]]-T_PROD[[#This Row],[EFETIVO]]&lt; 0,0,T_PROD[[#This Row],[PREVISTO]]-T_PROD[[#This Row],[EFETIVO]] ),"")</f>
        <v>0</v>
      </c>
      <c r="J1578" s="32">
        <f>IFERROR(IF(T_PROD[[#This Row],[META]]&gt;0,(T_PROD[[#This Row],[META]]/T_PROD[[#This Row],[PREVISTO]]),""),"")</f>
        <v>34</v>
      </c>
      <c r="K1578" s="32">
        <f>IFERROR(IF(T_PROD[[#This Row],[PRODUÇÃO]]&gt;0,(T_PROD[[#This Row],[PRODUÇÃO]]/T_PROD[[#This Row],[EFETIVO]]),""),"")</f>
        <v>32.799999999999997</v>
      </c>
    </row>
    <row r="1579" spans="1:11" x14ac:dyDescent="0.3">
      <c r="A1579" s="28">
        <v>46282</v>
      </c>
      <c r="B1579" s="29" t="str">
        <f t="shared" si="174"/>
        <v>SETEMBRO</v>
      </c>
      <c r="C1579" s="12" t="s">
        <v>17</v>
      </c>
      <c r="D1579" s="12" t="s">
        <v>12</v>
      </c>
      <c r="E1579" s="30">
        <v>352</v>
      </c>
      <c r="F1579" s="30">
        <v>319</v>
      </c>
      <c r="G1579" s="29">
        <v>16</v>
      </c>
      <c r="H1579" s="31">
        <v>16</v>
      </c>
      <c r="I1579" s="29">
        <f>IFERROR(IF(T_PROD[[#This Row],[PREVISTO]]-T_PROD[[#This Row],[EFETIVO]]&lt; 0,0,T_PROD[[#This Row],[PREVISTO]]-T_PROD[[#This Row],[EFETIVO]] ),"")</f>
        <v>0</v>
      </c>
      <c r="J1579" s="32">
        <f>IFERROR(IF(T_PROD[[#This Row],[META]]&gt;0,(T_PROD[[#This Row],[META]]/T_PROD[[#This Row],[PREVISTO]]),""),"")</f>
        <v>22</v>
      </c>
      <c r="K1579" s="32">
        <f>IFERROR(IF(T_PROD[[#This Row],[PRODUÇÃO]]&gt;0,(T_PROD[[#This Row],[PRODUÇÃO]]/T_PROD[[#This Row],[EFETIVO]]),""),"")</f>
        <v>19.9375</v>
      </c>
    </row>
    <row r="1580" spans="1:11" x14ac:dyDescent="0.3">
      <c r="A1580" s="28">
        <v>46282</v>
      </c>
      <c r="B1580" s="29" t="str">
        <f t="shared" si="174"/>
        <v>SETEMBRO</v>
      </c>
      <c r="C1580" s="12" t="s">
        <v>18</v>
      </c>
      <c r="D1580" s="12" t="s">
        <v>12</v>
      </c>
      <c r="E1580" s="30"/>
      <c r="F1580" s="30"/>
      <c r="G1580" s="29"/>
      <c r="H1580" s="31"/>
      <c r="I1580" s="29">
        <f>IFERROR(IF(T_PROD[[#This Row],[PREVISTO]]-T_PROD[[#This Row],[EFETIVO]]&lt; 0,0,T_PROD[[#This Row],[PREVISTO]]-T_PROD[[#This Row],[EFETIVO]] ),"")</f>
        <v>0</v>
      </c>
      <c r="J1580" s="32" t="str">
        <f>IFERROR(IF(T_PROD[[#This Row],[META]]&gt;0,(T_PROD[[#This Row],[META]]/T_PROD[[#This Row],[PREVISTO]]),""),"")</f>
        <v/>
      </c>
      <c r="K1580" s="32" t="str">
        <f>IFERROR(IF(T_PROD[[#This Row],[PRODUÇÃO]]&gt;0,(T_PROD[[#This Row],[PRODUÇÃO]]/T_PROD[[#This Row],[EFETIVO]]),""),"")</f>
        <v/>
      </c>
    </row>
    <row r="1581" spans="1:11" x14ac:dyDescent="0.3">
      <c r="A1581" s="28">
        <v>46282</v>
      </c>
      <c r="B1581" s="29" t="str">
        <f t="shared" si="174"/>
        <v>SETEMBRO</v>
      </c>
      <c r="C1581" s="12" t="s">
        <v>19</v>
      </c>
      <c r="D1581" s="12" t="s">
        <v>12</v>
      </c>
      <c r="E1581" s="30"/>
      <c r="F1581" s="30"/>
      <c r="G1581" s="29"/>
      <c r="H1581" s="31"/>
      <c r="I1581" s="29">
        <f>IFERROR(IF(T_PROD[[#This Row],[PREVISTO]]-T_PROD[[#This Row],[EFETIVO]]&lt; 0,0,T_PROD[[#This Row],[PREVISTO]]-T_PROD[[#This Row],[EFETIVO]] ),"")</f>
        <v>0</v>
      </c>
      <c r="J1581" s="32" t="str">
        <f>IFERROR(IF(T_PROD[[#This Row],[META]]&gt;0,(T_PROD[[#This Row],[META]]/T_PROD[[#This Row],[PREVISTO]]),""),"")</f>
        <v/>
      </c>
      <c r="K1581" s="32" t="str">
        <f>IFERROR(IF(T_PROD[[#This Row],[PRODUÇÃO]]&gt;0,(T_PROD[[#This Row],[PRODUÇÃO]]/T_PROD[[#This Row],[EFETIVO]]),""),"")</f>
        <v/>
      </c>
    </row>
    <row r="1582" spans="1:11" x14ac:dyDescent="0.3">
      <c r="A1582" s="28">
        <v>46282</v>
      </c>
      <c r="B1582" s="29" t="str">
        <f t="shared" si="174"/>
        <v>SETEMBRO</v>
      </c>
      <c r="C1582" s="12" t="s">
        <v>20</v>
      </c>
      <c r="D1582" s="12" t="s">
        <v>12</v>
      </c>
      <c r="E1582" s="30">
        <v>690</v>
      </c>
      <c r="F1582" s="30">
        <v>621</v>
      </c>
      <c r="G1582" s="29">
        <v>100</v>
      </c>
      <c r="H1582" s="31">
        <v>100</v>
      </c>
      <c r="I1582" s="29">
        <f>IFERROR(IF(T_PROD[[#This Row],[PREVISTO]]-T_PROD[[#This Row],[EFETIVO]]&lt; 0,0,T_PROD[[#This Row],[PREVISTO]]-T_PROD[[#This Row],[EFETIVO]] ),"")</f>
        <v>0</v>
      </c>
      <c r="J1582" s="32">
        <f>IFERROR(IF(T_PROD[[#This Row],[META]]&gt;0,(T_PROD[[#This Row],[META]]/T_PROD[[#This Row],[PREVISTO]]),""),"")</f>
        <v>6.9</v>
      </c>
      <c r="K1582" s="32">
        <f>IFERROR(IF(T_PROD[[#This Row],[PRODUÇÃO]]&gt;0,(T_PROD[[#This Row],[PRODUÇÃO]]/T_PROD[[#This Row],[EFETIVO]]),""),"")</f>
        <v>6.21</v>
      </c>
    </row>
    <row r="1583" spans="1:11" x14ac:dyDescent="0.3">
      <c r="A1583" s="28">
        <v>46282</v>
      </c>
      <c r="B1583" s="29" t="str">
        <f t="shared" si="174"/>
        <v>SETEMBRO</v>
      </c>
      <c r="C1583" s="12" t="s">
        <v>11</v>
      </c>
      <c r="D1583" s="12" t="s">
        <v>12</v>
      </c>
      <c r="E1583" s="30">
        <v>800</v>
      </c>
      <c r="F1583" s="30">
        <v>850</v>
      </c>
      <c r="G1583" s="29">
        <v>40</v>
      </c>
      <c r="H1583" s="31">
        <v>40</v>
      </c>
      <c r="I1583" s="29">
        <f>IFERROR(IF(T_PROD[[#This Row],[PREVISTO]]-T_PROD[[#This Row],[EFETIVO]]&lt; 0,0,T_PROD[[#This Row],[PREVISTO]]-T_PROD[[#This Row],[EFETIVO]] ),"")</f>
        <v>0</v>
      </c>
      <c r="J1583" s="32">
        <f>IFERROR(IF(T_PROD[[#This Row],[META]]&gt;0,(T_PROD[[#This Row],[META]]/T_PROD[[#This Row],[PREVISTO]]),""),"")</f>
        <v>20</v>
      </c>
      <c r="K1583" s="32">
        <f>IFERROR(IF(T_PROD[[#This Row],[PRODUÇÃO]]&gt;0,(T_PROD[[#This Row],[PRODUÇÃO]]/T_PROD[[#This Row],[EFETIVO]]),""),"")</f>
        <v>21.25</v>
      </c>
    </row>
    <row r="1584" spans="1:11" x14ac:dyDescent="0.3">
      <c r="A1584" s="28">
        <v>46282</v>
      </c>
      <c r="B1584" s="29" t="str">
        <f t="shared" si="174"/>
        <v>SETEMBRO</v>
      </c>
      <c r="C1584" s="12" t="s">
        <v>32</v>
      </c>
      <c r="D1584" s="12" t="s">
        <v>12</v>
      </c>
      <c r="E1584" s="30">
        <v>77</v>
      </c>
      <c r="F1584" s="30">
        <v>80</v>
      </c>
      <c r="G1584" s="29">
        <v>7</v>
      </c>
      <c r="H1584" s="31">
        <v>7</v>
      </c>
      <c r="I1584" s="29">
        <f>IFERROR(IF(T_PROD[[#This Row],[PREVISTO]]-T_PROD[[#This Row],[EFETIVO]]&lt; 0,0,T_PROD[[#This Row],[PREVISTO]]-T_PROD[[#This Row],[EFETIVO]] ),"")</f>
        <v>0</v>
      </c>
      <c r="J1584" s="32">
        <f>IFERROR(IF(T_PROD[[#This Row],[META]]&gt;0,(T_PROD[[#This Row],[META]]/T_PROD[[#This Row],[PREVISTO]]),""),"")</f>
        <v>11</v>
      </c>
      <c r="K1584" s="32">
        <f>IFERROR(IF(T_PROD[[#This Row],[PRODUÇÃO]]&gt;0,(T_PROD[[#This Row],[PRODUÇÃO]]/T_PROD[[#This Row],[EFETIVO]]),""),"")</f>
        <v>11.428571428571429</v>
      </c>
    </row>
    <row r="1585" spans="1:11" x14ac:dyDescent="0.3">
      <c r="A1585" s="28">
        <v>46282</v>
      </c>
      <c r="B1585" s="29" t="str">
        <f t="shared" si="174"/>
        <v>SETEMBRO</v>
      </c>
      <c r="C1585" s="12" t="s">
        <v>14</v>
      </c>
      <c r="D1585" s="12" t="s">
        <v>12</v>
      </c>
      <c r="E1585" s="30">
        <v>877</v>
      </c>
      <c r="F1585" s="30">
        <v>930</v>
      </c>
      <c r="G1585" s="29">
        <v>100</v>
      </c>
      <c r="H1585" s="31">
        <v>100</v>
      </c>
      <c r="I1585" s="29">
        <f>IFERROR(IF(T_PROD[[#This Row],[PREVISTO]]-T_PROD[[#This Row],[EFETIVO]]&lt; 0,0,T_PROD[[#This Row],[PREVISTO]]-T_PROD[[#This Row],[EFETIVO]] ),"")</f>
        <v>0</v>
      </c>
      <c r="J1585" s="32">
        <f>IFERROR(IF(T_PROD[[#This Row],[META]]&gt;0,(T_PROD[[#This Row],[META]]/T_PROD[[#This Row],[PREVISTO]]),""),"")</f>
        <v>8.77</v>
      </c>
      <c r="K1585" s="32">
        <f>IFERROR(IF(T_PROD[[#This Row],[PRODUÇÃO]]&gt;0,(T_PROD[[#This Row],[PRODUÇÃO]]/T_PROD[[#This Row],[EFETIVO]]),""),"")</f>
        <v>9.3000000000000007</v>
      </c>
    </row>
    <row r="1586" spans="1:11" x14ac:dyDescent="0.3">
      <c r="A1586" s="28">
        <v>46283</v>
      </c>
      <c r="B1586" s="29" t="str">
        <f>UPPER(TEXT(A1586,"MMMM"))</f>
        <v>SETEMBRO</v>
      </c>
      <c r="C1586" s="6" t="s">
        <v>15</v>
      </c>
      <c r="D1586" s="12" t="s">
        <v>12</v>
      </c>
      <c r="E1586" s="30"/>
      <c r="F1586" s="30"/>
      <c r="G1586" s="29"/>
      <c r="H1586" s="31"/>
      <c r="I1586" s="29">
        <f>IFERROR(IF(T_PROD[[#This Row],[PREVISTO]]-T_PROD[[#This Row],[EFETIVO]]&lt; 0,0,T_PROD[[#This Row],[PREVISTO]]-T_PROD[[#This Row],[EFETIVO]] ),"")</f>
        <v>0</v>
      </c>
      <c r="J1586" s="32" t="str">
        <f>IFERROR(IF(T_PROD[[#This Row],[META]]&gt;0,(T_PROD[[#This Row],[META]]/T_PROD[[#This Row],[PREVISTO]]),""),"")</f>
        <v/>
      </c>
      <c r="K1586" s="32" t="str">
        <f>IFERROR(IF(T_PROD[[#This Row],[PRODUÇÃO]]&gt;0,(T_PROD[[#This Row],[PRODUÇÃO]]/T_PROD[[#This Row],[EFETIVO]]),""),"")</f>
        <v/>
      </c>
    </row>
    <row r="1587" spans="1:11" x14ac:dyDescent="0.3">
      <c r="A1587" s="28">
        <v>46283</v>
      </c>
      <c r="B1587" s="29" t="str">
        <f t="shared" ref="B1587:B1594" si="175">UPPER(TEXT(A1587,"MMMM"))</f>
        <v>SETEMBRO</v>
      </c>
      <c r="C1587" s="12" t="s">
        <v>16</v>
      </c>
      <c r="D1587" s="12" t="s">
        <v>12</v>
      </c>
      <c r="E1587" s="30"/>
      <c r="F1587" s="30"/>
      <c r="G1587" s="29"/>
      <c r="H1587" s="31"/>
      <c r="I1587" s="29">
        <f>IFERROR(IF(T_PROD[[#This Row],[PREVISTO]]-T_PROD[[#This Row],[EFETIVO]]&lt; 0,0,T_PROD[[#This Row],[PREVISTO]]-T_PROD[[#This Row],[EFETIVO]] ),"")</f>
        <v>0</v>
      </c>
      <c r="J1587" s="32" t="str">
        <f>IFERROR(IF(T_PROD[[#This Row],[META]]&gt;0,(T_PROD[[#This Row],[META]]/T_PROD[[#This Row],[PREVISTO]]),""),"")</f>
        <v/>
      </c>
      <c r="K1587" s="32" t="str">
        <f>IFERROR(IF(T_PROD[[#This Row],[PRODUÇÃO]]&gt;0,(T_PROD[[#This Row],[PRODUÇÃO]]/T_PROD[[#This Row],[EFETIVO]]),""),"")</f>
        <v/>
      </c>
    </row>
    <row r="1588" spans="1:11" x14ac:dyDescent="0.3">
      <c r="A1588" s="28">
        <v>46283</v>
      </c>
      <c r="B1588" s="29" t="str">
        <f t="shared" si="175"/>
        <v>SETEMBRO</v>
      </c>
      <c r="C1588" s="12" t="s">
        <v>17</v>
      </c>
      <c r="D1588" s="12" t="s">
        <v>12</v>
      </c>
      <c r="E1588" s="30"/>
      <c r="F1588" s="30"/>
      <c r="G1588" s="29"/>
      <c r="H1588" s="31"/>
      <c r="I1588" s="29">
        <f>IFERROR(IF(T_PROD[[#This Row],[PREVISTO]]-T_PROD[[#This Row],[EFETIVO]]&lt; 0,0,T_PROD[[#This Row],[PREVISTO]]-T_PROD[[#This Row],[EFETIVO]] ),"")</f>
        <v>0</v>
      </c>
      <c r="J1588" s="32" t="str">
        <f>IFERROR(IF(T_PROD[[#This Row],[META]]&gt;0,(T_PROD[[#This Row],[META]]/T_PROD[[#This Row],[PREVISTO]]),""),"")</f>
        <v/>
      </c>
      <c r="K1588" s="32" t="str">
        <f>IFERROR(IF(T_PROD[[#This Row],[PRODUÇÃO]]&gt;0,(T_PROD[[#This Row],[PRODUÇÃO]]/T_PROD[[#This Row],[EFETIVO]]),""),"")</f>
        <v/>
      </c>
    </row>
    <row r="1589" spans="1:11" x14ac:dyDescent="0.3">
      <c r="A1589" s="28">
        <v>46283</v>
      </c>
      <c r="B1589" s="29" t="str">
        <f t="shared" si="175"/>
        <v>SETEMBRO</v>
      </c>
      <c r="C1589" s="12" t="s">
        <v>18</v>
      </c>
      <c r="D1589" s="12" t="s">
        <v>12</v>
      </c>
      <c r="E1589" s="30"/>
      <c r="F1589" s="30"/>
      <c r="G1589" s="29"/>
      <c r="H1589" s="31"/>
      <c r="I1589" s="29">
        <f>IFERROR(IF(T_PROD[[#This Row],[PREVISTO]]-T_PROD[[#This Row],[EFETIVO]]&lt; 0,0,T_PROD[[#This Row],[PREVISTO]]-T_PROD[[#This Row],[EFETIVO]] ),"")</f>
        <v>0</v>
      </c>
      <c r="J1589" s="32" t="str">
        <f>IFERROR(IF(T_PROD[[#This Row],[META]]&gt;0,(T_PROD[[#This Row],[META]]/T_PROD[[#This Row],[PREVISTO]]),""),"")</f>
        <v/>
      </c>
      <c r="K1589" s="32" t="str">
        <f>IFERROR(IF(T_PROD[[#This Row],[PRODUÇÃO]]&gt;0,(T_PROD[[#This Row],[PRODUÇÃO]]/T_PROD[[#This Row],[EFETIVO]]),""),"")</f>
        <v/>
      </c>
    </row>
    <row r="1590" spans="1:11" x14ac:dyDescent="0.3">
      <c r="A1590" s="28">
        <v>46283</v>
      </c>
      <c r="B1590" s="29" t="str">
        <f t="shared" si="175"/>
        <v>SETEMBRO</v>
      </c>
      <c r="C1590" s="12" t="s">
        <v>19</v>
      </c>
      <c r="D1590" s="12" t="s">
        <v>12</v>
      </c>
      <c r="E1590" s="30"/>
      <c r="F1590" s="30"/>
      <c r="G1590" s="29"/>
      <c r="H1590" s="31"/>
      <c r="I1590" s="29">
        <f>IFERROR(IF(T_PROD[[#This Row],[PREVISTO]]-T_PROD[[#This Row],[EFETIVO]]&lt; 0,0,T_PROD[[#This Row],[PREVISTO]]-T_PROD[[#This Row],[EFETIVO]] ),"")</f>
        <v>0</v>
      </c>
      <c r="J1590" s="32" t="str">
        <f>IFERROR(IF(T_PROD[[#This Row],[META]]&gt;0,(T_PROD[[#This Row],[META]]/T_PROD[[#This Row],[PREVISTO]]),""),"")</f>
        <v/>
      </c>
      <c r="K1590" s="32" t="str">
        <f>IFERROR(IF(T_PROD[[#This Row],[PRODUÇÃO]]&gt;0,(T_PROD[[#This Row],[PRODUÇÃO]]/T_PROD[[#This Row],[EFETIVO]]),""),"")</f>
        <v/>
      </c>
    </row>
    <row r="1591" spans="1:11" x14ac:dyDescent="0.3">
      <c r="A1591" s="28">
        <v>46283</v>
      </c>
      <c r="B1591" s="29" t="str">
        <f t="shared" si="175"/>
        <v>SETEMBRO</v>
      </c>
      <c r="C1591" s="12" t="s">
        <v>20</v>
      </c>
      <c r="D1591" s="12" t="s">
        <v>12</v>
      </c>
      <c r="E1591" s="30"/>
      <c r="F1591" s="30"/>
      <c r="G1591" s="29"/>
      <c r="H1591" s="31"/>
      <c r="I1591" s="29">
        <f>IFERROR(IF(T_PROD[[#This Row],[PREVISTO]]-T_PROD[[#This Row],[EFETIVO]]&lt; 0,0,T_PROD[[#This Row],[PREVISTO]]-T_PROD[[#This Row],[EFETIVO]] ),"")</f>
        <v>0</v>
      </c>
      <c r="J1591" s="32" t="str">
        <f>IFERROR(IF(T_PROD[[#This Row],[META]]&gt;0,(T_PROD[[#This Row],[META]]/T_PROD[[#This Row],[PREVISTO]]),""),"")</f>
        <v/>
      </c>
      <c r="K1591" s="32" t="str">
        <f>IFERROR(IF(T_PROD[[#This Row],[PRODUÇÃO]]&gt;0,(T_PROD[[#This Row],[PRODUÇÃO]]/T_PROD[[#This Row],[EFETIVO]]),""),"")</f>
        <v/>
      </c>
    </row>
    <row r="1592" spans="1:11" x14ac:dyDescent="0.3">
      <c r="A1592" s="28">
        <v>46283</v>
      </c>
      <c r="B1592" s="29" t="str">
        <f t="shared" si="175"/>
        <v>SETEMBRO</v>
      </c>
      <c r="C1592" s="12" t="s">
        <v>11</v>
      </c>
      <c r="D1592" s="12" t="s">
        <v>12</v>
      </c>
      <c r="E1592" s="30">
        <v>640</v>
      </c>
      <c r="F1592" s="30">
        <v>635</v>
      </c>
      <c r="G1592" s="29">
        <v>32</v>
      </c>
      <c r="H1592" s="31">
        <v>32</v>
      </c>
      <c r="I1592" s="29">
        <f>IFERROR(IF(T_PROD[[#This Row],[PREVISTO]]-T_PROD[[#This Row],[EFETIVO]]&lt; 0,0,T_PROD[[#This Row],[PREVISTO]]-T_PROD[[#This Row],[EFETIVO]] ),"")</f>
        <v>0</v>
      </c>
      <c r="J1592" s="32">
        <f>IFERROR(IF(T_PROD[[#This Row],[META]]&gt;0,(T_PROD[[#This Row],[META]]/T_PROD[[#This Row],[PREVISTO]]),""),"")</f>
        <v>20</v>
      </c>
      <c r="K1592" s="32">
        <f>IFERROR(IF(T_PROD[[#This Row],[PRODUÇÃO]]&gt;0,(T_PROD[[#This Row],[PRODUÇÃO]]/T_PROD[[#This Row],[EFETIVO]]),""),"")</f>
        <v>19.84375</v>
      </c>
    </row>
    <row r="1593" spans="1:11" x14ac:dyDescent="0.3">
      <c r="A1593" s="28">
        <v>46283</v>
      </c>
      <c r="B1593" s="29" t="str">
        <f t="shared" si="175"/>
        <v>SETEMBRO</v>
      </c>
      <c r="C1593" s="12" t="s">
        <v>32</v>
      </c>
      <c r="D1593" s="12" t="s">
        <v>12</v>
      </c>
      <c r="E1593" s="30">
        <v>55</v>
      </c>
      <c r="F1593" s="30">
        <v>46</v>
      </c>
      <c r="G1593" s="29">
        <v>5</v>
      </c>
      <c r="H1593" s="31">
        <v>5</v>
      </c>
      <c r="I1593" s="29">
        <f>IFERROR(IF(T_PROD[[#This Row],[PREVISTO]]-T_PROD[[#This Row],[EFETIVO]]&lt; 0,0,T_PROD[[#This Row],[PREVISTO]]-T_PROD[[#This Row],[EFETIVO]] ),"")</f>
        <v>0</v>
      </c>
      <c r="J1593" s="32">
        <f>IFERROR(IF(T_PROD[[#This Row],[META]]&gt;0,(T_PROD[[#This Row],[META]]/T_PROD[[#This Row],[PREVISTO]]),""),"")</f>
        <v>11</v>
      </c>
      <c r="K1593" s="32">
        <f>IFERROR(IF(T_PROD[[#This Row],[PRODUÇÃO]]&gt;0,(T_PROD[[#This Row],[PRODUÇÃO]]/T_PROD[[#This Row],[EFETIVO]]),""),"")</f>
        <v>9.1999999999999993</v>
      </c>
    </row>
    <row r="1594" spans="1:11" x14ac:dyDescent="0.3">
      <c r="A1594" s="28">
        <v>46283</v>
      </c>
      <c r="B1594" s="29" t="str">
        <f t="shared" si="175"/>
        <v>SETEMBRO</v>
      </c>
      <c r="C1594" s="12" t="s">
        <v>14</v>
      </c>
      <c r="D1594" s="12" t="s">
        <v>12</v>
      </c>
      <c r="E1594" s="30">
        <v>695</v>
      </c>
      <c r="F1594" s="30">
        <v>681</v>
      </c>
      <c r="G1594" s="29">
        <v>80</v>
      </c>
      <c r="H1594" s="31">
        <v>79</v>
      </c>
      <c r="I1594" s="29">
        <f>IFERROR(IF(T_PROD[[#This Row],[PREVISTO]]-T_PROD[[#This Row],[EFETIVO]]&lt; 0,0,T_PROD[[#This Row],[PREVISTO]]-T_PROD[[#This Row],[EFETIVO]] ),"")</f>
        <v>1</v>
      </c>
      <c r="J1594" s="32">
        <f>IFERROR(IF(T_PROD[[#This Row],[META]]&gt;0,(T_PROD[[#This Row],[META]]/T_PROD[[#This Row],[PREVISTO]]),""),"")</f>
        <v>8.6875</v>
      </c>
      <c r="K1594" s="32">
        <f>IFERROR(IF(T_PROD[[#This Row],[PRODUÇÃO]]&gt;0,(T_PROD[[#This Row],[PRODUÇÃO]]/T_PROD[[#This Row],[EFETIVO]]),""),"")</f>
        <v>8.6202531645569618</v>
      </c>
    </row>
    <row r="1595" spans="1:11" x14ac:dyDescent="0.3">
      <c r="A1595" s="28">
        <v>46286</v>
      </c>
      <c r="B1595" s="29" t="str">
        <f>UPPER(TEXT(A1595,"MMMM"))</f>
        <v>SETEMBRO</v>
      </c>
      <c r="C1595" s="6" t="s">
        <v>15</v>
      </c>
      <c r="D1595" s="12" t="s">
        <v>12</v>
      </c>
      <c r="E1595" s="30">
        <v>105</v>
      </c>
      <c r="F1595" s="30">
        <v>45</v>
      </c>
      <c r="G1595" s="29">
        <v>7</v>
      </c>
      <c r="H1595" s="31">
        <v>7</v>
      </c>
      <c r="I1595" s="29">
        <f>IFERROR(IF(T_PROD[[#This Row],[PREVISTO]]-T_PROD[[#This Row],[EFETIVO]]&lt; 0,0,T_PROD[[#This Row],[PREVISTO]]-T_PROD[[#This Row],[EFETIVO]] ),"")</f>
        <v>0</v>
      </c>
      <c r="J1595" s="32">
        <f>IFERROR(IF(T_PROD[[#This Row],[META]]&gt;0,(T_PROD[[#This Row],[META]]/T_PROD[[#This Row],[PREVISTO]]),""),"")</f>
        <v>15</v>
      </c>
      <c r="K1595" s="32">
        <f>IFERROR(IF(T_PROD[[#This Row],[PRODUÇÃO]]&gt;0,(T_PROD[[#This Row],[PRODUÇÃO]]/T_PROD[[#This Row],[EFETIVO]]),""),"")</f>
        <v>6.4285714285714288</v>
      </c>
    </row>
    <row r="1596" spans="1:11" x14ac:dyDescent="0.3">
      <c r="A1596" s="28">
        <v>46286</v>
      </c>
      <c r="B1596" s="29" t="str">
        <f t="shared" ref="B1596:B1603" si="176">UPPER(TEXT(A1596,"MMMM"))</f>
        <v>SETEMBRO</v>
      </c>
      <c r="C1596" s="12" t="s">
        <v>16</v>
      </c>
      <c r="D1596" s="12" t="s">
        <v>12</v>
      </c>
      <c r="E1596" s="30">
        <v>102</v>
      </c>
      <c r="F1596" s="30">
        <v>115</v>
      </c>
      <c r="G1596" s="29">
        <v>3</v>
      </c>
      <c r="H1596" s="31">
        <v>3</v>
      </c>
      <c r="I1596" s="29">
        <f>IFERROR(IF(T_PROD[[#This Row],[PREVISTO]]-T_PROD[[#This Row],[EFETIVO]]&lt; 0,0,T_PROD[[#This Row],[PREVISTO]]-T_PROD[[#This Row],[EFETIVO]] ),"")</f>
        <v>0</v>
      </c>
      <c r="J1596" s="32">
        <f>IFERROR(IF(T_PROD[[#This Row],[META]]&gt;0,(T_PROD[[#This Row],[META]]/T_PROD[[#This Row],[PREVISTO]]),""),"")</f>
        <v>34</v>
      </c>
      <c r="K1596" s="32">
        <f>IFERROR(IF(T_PROD[[#This Row],[PRODUÇÃO]]&gt;0,(T_PROD[[#This Row],[PRODUÇÃO]]/T_PROD[[#This Row],[EFETIVO]]),""),"")</f>
        <v>38.333333333333336</v>
      </c>
    </row>
    <row r="1597" spans="1:11" x14ac:dyDescent="0.3">
      <c r="A1597" s="28">
        <v>46286</v>
      </c>
      <c r="B1597" s="29" t="str">
        <f t="shared" si="176"/>
        <v>SETEMBRO</v>
      </c>
      <c r="C1597" s="12" t="s">
        <v>17</v>
      </c>
      <c r="D1597" s="12" t="s">
        <v>12</v>
      </c>
      <c r="E1597" s="30">
        <v>352</v>
      </c>
      <c r="F1597" s="30">
        <v>368</v>
      </c>
      <c r="G1597" s="29">
        <v>16</v>
      </c>
      <c r="H1597" s="9" t="s">
        <v>45</v>
      </c>
      <c r="I1597" s="29" t="str">
        <f>IFERROR(IF(T_PROD[[#This Row],[PREVISTO]]-T_PROD[[#This Row],[EFETIVO]]&lt; 0,0,T_PROD[[#This Row],[PREVISTO]]-T_PROD[[#This Row],[EFETIVO]] ),"")</f>
        <v/>
      </c>
      <c r="J1597" s="32">
        <f>IFERROR(IF(T_PROD[[#This Row],[META]]&gt;0,(T_PROD[[#This Row],[META]]/T_PROD[[#This Row],[PREVISTO]]),""),"")</f>
        <v>22</v>
      </c>
      <c r="K1597" s="32" t="str">
        <f>IFERROR(IF(T_PROD[[#This Row],[PRODUÇÃO]]&gt;0,(T_PROD[[#This Row],[PRODUÇÃO]]/T_PROD[[#This Row],[EFETIVO]]),""),"")</f>
        <v/>
      </c>
    </row>
    <row r="1598" spans="1:11" x14ac:dyDescent="0.3">
      <c r="A1598" s="28">
        <v>46286</v>
      </c>
      <c r="B1598" s="29" t="str">
        <f t="shared" si="176"/>
        <v>SETEMBRO</v>
      </c>
      <c r="C1598" s="12" t="s">
        <v>18</v>
      </c>
      <c r="D1598" s="12" t="s">
        <v>12</v>
      </c>
      <c r="E1598" s="30"/>
      <c r="F1598" s="30"/>
      <c r="G1598" s="29"/>
      <c r="H1598" s="31"/>
      <c r="I1598" s="29">
        <f>IFERROR(IF(T_PROD[[#This Row],[PREVISTO]]-T_PROD[[#This Row],[EFETIVO]]&lt; 0,0,T_PROD[[#This Row],[PREVISTO]]-T_PROD[[#This Row],[EFETIVO]] ),"")</f>
        <v>0</v>
      </c>
      <c r="J1598" s="32" t="str">
        <f>IFERROR(IF(T_PROD[[#This Row],[META]]&gt;0,(T_PROD[[#This Row],[META]]/T_PROD[[#This Row],[PREVISTO]]),""),"")</f>
        <v/>
      </c>
      <c r="K1598" s="32" t="str">
        <f>IFERROR(IF(T_PROD[[#This Row],[PRODUÇÃO]]&gt;0,(T_PROD[[#This Row],[PRODUÇÃO]]/T_PROD[[#This Row],[EFETIVO]]),""),"")</f>
        <v/>
      </c>
    </row>
    <row r="1599" spans="1:11" x14ac:dyDescent="0.3">
      <c r="A1599" s="28">
        <v>46286</v>
      </c>
      <c r="B1599" s="29" t="str">
        <f t="shared" si="176"/>
        <v>SETEMBRO</v>
      </c>
      <c r="C1599" s="12" t="s">
        <v>19</v>
      </c>
      <c r="D1599" s="12" t="s">
        <v>12</v>
      </c>
      <c r="E1599" s="30"/>
      <c r="F1599" s="30"/>
      <c r="G1599" s="29"/>
      <c r="H1599" s="31"/>
      <c r="I1599" s="29">
        <f>IFERROR(IF(T_PROD[[#This Row],[PREVISTO]]-T_PROD[[#This Row],[EFETIVO]]&lt; 0,0,T_PROD[[#This Row],[PREVISTO]]-T_PROD[[#This Row],[EFETIVO]] ),"")</f>
        <v>0</v>
      </c>
      <c r="J1599" s="32" t="str">
        <f>IFERROR(IF(T_PROD[[#This Row],[META]]&gt;0,(T_PROD[[#This Row],[META]]/T_PROD[[#This Row],[PREVISTO]]),""),"")</f>
        <v/>
      </c>
      <c r="K1599" s="32" t="str">
        <f>IFERROR(IF(T_PROD[[#This Row],[PRODUÇÃO]]&gt;0,(T_PROD[[#This Row],[PRODUÇÃO]]/T_PROD[[#This Row],[EFETIVO]]),""),"")</f>
        <v/>
      </c>
    </row>
    <row r="1600" spans="1:11" x14ac:dyDescent="0.3">
      <c r="A1600" s="28">
        <v>46286</v>
      </c>
      <c r="B1600" s="29" t="str">
        <f t="shared" si="176"/>
        <v>SETEMBRO</v>
      </c>
      <c r="C1600" s="12" t="s">
        <v>20</v>
      </c>
      <c r="D1600" s="12" t="s">
        <v>12</v>
      </c>
      <c r="E1600" s="30">
        <v>559</v>
      </c>
      <c r="F1600" s="30">
        <v>528</v>
      </c>
      <c r="G1600" s="29">
        <v>100</v>
      </c>
      <c r="H1600" s="31">
        <v>100</v>
      </c>
      <c r="I1600" s="29">
        <f>IFERROR(IF(T_PROD[[#This Row],[PREVISTO]]-T_PROD[[#This Row],[EFETIVO]]&lt; 0,0,T_PROD[[#This Row],[PREVISTO]]-T_PROD[[#This Row],[EFETIVO]] ),"")</f>
        <v>0</v>
      </c>
      <c r="J1600" s="32">
        <f>IFERROR(IF(T_PROD[[#This Row],[META]]&gt;0,(T_PROD[[#This Row],[META]]/T_PROD[[#This Row],[PREVISTO]]),""),"")</f>
        <v>5.59</v>
      </c>
      <c r="K1600" s="32">
        <f>IFERROR(IF(T_PROD[[#This Row],[PRODUÇÃO]]&gt;0,(T_PROD[[#This Row],[PRODUÇÃO]]/T_PROD[[#This Row],[EFETIVO]]),""),"")</f>
        <v>5.28</v>
      </c>
    </row>
    <row r="1601" spans="1:11" x14ac:dyDescent="0.3">
      <c r="A1601" s="28">
        <v>46286</v>
      </c>
      <c r="B1601" s="29" t="str">
        <f t="shared" si="176"/>
        <v>SETEMBRO</v>
      </c>
      <c r="C1601" s="12" t="s">
        <v>11</v>
      </c>
      <c r="D1601" s="12" t="s">
        <v>12</v>
      </c>
      <c r="E1601" s="30">
        <v>800</v>
      </c>
      <c r="F1601" s="30">
        <v>850</v>
      </c>
      <c r="G1601" s="29">
        <v>40</v>
      </c>
      <c r="H1601" s="31">
        <v>40</v>
      </c>
      <c r="I1601" s="29">
        <f>IFERROR(IF(T_PROD[[#This Row],[PREVISTO]]-T_PROD[[#This Row],[EFETIVO]]&lt; 0,0,T_PROD[[#This Row],[PREVISTO]]-T_PROD[[#This Row],[EFETIVO]] ),"")</f>
        <v>0</v>
      </c>
      <c r="J1601" s="32">
        <f>IFERROR(IF(T_PROD[[#This Row],[META]]&gt;0,(T_PROD[[#This Row],[META]]/T_PROD[[#This Row],[PREVISTO]]),""),"")</f>
        <v>20</v>
      </c>
      <c r="K1601" s="32">
        <f>IFERROR(IF(T_PROD[[#This Row],[PRODUÇÃO]]&gt;0,(T_PROD[[#This Row],[PRODUÇÃO]]/T_PROD[[#This Row],[EFETIVO]]),""),"")</f>
        <v>21.25</v>
      </c>
    </row>
    <row r="1602" spans="1:11" x14ac:dyDescent="0.3">
      <c r="A1602" s="28">
        <v>46286</v>
      </c>
      <c r="B1602" s="29" t="str">
        <f t="shared" si="176"/>
        <v>SETEMBRO</v>
      </c>
      <c r="C1602" s="12" t="s">
        <v>32</v>
      </c>
      <c r="D1602" s="12" t="s">
        <v>12</v>
      </c>
      <c r="E1602" s="30">
        <v>88</v>
      </c>
      <c r="F1602" s="30">
        <v>98</v>
      </c>
      <c r="G1602" s="29">
        <v>8</v>
      </c>
      <c r="H1602" s="31">
        <v>8</v>
      </c>
      <c r="I1602" s="29">
        <f>IFERROR(IF(T_PROD[[#This Row],[PREVISTO]]-T_PROD[[#This Row],[EFETIVO]]&lt; 0,0,T_PROD[[#This Row],[PREVISTO]]-T_PROD[[#This Row],[EFETIVO]] ),"")</f>
        <v>0</v>
      </c>
      <c r="J1602" s="32">
        <f>IFERROR(IF(T_PROD[[#This Row],[META]]&gt;0,(T_PROD[[#This Row],[META]]/T_PROD[[#This Row],[PREVISTO]]),""),"")</f>
        <v>11</v>
      </c>
      <c r="K1602" s="32">
        <f>IFERROR(IF(T_PROD[[#This Row],[PRODUÇÃO]]&gt;0,(T_PROD[[#This Row],[PRODUÇÃO]]/T_PROD[[#This Row],[EFETIVO]]),""),"")</f>
        <v>12.25</v>
      </c>
    </row>
    <row r="1603" spans="1:11" x14ac:dyDescent="0.3">
      <c r="A1603" s="28">
        <v>46286</v>
      </c>
      <c r="B1603" s="29" t="str">
        <f t="shared" si="176"/>
        <v>SETEMBRO</v>
      </c>
      <c r="C1603" s="12" t="s">
        <v>14</v>
      </c>
      <c r="D1603" s="12" t="s">
        <v>12</v>
      </c>
      <c r="E1603" s="30">
        <v>888</v>
      </c>
      <c r="F1603" s="30">
        <v>948</v>
      </c>
      <c r="G1603" s="29">
        <v>101</v>
      </c>
      <c r="H1603" s="31">
        <v>100</v>
      </c>
      <c r="I1603" s="29">
        <f>IFERROR(IF(T_PROD[[#This Row],[PREVISTO]]-T_PROD[[#This Row],[EFETIVO]]&lt; 0,0,T_PROD[[#This Row],[PREVISTO]]-T_PROD[[#This Row],[EFETIVO]] ),"")</f>
        <v>1</v>
      </c>
      <c r="J1603" s="32">
        <f>IFERROR(IF(T_PROD[[#This Row],[META]]&gt;0,(T_PROD[[#This Row],[META]]/T_PROD[[#This Row],[PREVISTO]]),""),"")</f>
        <v>8.7920792079207928</v>
      </c>
      <c r="K1603" s="32">
        <f>IFERROR(IF(T_PROD[[#This Row],[PRODUÇÃO]]&gt;0,(T_PROD[[#This Row],[PRODUÇÃO]]/T_PROD[[#This Row],[EFETIVO]]),""),"")</f>
        <v>9.48</v>
      </c>
    </row>
    <row r="1604" spans="1:11" x14ac:dyDescent="0.3">
      <c r="A1604" s="28">
        <v>46287</v>
      </c>
      <c r="B1604" s="29" t="str">
        <f>UPPER(TEXT(A1604,"MMMM"))</f>
        <v>SETEMBRO</v>
      </c>
      <c r="C1604" s="6" t="s">
        <v>15</v>
      </c>
      <c r="D1604" s="12" t="s">
        <v>12</v>
      </c>
      <c r="E1604" s="30">
        <v>105</v>
      </c>
      <c r="F1604" s="30">
        <v>57</v>
      </c>
      <c r="G1604" s="29">
        <v>7</v>
      </c>
      <c r="H1604" s="31">
        <v>7</v>
      </c>
      <c r="I1604" s="29">
        <f>IFERROR(IF(T_PROD[[#This Row],[PREVISTO]]-T_PROD[[#This Row],[EFETIVO]]&lt; 0,0,T_PROD[[#This Row],[PREVISTO]]-T_PROD[[#This Row],[EFETIVO]] ),"")</f>
        <v>0</v>
      </c>
      <c r="J1604" s="32">
        <f>IFERROR(IF(T_PROD[[#This Row],[META]]&gt;0,(T_PROD[[#This Row],[META]]/T_PROD[[#This Row],[PREVISTO]]),""),"")</f>
        <v>15</v>
      </c>
      <c r="K1604" s="32">
        <f>IFERROR(IF(T_PROD[[#This Row],[PRODUÇÃO]]&gt;0,(T_PROD[[#This Row],[PRODUÇÃO]]/T_PROD[[#This Row],[EFETIVO]]),""),"")</f>
        <v>8.1428571428571423</v>
      </c>
    </row>
    <row r="1605" spans="1:11" x14ac:dyDescent="0.3">
      <c r="A1605" s="28">
        <v>46287</v>
      </c>
      <c r="B1605" s="29" t="str">
        <f t="shared" ref="B1605:B1612" si="177">UPPER(TEXT(A1605,"MMMM"))</f>
        <v>SETEMBRO</v>
      </c>
      <c r="C1605" s="12" t="s">
        <v>16</v>
      </c>
      <c r="D1605" s="12" t="s">
        <v>12</v>
      </c>
      <c r="E1605" s="30">
        <v>102</v>
      </c>
      <c r="F1605" s="30">
        <v>197</v>
      </c>
      <c r="G1605" s="29">
        <v>3</v>
      </c>
      <c r="H1605" s="31">
        <v>3</v>
      </c>
      <c r="I1605" s="29">
        <f>IFERROR(IF(T_PROD[[#This Row],[PREVISTO]]-T_PROD[[#This Row],[EFETIVO]]&lt; 0,0,T_PROD[[#This Row],[PREVISTO]]-T_PROD[[#This Row],[EFETIVO]] ),"")</f>
        <v>0</v>
      </c>
      <c r="J1605" s="32">
        <f>IFERROR(IF(T_PROD[[#This Row],[META]]&gt;0,(T_PROD[[#This Row],[META]]/T_PROD[[#This Row],[PREVISTO]]),""),"")</f>
        <v>34</v>
      </c>
      <c r="K1605" s="32">
        <f>IFERROR(IF(T_PROD[[#This Row],[PRODUÇÃO]]&gt;0,(T_PROD[[#This Row],[PRODUÇÃO]]/T_PROD[[#This Row],[EFETIVO]]),""),"")</f>
        <v>65.666666666666671</v>
      </c>
    </row>
    <row r="1606" spans="1:11" x14ac:dyDescent="0.3">
      <c r="A1606" s="28">
        <v>46287</v>
      </c>
      <c r="B1606" s="29" t="str">
        <f t="shared" si="177"/>
        <v>SETEMBRO</v>
      </c>
      <c r="C1606" s="12" t="s">
        <v>17</v>
      </c>
      <c r="D1606" s="12" t="s">
        <v>12</v>
      </c>
      <c r="E1606" s="30">
        <v>352</v>
      </c>
      <c r="F1606" s="30">
        <v>248</v>
      </c>
      <c r="G1606" s="29">
        <v>16</v>
      </c>
      <c r="H1606" s="31">
        <v>16</v>
      </c>
      <c r="I1606" s="29">
        <f>IFERROR(IF(T_PROD[[#This Row],[PREVISTO]]-T_PROD[[#This Row],[EFETIVO]]&lt; 0,0,T_PROD[[#This Row],[PREVISTO]]-T_PROD[[#This Row],[EFETIVO]] ),"")</f>
        <v>0</v>
      </c>
      <c r="J1606" s="32">
        <f>IFERROR(IF(T_PROD[[#This Row],[META]]&gt;0,(T_PROD[[#This Row],[META]]/T_PROD[[#This Row],[PREVISTO]]),""),"")</f>
        <v>22</v>
      </c>
      <c r="K1606" s="32">
        <f>IFERROR(IF(T_PROD[[#This Row],[PRODUÇÃO]]&gt;0,(T_PROD[[#This Row],[PRODUÇÃO]]/T_PROD[[#This Row],[EFETIVO]]),""),"")</f>
        <v>15.5</v>
      </c>
    </row>
    <row r="1607" spans="1:11" x14ac:dyDescent="0.3">
      <c r="A1607" s="28">
        <v>46287</v>
      </c>
      <c r="B1607" s="29" t="str">
        <f t="shared" si="177"/>
        <v>SETEMBRO</v>
      </c>
      <c r="C1607" s="12" t="s">
        <v>18</v>
      </c>
      <c r="D1607" s="12" t="s">
        <v>12</v>
      </c>
      <c r="E1607" s="30"/>
      <c r="F1607" s="30"/>
      <c r="G1607" s="29"/>
      <c r="H1607" s="31"/>
      <c r="I1607" s="29">
        <f>IFERROR(IF(T_PROD[[#This Row],[PREVISTO]]-T_PROD[[#This Row],[EFETIVO]]&lt; 0,0,T_PROD[[#This Row],[PREVISTO]]-T_PROD[[#This Row],[EFETIVO]] ),"")</f>
        <v>0</v>
      </c>
      <c r="J1607" s="32" t="str">
        <f>IFERROR(IF(T_PROD[[#This Row],[META]]&gt;0,(T_PROD[[#This Row],[META]]/T_PROD[[#This Row],[PREVISTO]]),""),"")</f>
        <v/>
      </c>
      <c r="K1607" s="32" t="str">
        <f>IFERROR(IF(T_PROD[[#This Row],[PRODUÇÃO]]&gt;0,(T_PROD[[#This Row],[PRODUÇÃO]]/T_PROD[[#This Row],[EFETIVO]]),""),"")</f>
        <v/>
      </c>
    </row>
    <row r="1608" spans="1:11" x14ac:dyDescent="0.3">
      <c r="A1608" s="28">
        <v>46287</v>
      </c>
      <c r="B1608" s="29" t="str">
        <f t="shared" si="177"/>
        <v>SETEMBRO</v>
      </c>
      <c r="C1608" s="12" t="s">
        <v>19</v>
      </c>
      <c r="D1608" s="12" t="s">
        <v>12</v>
      </c>
      <c r="E1608" s="30"/>
      <c r="F1608" s="30"/>
      <c r="G1608" s="29"/>
      <c r="H1608" s="31"/>
      <c r="I1608" s="29">
        <f>IFERROR(IF(T_PROD[[#This Row],[PREVISTO]]-T_PROD[[#This Row],[EFETIVO]]&lt; 0,0,T_PROD[[#This Row],[PREVISTO]]-T_PROD[[#This Row],[EFETIVO]] ),"")</f>
        <v>0</v>
      </c>
      <c r="J1608" s="32" t="str">
        <f>IFERROR(IF(T_PROD[[#This Row],[META]]&gt;0,(T_PROD[[#This Row],[META]]/T_PROD[[#This Row],[PREVISTO]]),""),"")</f>
        <v/>
      </c>
      <c r="K1608" s="32" t="str">
        <f>IFERROR(IF(T_PROD[[#This Row],[PRODUÇÃO]]&gt;0,(T_PROD[[#This Row],[PRODUÇÃO]]/T_PROD[[#This Row],[EFETIVO]]),""),"")</f>
        <v/>
      </c>
    </row>
    <row r="1609" spans="1:11" x14ac:dyDescent="0.3">
      <c r="A1609" s="28">
        <v>46287</v>
      </c>
      <c r="B1609" s="29" t="str">
        <f t="shared" si="177"/>
        <v>SETEMBRO</v>
      </c>
      <c r="C1609" s="12" t="s">
        <v>20</v>
      </c>
      <c r="D1609" s="12" t="s">
        <v>12</v>
      </c>
      <c r="E1609" s="30">
        <v>559</v>
      </c>
      <c r="F1609" s="30">
        <v>502</v>
      </c>
      <c r="G1609" s="29">
        <v>100</v>
      </c>
      <c r="H1609" s="31">
        <v>100</v>
      </c>
      <c r="I1609" s="29">
        <f>IFERROR(IF(T_PROD[[#This Row],[PREVISTO]]-T_PROD[[#This Row],[EFETIVO]]&lt; 0,0,T_PROD[[#This Row],[PREVISTO]]-T_PROD[[#This Row],[EFETIVO]] ),"")</f>
        <v>0</v>
      </c>
      <c r="J1609" s="32">
        <f>IFERROR(IF(T_PROD[[#This Row],[META]]&gt;0,(T_PROD[[#This Row],[META]]/T_PROD[[#This Row],[PREVISTO]]),""),"")</f>
        <v>5.59</v>
      </c>
      <c r="K1609" s="32">
        <f>IFERROR(IF(T_PROD[[#This Row],[PRODUÇÃO]]&gt;0,(T_PROD[[#This Row],[PRODUÇÃO]]/T_PROD[[#This Row],[EFETIVO]]),""),"")</f>
        <v>5.0199999999999996</v>
      </c>
    </row>
    <row r="1610" spans="1:11" x14ac:dyDescent="0.3">
      <c r="A1610" s="28">
        <v>46287</v>
      </c>
      <c r="B1610" s="29" t="str">
        <f t="shared" si="177"/>
        <v>SETEMBRO</v>
      </c>
      <c r="C1610" s="12" t="s">
        <v>11</v>
      </c>
      <c r="D1610" s="12" t="s">
        <v>12</v>
      </c>
      <c r="E1610" s="30">
        <v>760</v>
      </c>
      <c r="F1610" s="30">
        <v>720</v>
      </c>
      <c r="G1610" s="29">
        <v>38</v>
      </c>
      <c r="H1610" s="31">
        <v>38</v>
      </c>
      <c r="I1610" s="29">
        <f>IFERROR(IF(T_PROD[[#This Row],[PREVISTO]]-T_PROD[[#This Row],[EFETIVO]]&lt; 0,0,T_PROD[[#This Row],[PREVISTO]]-T_PROD[[#This Row],[EFETIVO]] ),"")</f>
        <v>0</v>
      </c>
      <c r="J1610" s="32">
        <f>IFERROR(IF(T_PROD[[#This Row],[META]]&gt;0,(T_PROD[[#This Row],[META]]/T_PROD[[#This Row],[PREVISTO]]),""),"")</f>
        <v>20</v>
      </c>
      <c r="K1610" s="32">
        <f>IFERROR(IF(T_PROD[[#This Row],[PRODUÇÃO]]&gt;0,(T_PROD[[#This Row],[PRODUÇÃO]]/T_PROD[[#This Row],[EFETIVO]]),""),"")</f>
        <v>18.94736842105263</v>
      </c>
    </row>
    <row r="1611" spans="1:11" x14ac:dyDescent="0.3">
      <c r="A1611" s="28">
        <v>46287</v>
      </c>
      <c r="B1611" s="29" t="str">
        <f t="shared" si="177"/>
        <v>SETEMBRO</v>
      </c>
      <c r="C1611" s="12" t="s">
        <v>32</v>
      </c>
      <c r="D1611" s="12" t="s">
        <v>12</v>
      </c>
      <c r="E1611" s="30">
        <v>111</v>
      </c>
      <c r="F1611" s="30">
        <v>100</v>
      </c>
      <c r="G1611" s="29">
        <v>10</v>
      </c>
      <c r="H1611" s="31">
        <v>10</v>
      </c>
      <c r="I1611" s="29">
        <f>IFERROR(IF(T_PROD[[#This Row],[PREVISTO]]-T_PROD[[#This Row],[EFETIVO]]&lt; 0,0,T_PROD[[#This Row],[PREVISTO]]-T_PROD[[#This Row],[EFETIVO]] ),"")</f>
        <v>0</v>
      </c>
      <c r="J1611" s="32">
        <f>IFERROR(IF(T_PROD[[#This Row],[META]]&gt;0,(T_PROD[[#This Row],[META]]/T_PROD[[#This Row],[PREVISTO]]),""),"")</f>
        <v>11.1</v>
      </c>
      <c r="K1611" s="32">
        <f>IFERROR(IF(T_PROD[[#This Row],[PRODUÇÃO]]&gt;0,(T_PROD[[#This Row],[PRODUÇÃO]]/T_PROD[[#This Row],[EFETIVO]]),""),"")</f>
        <v>10</v>
      </c>
    </row>
    <row r="1612" spans="1:11" x14ac:dyDescent="0.3">
      <c r="A1612" s="28">
        <v>46287</v>
      </c>
      <c r="B1612" s="29" t="str">
        <f t="shared" si="177"/>
        <v>SETEMBRO</v>
      </c>
      <c r="C1612" s="12" t="s">
        <v>14</v>
      </c>
      <c r="D1612" s="12" t="s">
        <v>12</v>
      </c>
      <c r="E1612" s="30">
        <v>871</v>
      </c>
      <c r="F1612" s="30">
        <v>820.3</v>
      </c>
      <c r="G1612" s="29">
        <v>98</v>
      </c>
      <c r="H1612" s="31">
        <v>96</v>
      </c>
      <c r="I1612" s="29">
        <f>IFERROR(IF(T_PROD[[#This Row],[PREVISTO]]-T_PROD[[#This Row],[EFETIVO]]&lt; 0,0,T_PROD[[#This Row],[PREVISTO]]-T_PROD[[#This Row],[EFETIVO]] ),"")</f>
        <v>2</v>
      </c>
      <c r="J1612" s="32">
        <f>IFERROR(IF(T_PROD[[#This Row],[META]]&gt;0,(T_PROD[[#This Row],[META]]/T_PROD[[#This Row],[PREVISTO]]),""),"")</f>
        <v>8.887755102040817</v>
      </c>
      <c r="K1612" s="32">
        <f>IFERROR(IF(T_PROD[[#This Row],[PRODUÇÃO]]&gt;0,(T_PROD[[#This Row],[PRODUÇÃO]]/T_PROD[[#This Row],[EFETIVO]]),""),"")</f>
        <v>8.5447916666666668</v>
      </c>
    </row>
    <row r="1613" spans="1:11" x14ac:dyDescent="0.3">
      <c r="A1613" s="28">
        <v>46288</v>
      </c>
      <c r="B1613" s="29" t="str">
        <f>UPPER(TEXT(A1613,"MMMM"))</f>
        <v>SETEMBRO</v>
      </c>
      <c r="C1613" s="6" t="s">
        <v>15</v>
      </c>
      <c r="D1613" s="12" t="s">
        <v>12</v>
      </c>
      <c r="E1613" s="30">
        <v>75</v>
      </c>
      <c r="F1613" s="30">
        <v>41</v>
      </c>
      <c r="G1613" s="29">
        <v>5</v>
      </c>
      <c r="H1613" s="31">
        <v>5</v>
      </c>
      <c r="I1613" s="29">
        <f>IFERROR(IF(T_PROD[[#This Row],[PREVISTO]]-T_PROD[[#This Row],[EFETIVO]]&lt; 0,0,T_PROD[[#This Row],[PREVISTO]]-T_PROD[[#This Row],[EFETIVO]] ),"")</f>
        <v>0</v>
      </c>
      <c r="J1613" s="32">
        <f>IFERROR(IF(T_PROD[[#This Row],[META]]&gt;0,(T_PROD[[#This Row],[META]]/T_PROD[[#This Row],[PREVISTO]]),""),"")</f>
        <v>15</v>
      </c>
      <c r="K1613" s="32">
        <f>IFERROR(IF(T_PROD[[#This Row],[PRODUÇÃO]]&gt;0,(T_PROD[[#This Row],[PRODUÇÃO]]/T_PROD[[#This Row],[EFETIVO]]),""),"")</f>
        <v>8.1999999999999993</v>
      </c>
    </row>
    <row r="1614" spans="1:11" x14ac:dyDescent="0.3">
      <c r="A1614" s="28">
        <v>46288</v>
      </c>
      <c r="B1614" s="29" t="str">
        <f t="shared" ref="B1614:B1621" si="178">UPPER(TEXT(A1614,"MMMM"))</f>
        <v>SETEMBRO</v>
      </c>
      <c r="C1614" s="12" t="s">
        <v>16</v>
      </c>
      <c r="D1614" s="12" t="s">
        <v>12</v>
      </c>
      <c r="E1614" s="30">
        <v>204</v>
      </c>
      <c r="F1614" s="30">
        <v>170</v>
      </c>
      <c r="G1614" s="29">
        <v>6</v>
      </c>
      <c r="H1614" s="31">
        <v>6</v>
      </c>
      <c r="I1614" s="29">
        <f>IFERROR(IF(T_PROD[[#This Row],[PREVISTO]]-T_PROD[[#This Row],[EFETIVO]]&lt; 0,0,T_PROD[[#This Row],[PREVISTO]]-T_PROD[[#This Row],[EFETIVO]] ),"")</f>
        <v>0</v>
      </c>
      <c r="J1614" s="32">
        <f>IFERROR(IF(T_PROD[[#This Row],[META]]&gt;0,(T_PROD[[#This Row],[META]]/T_PROD[[#This Row],[PREVISTO]]),""),"")</f>
        <v>34</v>
      </c>
      <c r="K1614" s="32">
        <f>IFERROR(IF(T_PROD[[#This Row],[PRODUÇÃO]]&gt;0,(T_PROD[[#This Row],[PRODUÇÃO]]/T_PROD[[#This Row],[EFETIVO]]),""),"")</f>
        <v>28.333333333333332</v>
      </c>
    </row>
    <row r="1615" spans="1:11" x14ac:dyDescent="0.3">
      <c r="A1615" s="28">
        <v>46288</v>
      </c>
      <c r="B1615" s="29" t="str">
        <f t="shared" si="178"/>
        <v>SETEMBRO</v>
      </c>
      <c r="C1615" s="12" t="s">
        <v>17</v>
      </c>
      <c r="D1615" s="12" t="s">
        <v>12</v>
      </c>
      <c r="E1615" s="30">
        <v>352</v>
      </c>
      <c r="F1615" s="30">
        <v>365</v>
      </c>
      <c r="G1615" s="29">
        <v>16</v>
      </c>
      <c r="H1615" s="31">
        <v>16</v>
      </c>
      <c r="I1615" s="29">
        <f>IFERROR(IF(T_PROD[[#This Row],[PREVISTO]]-T_PROD[[#This Row],[EFETIVO]]&lt; 0,0,T_PROD[[#This Row],[PREVISTO]]-T_PROD[[#This Row],[EFETIVO]] ),"")</f>
        <v>0</v>
      </c>
      <c r="J1615" s="32">
        <f>IFERROR(IF(T_PROD[[#This Row],[META]]&gt;0,(T_PROD[[#This Row],[META]]/T_PROD[[#This Row],[PREVISTO]]),""),"")</f>
        <v>22</v>
      </c>
      <c r="K1615" s="32">
        <f>IFERROR(IF(T_PROD[[#This Row],[PRODUÇÃO]]&gt;0,(T_PROD[[#This Row],[PRODUÇÃO]]/T_PROD[[#This Row],[EFETIVO]]),""),"")</f>
        <v>22.8125</v>
      </c>
    </row>
    <row r="1616" spans="1:11" x14ac:dyDescent="0.3">
      <c r="A1616" s="28">
        <v>46288</v>
      </c>
      <c r="B1616" s="29" t="str">
        <f t="shared" si="178"/>
        <v>SETEMBRO</v>
      </c>
      <c r="C1616" s="12" t="s">
        <v>18</v>
      </c>
      <c r="D1616" s="12" t="s">
        <v>12</v>
      </c>
      <c r="E1616" s="30"/>
      <c r="F1616" s="30"/>
      <c r="G1616" s="29"/>
      <c r="H1616" s="31"/>
      <c r="I1616" s="29">
        <f>IFERROR(IF(T_PROD[[#This Row],[PREVISTO]]-T_PROD[[#This Row],[EFETIVO]]&lt; 0,0,T_PROD[[#This Row],[PREVISTO]]-T_PROD[[#This Row],[EFETIVO]] ),"")</f>
        <v>0</v>
      </c>
      <c r="J1616" s="32" t="str">
        <f>IFERROR(IF(T_PROD[[#This Row],[META]]&gt;0,(T_PROD[[#This Row],[META]]/T_PROD[[#This Row],[PREVISTO]]),""),"")</f>
        <v/>
      </c>
      <c r="K1616" s="32" t="str">
        <f>IFERROR(IF(T_PROD[[#This Row],[PRODUÇÃO]]&gt;0,(T_PROD[[#This Row],[PRODUÇÃO]]/T_PROD[[#This Row],[EFETIVO]]),""),"")</f>
        <v/>
      </c>
    </row>
    <row r="1617" spans="1:11" x14ac:dyDescent="0.3">
      <c r="A1617" s="28">
        <v>46288</v>
      </c>
      <c r="B1617" s="29" t="str">
        <f t="shared" si="178"/>
        <v>SETEMBRO</v>
      </c>
      <c r="C1617" s="12" t="s">
        <v>19</v>
      </c>
      <c r="D1617" s="12" t="s">
        <v>12</v>
      </c>
      <c r="E1617" s="30"/>
      <c r="F1617" s="30"/>
      <c r="G1617" s="29"/>
      <c r="H1617" s="31"/>
      <c r="I1617" s="29">
        <f>IFERROR(IF(T_PROD[[#This Row],[PREVISTO]]-T_PROD[[#This Row],[EFETIVO]]&lt; 0,0,T_PROD[[#This Row],[PREVISTO]]-T_PROD[[#This Row],[EFETIVO]] ),"")</f>
        <v>0</v>
      </c>
      <c r="J1617" s="32" t="str">
        <f>IFERROR(IF(T_PROD[[#This Row],[META]]&gt;0,(T_PROD[[#This Row],[META]]/T_PROD[[#This Row],[PREVISTO]]),""),"")</f>
        <v/>
      </c>
      <c r="K1617" s="32" t="str">
        <f>IFERROR(IF(T_PROD[[#This Row],[PRODUÇÃO]]&gt;0,(T_PROD[[#This Row],[PRODUÇÃO]]/T_PROD[[#This Row],[EFETIVO]]),""),"")</f>
        <v/>
      </c>
    </row>
    <row r="1618" spans="1:11" x14ac:dyDescent="0.3">
      <c r="A1618" s="28">
        <v>46288</v>
      </c>
      <c r="B1618" s="29" t="str">
        <f t="shared" si="178"/>
        <v>SETEMBRO</v>
      </c>
      <c r="C1618" s="12" t="s">
        <v>20</v>
      </c>
      <c r="D1618" s="12" t="s">
        <v>12</v>
      </c>
      <c r="E1618" s="30">
        <v>631</v>
      </c>
      <c r="F1618" s="30">
        <v>576</v>
      </c>
      <c r="G1618" s="29">
        <v>100</v>
      </c>
      <c r="H1618" s="31">
        <v>100</v>
      </c>
      <c r="I1618" s="29">
        <f>IFERROR(IF(T_PROD[[#This Row],[PREVISTO]]-T_PROD[[#This Row],[EFETIVO]]&lt; 0,0,T_PROD[[#This Row],[PREVISTO]]-T_PROD[[#This Row],[EFETIVO]] ),"")</f>
        <v>0</v>
      </c>
      <c r="J1618" s="32">
        <f>IFERROR(IF(T_PROD[[#This Row],[META]]&gt;0,(T_PROD[[#This Row],[META]]/T_PROD[[#This Row],[PREVISTO]]),""),"")</f>
        <v>6.31</v>
      </c>
      <c r="K1618" s="32">
        <f>IFERROR(IF(T_PROD[[#This Row],[PRODUÇÃO]]&gt;0,(T_PROD[[#This Row],[PRODUÇÃO]]/T_PROD[[#This Row],[EFETIVO]]),""),"")</f>
        <v>5.76</v>
      </c>
    </row>
    <row r="1619" spans="1:11" x14ac:dyDescent="0.3">
      <c r="A1619" s="28">
        <v>46288</v>
      </c>
      <c r="B1619" s="29" t="str">
        <f t="shared" si="178"/>
        <v>SETEMBRO</v>
      </c>
      <c r="C1619" s="12" t="s">
        <v>11</v>
      </c>
      <c r="D1619" s="12" t="s">
        <v>12</v>
      </c>
      <c r="E1619" s="30">
        <v>800</v>
      </c>
      <c r="F1619" s="30">
        <v>750</v>
      </c>
      <c r="G1619" s="29">
        <v>40</v>
      </c>
      <c r="H1619" s="31">
        <v>40</v>
      </c>
      <c r="I1619" s="29">
        <f>IFERROR(IF(T_PROD[[#This Row],[PREVISTO]]-T_PROD[[#This Row],[EFETIVO]]&lt; 0,0,T_PROD[[#This Row],[PREVISTO]]-T_PROD[[#This Row],[EFETIVO]] ),"")</f>
        <v>0</v>
      </c>
      <c r="J1619" s="32">
        <f>IFERROR(IF(T_PROD[[#This Row],[META]]&gt;0,(T_PROD[[#This Row],[META]]/T_PROD[[#This Row],[PREVISTO]]),""),"")</f>
        <v>20</v>
      </c>
      <c r="K1619" s="32">
        <f>IFERROR(IF(T_PROD[[#This Row],[PRODUÇÃO]]&gt;0,(T_PROD[[#This Row],[PRODUÇÃO]]/T_PROD[[#This Row],[EFETIVO]]),""),"")</f>
        <v>18.75</v>
      </c>
    </row>
    <row r="1620" spans="1:11" x14ac:dyDescent="0.3">
      <c r="A1620" s="28">
        <v>46288</v>
      </c>
      <c r="B1620" s="29" t="str">
        <f t="shared" si="178"/>
        <v>SETEMBRO</v>
      </c>
      <c r="C1620" s="12" t="s">
        <v>32</v>
      </c>
      <c r="D1620" s="12" t="s">
        <v>12</v>
      </c>
      <c r="E1620" s="30">
        <v>77</v>
      </c>
      <c r="F1620" s="30">
        <v>81</v>
      </c>
      <c r="G1620" s="29">
        <v>7</v>
      </c>
      <c r="H1620" s="31">
        <v>7</v>
      </c>
      <c r="I1620" s="29">
        <f>IFERROR(IF(T_PROD[[#This Row],[PREVISTO]]-T_PROD[[#This Row],[EFETIVO]]&lt; 0,0,T_PROD[[#This Row],[PREVISTO]]-T_PROD[[#This Row],[EFETIVO]] ),"")</f>
        <v>0</v>
      </c>
      <c r="J1620" s="32">
        <f>IFERROR(IF(T_PROD[[#This Row],[META]]&gt;0,(T_PROD[[#This Row],[META]]/T_PROD[[#This Row],[PREVISTO]]),""),"")</f>
        <v>11</v>
      </c>
      <c r="K1620" s="32">
        <f>IFERROR(IF(T_PROD[[#This Row],[PRODUÇÃO]]&gt;0,(T_PROD[[#This Row],[PRODUÇÃO]]/T_PROD[[#This Row],[EFETIVO]]),""),"")</f>
        <v>11.571428571428571</v>
      </c>
    </row>
    <row r="1621" spans="1:11" x14ac:dyDescent="0.3">
      <c r="A1621" s="28">
        <v>46288</v>
      </c>
      <c r="B1621" s="29" t="str">
        <f t="shared" si="178"/>
        <v>SETEMBRO</v>
      </c>
      <c r="C1621" s="12" t="s">
        <v>14</v>
      </c>
      <c r="D1621" s="12" t="s">
        <v>12</v>
      </c>
      <c r="E1621" s="30">
        <v>877</v>
      </c>
      <c r="F1621" s="30">
        <v>831</v>
      </c>
      <c r="G1621" s="29">
        <v>98</v>
      </c>
      <c r="H1621" s="31">
        <v>97</v>
      </c>
      <c r="I1621" s="29">
        <f>IFERROR(IF(T_PROD[[#This Row],[PREVISTO]]-T_PROD[[#This Row],[EFETIVO]]&lt; 0,0,T_PROD[[#This Row],[PREVISTO]]-T_PROD[[#This Row],[EFETIVO]] ),"")</f>
        <v>1</v>
      </c>
      <c r="J1621" s="32">
        <f>IFERROR(IF(T_PROD[[#This Row],[META]]&gt;0,(T_PROD[[#This Row],[META]]/T_PROD[[#This Row],[PREVISTO]]),""),"")</f>
        <v>8.9489795918367339</v>
      </c>
      <c r="K1621" s="32">
        <f>IFERROR(IF(T_PROD[[#This Row],[PRODUÇÃO]]&gt;0,(T_PROD[[#This Row],[PRODUÇÃO]]/T_PROD[[#This Row],[EFETIVO]]),""),"")</f>
        <v>8.5670103092783503</v>
      </c>
    </row>
    <row r="1622" spans="1:11" x14ac:dyDescent="0.3">
      <c r="A1622" s="28">
        <v>46289</v>
      </c>
      <c r="B1622" s="29" t="str">
        <f>UPPER(TEXT(A1622,"MMMM"))</f>
        <v>SETEMBRO</v>
      </c>
      <c r="C1622" s="6" t="s">
        <v>15</v>
      </c>
      <c r="D1622" s="12" t="s">
        <v>12</v>
      </c>
      <c r="E1622" s="30">
        <v>90</v>
      </c>
      <c r="F1622" s="30">
        <v>29</v>
      </c>
      <c r="G1622" s="29">
        <v>6</v>
      </c>
      <c r="H1622" s="31">
        <v>6</v>
      </c>
      <c r="I1622" s="29">
        <f>IFERROR(IF(T_PROD[[#This Row],[PREVISTO]]-T_PROD[[#This Row],[EFETIVO]]&lt; 0,0,T_PROD[[#This Row],[PREVISTO]]-T_PROD[[#This Row],[EFETIVO]] ),"")</f>
        <v>0</v>
      </c>
      <c r="J1622" s="32">
        <f>IFERROR(IF(T_PROD[[#This Row],[META]]&gt;0,(T_PROD[[#This Row],[META]]/T_PROD[[#This Row],[PREVISTO]]),""),"")</f>
        <v>15</v>
      </c>
      <c r="K1622" s="32">
        <f>IFERROR(IF(T_PROD[[#This Row],[PRODUÇÃO]]&gt;0,(T_PROD[[#This Row],[PRODUÇÃO]]/T_PROD[[#This Row],[EFETIVO]]),""),"")</f>
        <v>4.833333333333333</v>
      </c>
    </row>
    <row r="1623" spans="1:11" x14ac:dyDescent="0.3">
      <c r="A1623" s="28">
        <v>46289</v>
      </c>
      <c r="B1623" s="29" t="str">
        <f t="shared" ref="B1623:B1630" si="179">UPPER(TEXT(A1623,"MMMM"))</f>
        <v>SETEMBRO</v>
      </c>
      <c r="C1623" s="12" t="s">
        <v>16</v>
      </c>
      <c r="D1623" s="12" t="s">
        <v>12</v>
      </c>
      <c r="E1623" s="30">
        <v>68</v>
      </c>
      <c r="F1623" s="30">
        <v>93</v>
      </c>
      <c r="G1623" s="29">
        <v>2</v>
      </c>
      <c r="H1623" s="31">
        <v>2</v>
      </c>
      <c r="I1623" s="29">
        <f>IFERROR(IF(T_PROD[[#This Row],[PREVISTO]]-T_PROD[[#This Row],[EFETIVO]]&lt; 0,0,T_PROD[[#This Row],[PREVISTO]]-T_PROD[[#This Row],[EFETIVO]] ),"")</f>
        <v>0</v>
      </c>
      <c r="J1623" s="32">
        <f>IFERROR(IF(T_PROD[[#This Row],[META]]&gt;0,(T_PROD[[#This Row],[META]]/T_PROD[[#This Row],[PREVISTO]]),""),"")</f>
        <v>34</v>
      </c>
      <c r="K1623" s="32">
        <f>IFERROR(IF(T_PROD[[#This Row],[PRODUÇÃO]]&gt;0,(T_PROD[[#This Row],[PRODUÇÃO]]/T_PROD[[#This Row],[EFETIVO]]),""),"")</f>
        <v>46.5</v>
      </c>
    </row>
    <row r="1624" spans="1:11" x14ac:dyDescent="0.3">
      <c r="A1624" s="28">
        <v>46289</v>
      </c>
      <c r="B1624" s="29" t="str">
        <f t="shared" si="179"/>
        <v>SETEMBRO</v>
      </c>
      <c r="C1624" s="12" t="s">
        <v>17</v>
      </c>
      <c r="D1624" s="12" t="s">
        <v>12</v>
      </c>
      <c r="E1624" s="30">
        <v>352</v>
      </c>
      <c r="F1624" s="30">
        <v>307</v>
      </c>
      <c r="G1624" s="29">
        <v>16</v>
      </c>
      <c r="H1624" s="31">
        <v>16</v>
      </c>
      <c r="I1624" s="29">
        <f>IFERROR(IF(T_PROD[[#This Row],[PREVISTO]]-T_PROD[[#This Row],[EFETIVO]]&lt; 0,0,T_PROD[[#This Row],[PREVISTO]]-T_PROD[[#This Row],[EFETIVO]] ),"")</f>
        <v>0</v>
      </c>
      <c r="J1624" s="32">
        <f>IFERROR(IF(T_PROD[[#This Row],[META]]&gt;0,(T_PROD[[#This Row],[META]]/T_PROD[[#This Row],[PREVISTO]]),""),"")</f>
        <v>22</v>
      </c>
      <c r="K1624" s="32">
        <f>IFERROR(IF(T_PROD[[#This Row],[PRODUÇÃO]]&gt;0,(T_PROD[[#This Row],[PRODUÇÃO]]/T_PROD[[#This Row],[EFETIVO]]),""),"")</f>
        <v>19.1875</v>
      </c>
    </row>
    <row r="1625" spans="1:11" x14ac:dyDescent="0.3">
      <c r="A1625" s="28">
        <v>46289</v>
      </c>
      <c r="B1625" s="29" t="str">
        <f t="shared" si="179"/>
        <v>SETEMBRO</v>
      </c>
      <c r="C1625" s="12" t="s">
        <v>18</v>
      </c>
      <c r="D1625" s="12" t="s">
        <v>12</v>
      </c>
      <c r="E1625" s="30"/>
      <c r="F1625" s="30"/>
      <c r="G1625" s="29"/>
      <c r="H1625" s="31"/>
      <c r="I1625" s="29">
        <f>IFERROR(IF(T_PROD[[#This Row],[PREVISTO]]-T_PROD[[#This Row],[EFETIVO]]&lt; 0,0,T_PROD[[#This Row],[PREVISTO]]-T_PROD[[#This Row],[EFETIVO]] ),"")</f>
        <v>0</v>
      </c>
      <c r="J1625" s="32" t="str">
        <f>IFERROR(IF(T_PROD[[#This Row],[META]]&gt;0,(T_PROD[[#This Row],[META]]/T_PROD[[#This Row],[PREVISTO]]),""),"")</f>
        <v/>
      </c>
      <c r="K1625" s="32" t="str">
        <f>IFERROR(IF(T_PROD[[#This Row],[PRODUÇÃO]]&gt;0,(T_PROD[[#This Row],[PRODUÇÃO]]/T_PROD[[#This Row],[EFETIVO]]),""),"")</f>
        <v/>
      </c>
    </row>
    <row r="1626" spans="1:11" x14ac:dyDescent="0.3">
      <c r="A1626" s="28">
        <v>46289</v>
      </c>
      <c r="B1626" s="29" t="str">
        <f t="shared" si="179"/>
        <v>SETEMBRO</v>
      </c>
      <c r="C1626" s="12" t="s">
        <v>19</v>
      </c>
      <c r="D1626" s="12" t="s">
        <v>12</v>
      </c>
      <c r="E1626" s="30"/>
      <c r="F1626" s="30"/>
      <c r="G1626" s="29"/>
      <c r="H1626" s="31"/>
      <c r="I1626" s="29">
        <f>IFERROR(IF(T_PROD[[#This Row],[PREVISTO]]-T_PROD[[#This Row],[EFETIVO]]&lt; 0,0,T_PROD[[#This Row],[PREVISTO]]-T_PROD[[#This Row],[EFETIVO]] ),"")</f>
        <v>0</v>
      </c>
      <c r="J1626" s="32" t="str">
        <f>IFERROR(IF(T_PROD[[#This Row],[META]]&gt;0,(T_PROD[[#This Row],[META]]/T_PROD[[#This Row],[PREVISTO]]),""),"")</f>
        <v/>
      </c>
      <c r="K1626" s="32" t="str">
        <f>IFERROR(IF(T_PROD[[#This Row],[PRODUÇÃO]]&gt;0,(T_PROD[[#This Row],[PRODUÇÃO]]/T_PROD[[#This Row],[EFETIVO]]),""),"")</f>
        <v/>
      </c>
    </row>
    <row r="1627" spans="1:11" x14ac:dyDescent="0.3">
      <c r="A1627" s="28">
        <v>46289</v>
      </c>
      <c r="B1627" s="29" t="str">
        <f t="shared" si="179"/>
        <v>SETEMBRO</v>
      </c>
      <c r="C1627" s="12" t="s">
        <v>20</v>
      </c>
      <c r="D1627" s="12" t="s">
        <v>12</v>
      </c>
      <c r="E1627" s="30">
        <v>510</v>
      </c>
      <c r="F1627" s="30">
        <v>429</v>
      </c>
      <c r="G1627" s="29">
        <v>100</v>
      </c>
      <c r="H1627" s="31">
        <v>100</v>
      </c>
      <c r="I1627" s="29">
        <f>IFERROR(IF(T_PROD[[#This Row],[PREVISTO]]-T_PROD[[#This Row],[EFETIVO]]&lt; 0,0,T_PROD[[#This Row],[PREVISTO]]-T_PROD[[#This Row],[EFETIVO]] ),"")</f>
        <v>0</v>
      </c>
      <c r="J1627" s="32">
        <f>IFERROR(IF(T_PROD[[#This Row],[META]]&gt;0,(T_PROD[[#This Row],[META]]/T_PROD[[#This Row],[PREVISTO]]),""),"")</f>
        <v>5.0999999999999996</v>
      </c>
      <c r="K1627" s="32">
        <f>IFERROR(IF(T_PROD[[#This Row],[PRODUÇÃO]]&gt;0,(T_PROD[[#This Row],[PRODUÇÃO]]/T_PROD[[#This Row],[EFETIVO]]),""),"")</f>
        <v>4.29</v>
      </c>
    </row>
    <row r="1628" spans="1:11" x14ac:dyDescent="0.3">
      <c r="A1628" s="28">
        <v>46289</v>
      </c>
      <c r="B1628" s="29" t="str">
        <f t="shared" si="179"/>
        <v>SETEMBRO</v>
      </c>
      <c r="C1628" s="12" t="s">
        <v>11</v>
      </c>
      <c r="D1628" s="12" t="s">
        <v>12</v>
      </c>
      <c r="E1628" s="30">
        <v>880</v>
      </c>
      <c r="F1628" s="30">
        <v>923</v>
      </c>
      <c r="G1628" s="29">
        <v>44</v>
      </c>
      <c r="H1628" s="31">
        <v>44</v>
      </c>
      <c r="I1628" s="29">
        <f>IFERROR(IF(T_PROD[[#This Row],[PREVISTO]]-T_PROD[[#This Row],[EFETIVO]]&lt; 0,0,T_PROD[[#This Row],[PREVISTO]]-T_PROD[[#This Row],[EFETIVO]] ),"")</f>
        <v>0</v>
      </c>
      <c r="J1628" s="32">
        <f>IFERROR(IF(T_PROD[[#This Row],[META]]&gt;0,(T_PROD[[#This Row],[META]]/T_PROD[[#This Row],[PREVISTO]]),""),"")</f>
        <v>20</v>
      </c>
      <c r="K1628" s="32">
        <f>IFERROR(IF(T_PROD[[#This Row],[PRODUÇÃO]]&gt;0,(T_PROD[[#This Row],[PRODUÇÃO]]/T_PROD[[#This Row],[EFETIVO]]),""),"")</f>
        <v>20.977272727272727</v>
      </c>
    </row>
    <row r="1629" spans="1:11" x14ac:dyDescent="0.3">
      <c r="A1629" s="28">
        <v>46289</v>
      </c>
      <c r="B1629" s="29" t="str">
        <f t="shared" si="179"/>
        <v>SETEMBRO</v>
      </c>
      <c r="C1629" s="12" t="s">
        <v>32</v>
      </c>
      <c r="D1629" s="12" t="s">
        <v>12</v>
      </c>
      <c r="E1629" s="30">
        <v>77</v>
      </c>
      <c r="F1629" s="30">
        <v>77</v>
      </c>
      <c r="G1629" s="29">
        <v>7</v>
      </c>
      <c r="H1629" s="31">
        <v>7</v>
      </c>
      <c r="I1629" s="29">
        <f>IFERROR(IF(T_PROD[[#This Row],[PREVISTO]]-T_PROD[[#This Row],[EFETIVO]]&lt; 0,0,T_PROD[[#This Row],[PREVISTO]]-T_PROD[[#This Row],[EFETIVO]] ),"")</f>
        <v>0</v>
      </c>
      <c r="J1629" s="32">
        <f>IFERROR(IF(T_PROD[[#This Row],[META]]&gt;0,(T_PROD[[#This Row],[META]]/T_PROD[[#This Row],[PREVISTO]]),""),"")</f>
        <v>11</v>
      </c>
      <c r="K1629" s="32">
        <f>IFERROR(IF(T_PROD[[#This Row],[PRODUÇÃO]]&gt;0,(T_PROD[[#This Row],[PRODUÇÃO]]/T_PROD[[#This Row],[EFETIVO]]),""),"")</f>
        <v>11</v>
      </c>
    </row>
    <row r="1630" spans="1:11" x14ac:dyDescent="0.3">
      <c r="A1630" s="28">
        <v>46289</v>
      </c>
      <c r="B1630" s="29" t="str">
        <f t="shared" si="179"/>
        <v>SETEMBRO</v>
      </c>
      <c r="C1630" s="12" t="s">
        <v>14</v>
      </c>
      <c r="D1630" s="12" t="s">
        <v>12</v>
      </c>
      <c r="E1630" s="30">
        <v>957</v>
      </c>
      <c r="F1630" s="30">
        <v>1000</v>
      </c>
      <c r="G1630" s="29">
        <v>100</v>
      </c>
      <c r="H1630" s="31">
        <v>99</v>
      </c>
      <c r="I1630" s="29">
        <f>IFERROR(IF(T_PROD[[#This Row],[PREVISTO]]-T_PROD[[#This Row],[EFETIVO]]&lt; 0,0,T_PROD[[#This Row],[PREVISTO]]-T_PROD[[#This Row],[EFETIVO]] ),"")</f>
        <v>1</v>
      </c>
      <c r="J1630" s="32">
        <f>IFERROR(IF(T_PROD[[#This Row],[META]]&gt;0,(T_PROD[[#This Row],[META]]/T_PROD[[#This Row],[PREVISTO]]),""),"")</f>
        <v>9.57</v>
      </c>
      <c r="K1630" s="32">
        <f>IFERROR(IF(T_PROD[[#This Row],[PRODUÇÃO]]&gt;0,(T_PROD[[#This Row],[PRODUÇÃO]]/T_PROD[[#This Row],[EFETIVO]]),""),"")</f>
        <v>10.1010101010101</v>
      </c>
    </row>
    <row r="1631" spans="1:11" x14ac:dyDescent="0.3">
      <c r="A1631" s="28">
        <v>46290</v>
      </c>
      <c r="B1631" s="29" t="str">
        <f>UPPER(TEXT(A1631,"MMMM"))</f>
        <v>SETEMBRO</v>
      </c>
      <c r="C1631" s="6" t="s">
        <v>15</v>
      </c>
      <c r="D1631" s="12" t="s">
        <v>12</v>
      </c>
      <c r="E1631" s="30">
        <v>75</v>
      </c>
      <c r="F1631" s="30">
        <v>21</v>
      </c>
      <c r="G1631" s="29">
        <v>5</v>
      </c>
      <c r="H1631" s="31">
        <v>5</v>
      </c>
      <c r="I1631" s="29">
        <f>IFERROR(IF(T_PROD[[#This Row],[PREVISTO]]-T_PROD[[#This Row],[EFETIVO]]&lt; 0,0,T_PROD[[#This Row],[PREVISTO]]-T_PROD[[#This Row],[EFETIVO]] ),"")</f>
        <v>0</v>
      </c>
      <c r="J1631" s="32">
        <f>IFERROR(IF(T_PROD[[#This Row],[META]]&gt;0,(T_PROD[[#This Row],[META]]/T_PROD[[#This Row],[PREVISTO]]),""),"")</f>
        <v>15</v>
      </c>
      <c r="K1631" s="32">
        <f>IFERROR(IF(T_PROD[[#This Row],[PRODUÇÃO]]&gt;0,(T_PROD[[#This Row],[PRODUÇÃO]]/T_PROD[[#This Row],[EFETIVO]]),""),"")</f>
        <v>4.2</v>
      </c>
    </row>
    <row r="1632" spans="1:11" x14ac:dyDescent="0.3">
      <c r="A1632" s="28">
        <v>46290</v>
      </c>
      <c r="B1632" s="29" t="str">
        <f t="shared" ref="B1632:B1639" si="180">UPPER(TEXT(A1632,"MMMM"))</f>
        <v>SETEMBRO</v>
      </c>
      <c r="C1632" s="12" t="s">
        <v>16</v>
      </c>
      <c r="D1632" s="12" t="s">
        <v>12</v>
      </c>
      <c r="E1632" s="30">
        <v>238</v>
      </c>
      <c r="F1632" s="30">
        <v>162</v>
      </c>
      <c r="G1632" s="29">
        <v>7</v>
      </c>
      <c r="H1632" s="31">
        <v>7</v>
      </c>
      <c r="I1632" s="29">
        <f>IFERROR(IF(T_PROD[[#This Row],[PREVISTO]]-T_PROD[[#This Row],[EFETIVO]]&lt; 0,0,T_PROD[[#This Row],[PREVISTO]]-T_PROD[[#This Row],[EFETIVO]] ),"")</f>
        <v>0</v>
      </c>
      <c r="J1632" s="32">
        <f>IFERROR(IF(T_PROD[[#This Row],[META]]&gt;0,(T_PROD[[#This Row],[META]]/T_PROD[[#This Row],[PREVISTO]]),""),"")</f>
        <v>34</v>
      </c>
      <c r="K1632" s="32">
        <f>IFERROR(IF(T_PROD[[#This Row],[PRODUÇÃO]]&gt;0,(T_PROD[[#This Row],[PRODUÇÃO]]/T_PROD[[#This Row],[EFETIVO]]),""),"")</f>
        <v>23.142857142857142</v>
      </c>
    </row>
    <row r="1633" spans="1:11" x14ac:dyDescent="0.3">
      <c r="A1633" s="28">
        <v>46290</v>
      </c>
      <c r="B1633" s="29" t="str">
        <f t="shared" si="180"/>
        <v>SETEMBRO</v>
      </c>
      <c r="C1633" s="12" t="s">
        <v>17</v>
      </c>
      <c r="D1633" s="12" t="s">
        <v>12</v>
      </c>
      <c r="E1633" s="30">
        <v>330</v>
      </c>
      <c r="F1633" s="30">
        <v>240</v>
      </c>
      <c r="G1633" s="29">
        <v>15</v>
      </c>
      <c r="H1633" s="31">
        <v>15</v>
      </c>
      <c r="I1633" s="29">
        <f>IFERROR(IF(T_PROD[[#This Row],[PREVISTO]]-T_PROD[[#This Row],[EFETIVO]]&lt; 0,0,T_PROD[[#This Row],[PREVISTO]]-T_PROD[[#This Row],[EFETIVO]] ),"")</f>
        <v>0</v>
      </c>
      <c r="J1633" s="32">
        <f>IFERROR(IF(T_PROD[[#This Row],[META]]&gt;0,(T_PROD[[#This Row],[META]]/T_PROD[[#This Row],[PREVISTO]]),""),"")</f>
        <v>22</v>
      </c>
      <c r="K1633" s="32">
        <f>IFERROR(IF(T_PROD[[#This Row],[PRODUÇÃO]]&gt;0,(T_PROD[[#This Row],[PRODUÇÃO]]/T_PROD[[#This Row],[EFETIVO]]),""),"")</f>
        <v>16</v>
      </c>
    </row>
    <row r="1634" spans="1:11" x14ac:dyDescent="0.3">
      <c r="A1634" s="28">
        <v>46290</v>
      </c>
      <c r="B1634" s="29" t="str">
        <f t="shared" si="180"/>
        <v>SETEMBRO</v>
      </c>
      <c r="C1634" s="12" t="s">
        <v>18</v>
      </c>
      <c r="D1634" s="12" t="s">
        <v>12</v>
      </c>
      <c r="E1634" s="30"/>
      <c r="F1634" s="30"/>
      <c r="G1634" s="29"/>
      <c r="H1634" s="31"/>
      <c r="I1634" s="29">
        <f>IFERROR(IF(T_PROD[[#This Row],[PREVISTO]]-T_PROD[[#This Row],[EFETIVO]]&lt; 0,0,T_PROD[[#This Row],[PREVISTO]]-T_PROD[[#This Row],[EFETIVO]] ),"")</f>
        <v>0</v>
      </c>
      <c r="J1634" s="32" t="str">
        <f>IFERROR(IF(T_PROD[[#This Row],[META]]&gt;0,(T_PROD[[#This Row],[META]]/T_PROD[[#This Row],[PREVISTO]]),""),"")</f>
        <v/>
      </c>
      <c r="K1634" s="32" t="str">
        <f>IFERROR(IF(T_PROD[[#This Row],[PRODUÇÃO]]&gt;0,(T_PROD[[#This Row],[PRODUÇÃO]]/T_PROD[[#This Row],[EFETIVO]]),""),"")</f>
        <v/>
      </c>
    </row>
    <row r="1635" spans="1:11" x14ac:dyDescent="0.3">
      <c r="A1635" s="28">
        <v>46290</v>
      </c>
      <c r="B1635" s="29" t="str">
        <f t="shared" si="180"/>
        <v>SETEMBRO</v>
      </c>
      <c r="C1635" s="12" t="s">
        <v>19</v>
      </c>
      <c r="D1635" s="12" t="s">
        <v>12</v>
      </c>
      <c r="E1635" s="30"/>
      <c r="F1635" s="30"/>
      <c r="G1635" s="29"/>
      <c r="H1635" s="31"/>
      <c r="I1635" s="29">
        <f>IFERROR(IF(T_PROD[[#This Row],[PREVISTO]]-T_PROD[[#This Row],[EFETIVO]]&lt; 0,0,T_PROD[[#This Row],[PREVISTO]]-T_PROD[[#This Row],[EFETIVO]] ),"")</f>
        <v>0</v>
      </c>
      <c r="J1635" s="32" t="str">
        <f>IFERROR(IF(T_PROD[[#This Row],[META]]&gt;0,(T_PROD[[#This Row],[META]]/T_PROD[[#This Row],[PREVISTO]]),""),"")</f>
        <v/>
      </c>
      <c r="K1635" s="32" t="str">
        <f>IFERROR(IF(T_PROD[[#This Row],[PRODUÇÃO]]&gt;0,(T_PROD[[#This Row],[PRODUÇÃO]]/T_PROD[[#This Row],[EFETIVO]]),""),"")</f>
        <v/>
      </c>
    </row>
    <row r="1636" spans="1:11" x14ac:dyDescent="0.3">
      <c r="A1636" s="28">
        <v>46290</v>
      </c>
      <c r="B1636" s="29" t="str">
        <f t="shared" si="180"/>
        <v>SETEMBRO</v>
      </c>
      <c r="C1636" s="12" t="s">
        <v>20</v>
      </c>
      <c r="D1636" s="12" t="s">
        <v>12</v>
      </c>
      <c r="E1636" s="30">
        <v>643</v>
      </c>
      <c r="F1636" s="30">
        <v>423</v>
      </c>
      <c r="G1636" s="29">
        <v>100</v>
      </c>
      <c r="H1636" s="31">
        <v>100</v>
      </c>
      <c r="I1636" s="29">
        <f>IFERROR(IF(T_PROD[[#This Row],[PREVISTO]]-T_PROD[[#This Row],[EFETIVO]]&lt; 0,0,T_PROD[[#This Row],[PREVISTO]]-T_PROD[[#This Row],[EFETIVO]] ),"")</f>
        <v>0</v>
      </c>
      <c r="J1636" s="32">
        <f>IFERROR(IF(T_PROD[[#This Row],[META]]&gt;0,(T_PROD[[#This Row],[META]]/T_PROD[[#This Row],[PREVISTO]]),""),"")</f>
        <v>6.43</v>
      </c>
      <c r="K1636" s="32">
        <f>IFERROR(IF(T_PROD[[#This Row],[PRODUÇÃO]]&gt;0,(T_PROD[[#This Row],[PRODUÇÃO]]/T_PROD[[#This Row],[EFETIVO]]),""),"")</f>
        <v>4.2300000000000004</v>
      </c>
    </row>
    <row r="1637" spans="1:11" x14ac:dyDescent="0.3">
      <c r="A1637" s="28">
        <v>46290</v>
      </c>
      <c r="B1637" s="29" t="str">
        <f t="shared" si="180"/>
        <v>SETEMBRO</v>
      </c>
      <c r="C1637" s="12" t="s">
        <v>11</v>
      </c>
      <c r="D1637" s="12" t="s">
        <v>12</v>
      </c>
      <c r="E1637" s="30">
        <v>680</v>
      </c>
      <c r="F1637" s="30">
        <v>700</v>
      </c>
      <c r="G1637" s="29">
        <v>34</v>
      </c>
      <c r="H1637" s="31">
        <v>34</v>
      </c>
      <c r="I1637" s="29">
        <f>IFERROR(IF(T_PROD[[#This Row],[PREVISTO]]-T_PROD[[#This Row],[EFETIVO]]&lt; 0,0,T_PROD[[#This Row],[PREVISTO]]-T_PROD[[#This Row],[EFETIVO]] ),"")</f>
        <v>0</v>
      </c>
      <c r="J1637" s="32">
        <f>IFERROR(IF(T_PROD[[#This Row],[META]]&gt;0,(T_PROD[[#This Row],[META]]/T_PROD[[#This Row],[PREVISTO]]),""),"")</f>
        <v>20</v>
      </c>
      <c r="K1637" s="32">
        <f>IFERROR(IF(T_PROD[[#This Row],[PRODUÇÃO]]&gt;0,(T_PROD[[#This Row],[PRODUÇÃO]]/T_PROD[[#This Row],[EFETIVO]]),""),"")</f>
        <v>20.588235294117649</v>
      </c>
    </row>
    <row r="1638" spans="1:11" x14ac:dyDescent="0.3">
      <c r="A1638" s="28">
        <v>46290</v>
      </c>
      <c r="B1638" s="29" t="str">
        <f t="shared" si="180"/>
        <v>SETEMBRO</v>
      </c>
      <c r="C1638" s="12" t="s">
        <v>32</v>
      </c>
      <c r="D1638" s="12" t="s">
        <v>12</v>
      </c>
      <c r="E1638" s="30">
        <v>55</v>
      </c>
      <c r="F1638" s="30">
        <v>61</v>
      </c>
      <c r="G1638" s="29">
        <v>5</v>
      </c>
      <c r="H1638" s="31">
        <v>5</v>
      </c>
      <c r="I1638" s="29">
        <f>IFERROR(IF(T_PROD[[#This Row],[PREVISTO]]-T_PROD[[#This Row],[EFETIVO]]&lt; 0,0,T_PROD[[#This Row],[PREVISTO]]-T_PROD[[#This Row],[EFETIVO]] ),"")</f>
        <v>0</v>
      </c>
      <c r="J1638" s="32">
        <f>IFERROR(IF(T_PROD[[#This Row],[META]]&gt;0,(T_PROD[[#This Row],[META]]/T_PROD[[#This Row],[PREVISTO]]),""),"")</f>
        <v>11</v>
      </c>
      <c r="K1638" s="32">
        <f>IFERROR(IF(T_PROD[[#This Row],[PRODUÇÃO]]&gt;0,(T_PROD[[#This Row],[PRODUÇÃO]]/T_PROD[[#This Row],[EFETIVO]]),""),"")</f>
        <v>12.2</v>
      </c>
    </row>
    <row r="1639" spans="1:11" x14ac:dyDescent="0.3">
      <c r="A1639" s="28">
        <v>46290</v>
      </c>
      <c r="B1639" s="29" t="str">
        <f t="shared" si="180"/>
        <v>SETEMBRO</v>
      </c>
      <c r="C1639" s="12" t="s">
        <v>14</v>
      </c>
      <c r="D1639" s="12" t="s">
        <v>12</v>
      </c>
      <c r="E1639" s="30">
        <v>735</v>
      </c>
      <c r="F1639" s="30">
        <v>761</v>
      </c>
      <c r="G1639" s="29">
        <v>80</v>
      </c>
      <c r="H1639" s="31">
        <v>78</v>
      </c>
      <c r="I1639" s="29">
        <f>IFERROR(IF(T_PROD[[#This Row],[PREVISTO]]-T_PROD[[#This Row],[EFETIVO]]&lt; 0,0,T_PROD[[#This Row],[PREVISTO]]-T_PROD[[#This Row],[EFETIVO]] ),"")</f>
        <v>2</v>
      </c>
      <c r="J1639" s="32">
        <f>IFERROR(IF(T_PROD[[#This Row],[META]]&gt;0,(T_PROD[[#This Row],[META]]/T_PROD[[#This Row],[PREVISTO]]),""),"")</f>
        <v>9.1875</v>
      </c>
      <c r="K1639" s="32">
        <f>IFERROR(IF(T_PROD[[#This Row],[PRODUÇÃO]]&gt;0,(T_PROD[[#This Row],[PRODUÇÃO]]/T_PROD[[#This Row],[EFETIVO]]),""),"")</f>
        <v>9.7564102564102573</v>
      </c>
    </row>
    <row r="1640" spans="1:11" x14ac:dyDescent="0.3">
      <c r="A1640" s="28">
        <v>46293</v>
      </c>
      <c r="B1640" s="29" t="str">
        <f>UPPER(TEXT(A1640,"MMMM"))</f>
        <v>SETEMBRO</v>
      </c>
      <c r="C1640" s="6" t="s">
        <v>15</v>
      </c>
      <c r="D1640" s="12" t="s">
        <v>12</v>
      </c>
      <c r="E1640" s="30">
        <v>60</v>
      </c>
      <c r="F1640" s="30">
        <v>20</v>
      </c>
      <c r="G1640" s="29">
        <v>4</v>
      </c>
      <c r="H1640" s="31">
        <v>4</v>
      </c>
      <c r="I1640" s="29">
        <f>IFERROR(IF(T_PROD[[#This Row],[PREVISTO]]-T_PROD[[#This Row],[EFETIVO]]&lt; 0,0,T_PROD[[#This Row],[PREVISTO]]-T_PROD[[#This Row],[EFETIVO]] ),"")</f>
        <v>0</v>
      </c>
      <c r="J1640" s="32">
        <f>IFERROR(IF(T_PROD[[#This Row],[META]]&gt;0,(T_PROD[[#This Row],[META]]/T_PROD[[#This Row],[PREVISTO]]),""),"")</f>
        <v>15</v>
      </c>
      <c r="K1640" s="32">
        <f>IFERROR(IF(T_PROD[[#This Row],[PRODUÇÃO]]&gt;0,(T_PROD[[#This Row],[PRODUÇÃO]]/T_PROD[[#This Row],[EFETIVO]]),""),"")</f>
        <v>5</v>
      </c>
    </row>
    <row r="1641" spans="1:11" x14ac:dyDescent="0.3">
      <c r="A1641" s="28">
        <v>46293</v>
      </c>
      <c r="B1641" s="29" t="str">
        <f t="shared" ref="B1641:B1648" si="181">UPPER(TEXT(A1641,"MMMM"))</f>
        <v>SETEMBRO</v>
      </c>
      <c r="C1641" s="12" t="s">
        <v>16</v>
      </c>
      <c r="D1641" s="12" t="s">
        <v>12</v>
      </c>
      <c r="E1641" s="30">
        <v>238</v>
      </c>
      <c r="F1641" s="30">
        <v>250</v>
      </c>
      <c r="G1641" s="29">
        <v>7</v>
      </c>
      <c r="H1641" s="31">
        <v>7</v>
      </c>
      <c r="I1641" s="29">
        <f>IFERROR(IF(T_PROD[[#This Row],[PREVISTO]]-T_PROD[[#This Row],[EFETIVO]]&lt; 0,0,T_PROD[[#This Row],[PREVISTO]]-T_PROD[[#This Row],[EFETIVO]] ),"")</f>
        <v>0</v>
      </c>
      <c r="J1641" s="32">
        <f>IFERROR(IF(T_PROD[[#This Row],[META]]&gt;0,(T_PROD[[#This Row],[META]]/T_PROD[[#This Row],[PREVISTO]]),""),"")</f>
        <v>34</v>
      </c>
      <c r="K1641" s="32">
        <f>IFERROR(IF(T_PROD[[#This Row],[PRODUÇÃO]]&gt;0,(T_PROD[[#This Row],[PRODUÇÃO]]/T_PROD[[#This Row],[EFETIVO]]),""),"")</f>
        <v>35.714285714285715</v>
      </c>
    </row>
    <row r="1642" spans="1:11" x14ac:dyDescent="0.3">
      <c r="A1642" s="28">
        <v>46293</v>
      </c>
      <c r="B1642" s="29" t="str">
        <f t="shared" si="181"/>
        <v>SETEMBRO</v>
      </c>
      <c r="C1642" s="12" t="s">
        <v>17</v>
      </c>
      <c r="D1642" s="12" t="s">
        <v>12</v>
      </c>
      <c r="E1642" s="30">
        <v>352</v>
      </c>
      <c r="F1642" s="30">
        <v>300</v>
      </c>
      <c r="G1642" s="29">
        <v>16</v>
      </c>
      <c r="H1642" s="31">
        <v>16</v>
      </c>
      <c r="I1642" s="29">
        <f>IFERROR(IF(T_PROD[[#This Row],[PREVISTO]]-T_PROD[[#This Row],[EFETIVO]]&lt; 0,0,T_PROD[[#This Row],[PREVISTO]]-T_PROD[[#This Row],[EFETIVO]] ),"")</f>
        <v>0</v>
      </c>
      <c r="J1642" s="32">
        <f>IFERROR(IF(T_PROD[[#This Row],[META]]&gt;0,(T_PROD[[#This Row],[META]]/T_PROD[[#This Row],[PREVISTO]]),""),"")</f>
        <v>22</v>
      </c>
      <c r="K1642" s="32">
        <f>IFERROR(IF(T_PROD[[#This Row],[PRODUÇÃO]]&gt;0,(T_PROD[[#This Row],[PRODUÇÃO]]/T_PROD[[#This Row],[EFETIVO]]),""),"")</f>
        <v>18.75</v>
      </c>
    </row>
    <row r="1643" spans="1:11" x14ac:dyDescent="0.3">
      <c r="A1643" s="28">
        <v>46293</v>
      </c>
      <c r="B1643" s="29" t="str">
        <f t="shared" si="181"/>
        <v>SETEMBRO</v>
      </c>
      <c r="C1643" s="12" t="s">
        <v>18</v>
      </c>
      <c r="D1643" s="12" t="s">
        <v>12</v>
      </c>
      <c r="E1643" s="30"/>
      <c r="F1643" s="30"/>
      <c r="G1643" s="29"/>
      <c r="H1643" s="31"/>
      <c r="I1643" s="29">
        <f>IFERROR(IF(T_PROD[[#This Row],[PREVISTO]]-T_PROD[[#This Row],[EFETIVO]]&lt; 0,0,T_PROD[[#This Row],[PREVISTO]]-T_PROD[[#This Row],[EFETIVO]] ),"")</f>
        <v>0</v>
      </c>
      <c r="J1643" s="32" t="str">
        <f>IFERROR(IF(T_PROD[[#This Row],[META]]&gt;0,(T_PROD[[#This Row],[META]]/T_PROD[[#This Row],[PREVISTO]]),""),"")</f>
        <v/>
      </c>
      <c r="K1643" s="32" t="str">
        <f>IFERROR(IF(T_PROD[[#This Row],[PRODUÇÃO]]&gt;0,(T_PROD[[#This Row],[PRODUÇÃO]]/T_PROD[[#This Row],[EFETIVO]]),""),"")</f>
        <v/>
      </c>
    </row>
    <row r="1644" spans="1:11" x14ac:dyDescent="0.3">
      <c r="A1644" s="28">
        <v>46293</v>
      </c>
      <c r="B1644" s="29" t="str">
        <f t="shared" si="181"/>
        <v>SETEMBRO</v>
      </c>
      <c r="C1644" s="12" t="s">
        <v>19</v>
      </c>
      <c r="D1644" s="12" t="s">
        <v>12</v>
      </c>
      <c r="E1644" s="30"/>
      <c r="F1644" s="30"/>
      <c r="G1644" s="29"/>
      <c r="H1644" s="31"/>
      <c r="I1644" s="29">
        <f>IFERROR(IF(T_PROD[[#This Row],[PREVISTO]]-T_PROD[[#This Row],[EFETIVO]]&lt; 0,0,T_PROD[[#This Row],[PREVISTO]]-T_PROD[[#This Row],[EFETIVO]] ),"")</f>
        <v>0</v>
      </c>
      <c r="J1644" s="32" t="str">
        <f>IFERROR(IF(T_PROD[[#This Row],[META]]&gt;0,(T_PROD[[#This Row],[META]]/T_PROD[[#This Row],[PREVISTO]]),""),"")</f>
        <v/>
      </c>
      <c r="K1644" s="32" t="str">
        <f>IFERROR(IF(T_PROD[[#This Row],[PRODUÇÃO]]&gt;0,(T_PROD[[#This Row],[PRODUÇÃO]]/T_PROD[[#This Row],[EFETIVO]]),""),"")</f>
        <v/>
      </c>
    </row>
    <row r="1645" spans="1:11" x14ac:dyDescent="0.3">
      <c r="A1645" s="28">
        <v>46293</v>
      </c>
      <c r="B1645" s="29" t="str">
        <f t="shared" si="181"/>
        <v>SETEMBRO</v>
      </c>
      <c r="C1645" s="12" t="s">
        <v>20</v>
      </c>
      <c r="D1645" s="12" t="s">
        <v>12</v>
      </c>
      <c r="E1645" s="30">
        <v>650</v>
      </c>
      <c r="F1645" s="30">
        <v>570</v>
      </c>
      <c r="G1645" s="29">
        <v>100</v>
      </c>
      <c r="H1645" s="31">
        <v>100</v>
      </c>
      <c r="I1645" s="29">
        <f>IFERROR(IF(T_PROD[[#This Row],[PREVISTO]]-T_PROD[[#This Row],[EFETIVO]]&lt; 0,0,T_PROD[[#This Row],[PREVISTO]]-T_PROD[[#This Row],[EFETIVO]] ),"")</f>
        <v>0</v>
      </c>
      <c r="J1645" s="32">
        <f>IFERROR(IF(T_PROD[[#This Row],[META]]&gt;0,(T_PROD[[#This Row],[META]]/T_PROD[[#This Row],[PREVISTO]]),""),"")</f>
        <v>6.5</v>
      </c>
      <c r="K1645" s="32">
        <f>IFERROR(IF(T_PROD[[#This Row],[PRODUÇÃO]]&gt;0,(T_PROD[[#This Row],[PRODUÇÃO]]/T_PROD[[#This Row],[EFETIVO]]),""),"")</f>
        <v>5.7</v>
      </c>
    </row>
    <row r="1646" spans="1:11" x14ac:dyDescent="0.3">
      <c r="A1646" s="28">
        <v>46293</v>
      </c>
      <c r="B1646" s="29" t="str">
        <f t="shared" si="181"/>
        <v>SETEMBRO</v>
      </c>
      <c r="C1646" s="12" t="s">
        <v>11</v>
      </c>
      <c r="D1646" s="12" t="s">
        <v>12</v>
      </c>
      <c r="E1646" s="30">
        <v>860</v>
      </c>
      <c r="F1646" s="30">
        <v>900</v>
      </c>
      <c r="G1646" s="29">
        <v>43</v>
      </c>
      <c r="H1646" s="31">
        <v>43</v>
      </c>
      <c r="I1646" s="29">
        <f>IFERROR(IF(T_PROD[[#This Row],[PREVISTO]]-T_PROD[[#This Row],[EFETIVO]]&lt; 0,0,T_PROD[[#This Row],[PREVISTO]]-T_PROD[[#This Row],[EFETIVO]] ),"")</f>
        <v>0</v>
      </c>
      <c r="J1646" s="32">
        <f>IFERROR(IF(T_PROD[[#This Row],[META]]&gt;0,(T_PROD[[#This Row],[META]]/T_PROD[[#This Row],[PREVISTO]]),""),"")</f>
        <v>20</v>
      </c>
      <c r="K1646" s="32">
        <f>IFERROR(IF(T_PROD[[#This Row],[PRODUÇÃO]]&gt;0,(T_PROD[[#This Row],[PRODUÇÃO]]/T_PROD[[#This Row],[EFETIVO]]),""),"")</f>
        <v>20.930232558139537</v>
      </c>
    </row>
    <row r="1647" spans="1:11" x14ac:dyDescent="0.3">
      <c r="A1647" s="28">
        <v>46293</v>
      </c>
      <c r="B1647" s="29" t="str">
        <f t="shared" si="181"/>
        <v>SETEMBRO</v>
      </c>
      <c r="C1647" s="12" t="s">
        <v>32</v>
      </c>
      <c r="D1647" s="12" t="s">
        <v>12</v>
      </c>
      <c r="E1647" s="30">
        <v>77</v>
      </c>
      <c r="F1647" s="30">
        <v>62</v>
      </c>
      <c r="G1647" s="29">
        <v>7</v>
      </c>
      <c r="H1647" s="31">
        <v>7</v>
      </c>
      <c r="I1647" s="29">
        <f>IFERROR(IF(T_PROD[[#This Row],[PREVISTO]]-T_PROD[[#This Row],[EFETIVO]]&lt; 0,0,T_PROD[[#This Row],[PREVISTO]]-T_PROD[[#This Row],[EFETIVO]] ),"")</f>
        <v>0</v>
      </c>
      <c r="J1647" s="32">
        <f>IFERROR(IF(T_PROD[[#This Row],[META]]&gt;0,(T_PROD[[#This Row],[META]]/T_PROD[[#This Row],[PREVISTO]]),""),"")</f>
        <v>11</v>
      </c>
      <c r="K1647" s="32">
        <f>IFERROR(IF(T_PROD[[#This Row],[PRODUÇÃO]]&gt;0,(T_PROD[[#This Row],[PRODUÇÃO]]/T_PROD[[#This Row],[EFETIVO]]),""),"")</f>
        <v>8.8571428571428577</v>
      </c>
    </row>
    <row r="1648" spans="1:11" x14ac:dyDescent="0.3">
      <c r="A1648" s="28">
        <v>46293</v>
      </c>
      <c r="B1648" s="29" t="str">
        <f t="shared" si="181"/>
        <v>SETEMBRO</v>
      </c>
      <c r="C1648" s="12" t="s">
        <v>14</v>
      </c>
      <c r="D1648" s="12" t="s">
        <v>12</v>
      </c>
      <c r="E1648" s="30">
        <v>937</v>
      </c>
      <c r="F1648" s="30">
        <v>962</v>
      </c>
      <c r="G1648" s="29">
        <v>100</v>
      </c>
      <c r="H1648" s="31">
        <v>98</v>
      </c>
      <c r="I1648" s="29">
        <f>IFERROR(IF(T_PROD[[#This Row],[PREVISTO]]-T_PROD[[#This Row],[EFETIVO]]&lt; 0,0,T_PROD[[#This Row],[PREVISTO]]-T_PROD[[#This Row],[EFETIVO]] ),"")</f>
        <v>2</v>
      </c>
      <c r="J1648" s="32">
        <f>IFERROR(IF(T_PROD[[#This Row],[META]]&gt;0,(T_PROD[[#This Row],[META]]/T_PROD[[#This Row],[PREVISTO]]),""),"")</f>
        <v>9.3699999999999992</v>
      </c>
      <c r="K1648" s="32">
        <f>IFERROR(IF(T_PROD[[#This Row],[PRODUÇÃO]]&gt;0,(T_PROD[[#This Row],[PRODUÇÃO]]/T_PROD[[#This Row],[EFETIVO]]),""),"")</f>
        <v>9.816326530612244</v>
      </c>
    </row>
    <row r="1649" spans="1:11" x14ac:dyDescent="0.3">
      <c r="A1649" s="28">
        <v>46294</v>
      </c>
      <c r="B1649" s="29" t="str">
        <f>UPPER(TEXT(A1649,"MMMM"))</f>
        <v>SETEMBRO</v>
      </c>
      <c r="C1649" s="6" t="s">
        <v>15</v>
      </c>
      <c r="D1649" s="12" t="s">
        <v>12</v>
      </c>
      <c r="E1649" s="30">
        <v>15</v>
      </c>
      <c r="F1649" s="30">
        <v>6</v>
      </c>
      <c r="G1649" s="29">
        <v>1</v>
      </c>
      <c r="H1649" s="31">
        <v>1</v>
      </c>
      <c r="I1649" s="29">
        <f>IFERROR(IF(T_PROD[[#This Row],[PREVISTO]]-T_PROD[[#This Row],[EFETIVO]]&lt; 0,0,T_PROD[[#This Row],[PREVISTO]]-T_PROD[[#This Row],[EFETIVO]] ),"")</f>
        <v>0</v>
      </c>
      <c r="J1649" s="32">
        <f>IFERROR(IF(T_PROD[[#This Row],[META]]&gt;0,(T_PROD[[#This Row],[META]]/T_PROD[[#This Row],[PREVISTO]]),""),"")</f>
        <v>15</v>
      </c>
      <c r="K1649" s="32">
        <f>IFERROR(IF(T_PROD[[#This Row],[PRODUÇÃO]]&gt;0,(T_PROD[[#This Row],[PRODUÇÃO]]/T_PROD[[#This Row],[EFETIVO]]),""),"")</f>
        <v>6</v>
      </c>
    </row>
    <row r="1650" spans="1:11" x14ac:dyDescent="0.3">
      <c r="A1650" s="28">
        <v>46294</v>
      </c>
      <c r="B1650" s="29" t="str">
        <f t="shared" ref="B1650:B1657" si="182">UPPER(TEXT(A1650,"MMMM"))</f>
        <v>SETEMBRO</v>
      </c>
      <c r="C1650" s="12" t="s">
        <v>16</v>
      </c>
      <c r="D1650" s="12" t="s">
        <v>12</v>
      </c>
      <c r="E1650" s="30"/>
      <c r="F1650" s="30"/>
      <c r="G1650" s="29"/>
      <c r="H1650" s="31"/>
      <c r="I1650" s="29">
        <f>IFERROR(IF(T_PROD[[#This Row],[PREVISTO]]-T_PROD[[#This Row],[EFETIVO]]&lt; 0,0,T_PROD[[#This Row],[PREVISTO]]-T_PROD[[#This Row],[EFETIVO]] ),"")</f>
        <v>0</v>
      </c>
      <c r="J1650" s="32" t="str">
        <f>IFERROR(IF(T_PROD[[#This Row],[META]]&gt;0,(T_PROD[[#This Row],[META]]/T_PROD[[#This Row],[PREVISTO]]),""),"")</f>
        <v/>
      </c>
      <c r="K1650" s="32" t="str">
        <f>IFERROR(IF(T_PROD[[#This Row],[PRODUÇÃO]]&gt;0,(T_PROD[[#This Row],[PRODUÇÃO]]/T_PROD[[#This Row],[EFETIVO]]),""),"")</f>
        <v/>
      </c>
    </row>
    <row r="1651" spans="1:11" x14ac:dyDescent="0.3">
      <c r="A1651" s="28">
        <v>46294</v>
      </c>
      <c r="B1651" s="29" t="str">
        <f t="shared" si="182"/>
        <v>SETEMBRO</v>
      </c>
      <c r="C1651" s="12" t="s">
        <v>17</v>
      </c>
      <c r="D1651" s="12" t="s">
        <v>12</v>
      </c>
      <c r="E1651" s="30">
        <v>352</v>
      </c>
      <c r="F1651" s="30">
        <v>361</v>
      </c>
      <c r="G1651" s="29">
        <v>16</v>
      </c>
      <c r="H1651" s="31">
        <v>16</v>
      </c>
      <c r="I1651" s="29">
        <f>IFERROR(IF(T_PROD[[#This Row],[PREVISTO]]-T_PROD[[#This Row],[EFETIVO]]&lt; 0,0,T_PROD[[#This Row],[PREVISTO]]-T_PROD[[#This Row],[EFETIVO]] ),"")</f>
        <v>0</v>
      </c>
      <c r="J1651" s="32">
        <f>IFERROR(IF(T_PROD[[#This Row],[META]]&gt;0,(T_PROD[[#This Row],[META]]/T_PROD[[#This Row],[PREVISTO]]),""),"")</f>
        <v>22</v>
      </c>
      <c r="K1651" s="32">
        <f>IFERROR(IF(T_PROD[[#This Row],[PRODUÇÃO]]&gt;0,(T_PROD[[#This Row],[PRODUÇÃO]]/T_PROD[[#This Row],[EFETIVO]]),""),"")</f>
        <v>22.5625</v>
      </c>
    </row>
    <row r="1652" spans="1:11" x14ac:dyDescent="0.3">
      <c r="A1652" s="28">
        <v>46294</v>
      </c>
      <c r="B1652" s="29" t="str">
        <f t="shared" si="182"/>
        <v>SETEMBRO</v>
      </c>
      <c r="C1652" s="12" t="s">
        <v>18</v>
      </c>
      <c r="D1652" s="12" t="s">
        <v>12</v>
      </c>
      <c r="E1652" s="30"/>
      <c r="F1652" s="30"/>
      <c r="G1652" s="29"/>
      <c r="H1652" s="31"/>
      <c r="I1652" s="29">
        <f>IFERROR(IF(T_PROD[[#This Row],[PREVISTO]]-T_PROD[[#This Row],[EFETIVO]]&lt; 0,0,T_PROD[[#This Row],[PREVISTO]]-T_PROD[[#This Row],[EFETIVO]] ),"")</f>
        <v>0</v>
      </c>
      <c r="J1652" s="32" t="str">
        <f>IFERROR(IF(T_PROD[[#This Row],[META]]&gt;0,(T_PROD[[#This Row],[META]]/T_PROD[[#This Row],[PREVISTO]]),""),"")</f>
        <v/>
      </c>
      <c r="K1652" s="32" t="str">
        <f>IFERROR(IF(T_PROD[[#This Row],[PRODUÇÃO]]&gt;0,(T_PROD[[#This Row],[PRODUÇÃO]]/T_PROD[[#This Row],[EFETIVO]]),""),"")</f>
        <v/>
      </c>
    </row>
    <row r="1653" spans="1:11" x14ac:dyDescent="0.3">
      <c r="A1653" s="28">
        <v>46294</v>
      </c>
      <c r="B1653" s="29" t="str">
        <f t="shared" si="182"/>
        <v>SETEMBRO</v>
      </c>
      <c r="C1653" s="12" t="s">
        <v>19</v>
      </c>
      <c r="D1653" s="12" t="s">
        <v>12</v>
      </c>
      <c r="E1653" s="30"/>
      <c r="F1653" s="30"/>
      <c r="G1653" s="29"/>
      <c r="H1653" s="31"/>
      <c r="I1653" s="29">
        <f>IFERROR(IF(T_PROD[[#This Row],[PREVISTO]]-T_PROD[[#This Row],[EFETIVO]]&lt; 0,0,T_PROD[[#This Row],[PREVISTO]]-T_PROD[[#This Row],[EFETIVO]] ),"")</f>
        <v>0</v>
      </c>
      <c r="J1653" s="32" t="str">
        <f>IFERROR(IF(T_PROD[[#This Row],[META]]&gt;0,(T_PROD[[#This Row],[META]]/T_PROD[[#This Row],[PREVISTO]]),""),"")</f>
        <v/>
      </c>
      <c r="K1653" s="32" t="str">
        <f>IFERROR(IF(T_PROD[[#This Row],[PRODUÇÃO]]&gt;0,(T_PROD[[#This Row],[PRODUÇÃO]]/T_PROD[[#This Row],[EFETIVO]]),""),"")</f>
        <v/>
      </c>
    </row>
    <row r="1654" spans="1:11" x14ac:dyDescent="0.3">
      <c r="A1654" s="28">
        <v>46294</v>
      </c>
      <c r="B1654" s="29" t="str">
        <f t="shared" si="182"/>
        <v>SETEMBRO</v>
      </c>
      <c r="C1654" s="12" t="s">
        <v>20</v>
      </c>
      <c r="D1654" s="12" t="s">
        <v>12</v>
      </c>
      <c r="E1654" s="30">
        <v>367</v>
      </c>
      <c r="F1654" s="30">
        <v>367</v>
      </c>
      <c r="G1654" s="29">
        <v>100</v>
      </c>
      <c r="H1654" s="31">
        <v>100</v>
      </c>
      <c r="I1654" s="29">
        <f>IFERROR(IF(T_PROD[[#This Row],[PREVISTO]]-T_PROD[[#This Row],[EFETIVO]]&lt; 0,0,T_PROD[[#This Row],[PREVISTO]]-T_PROD[[#This Row],[EFETIVO]] ),"")</f>
        <v>0</v>
      </c>
      <c r="J1654" s="32">
        <f>IFERROR(IF(T_PROD[[#This Row],[META]]&gt;0,(T_PROD[[#This Row],[META]]/T_PROD[[#This Row],[PREVISTO]]),""),"")</f>
        <v>3.67</v>
      </c>
      <c r="K1654" s="32">
        <f>IFERROR(IF(T_PROD[[#This Row],[PRODUÇÃO]]&gt;0,(T_PROD[[#This Row],[PRODUÇÃO]]/T_PROD[[#This Row],[EFETIVO]]),""),"")</f>
        <v>3.67</v>
      </c>
    </row>
    <row r="1655" spans="1:11" x14ac:dyDescent="0.3">
      <c r="A1655" s="28">
        <v>46294</v>
      </c>
      <c r="B1655" s="29" t="str">
        <f t="shared" si="182"/>
        <v>SETEMBRO</v>
      </c>
      <c r="C1655" s="12" t="s">
        <v>11</v>
      </c>
      <c r="D1655" s="12" t="s">
        <v>12</v>
      </c>
      <c r="E1655" s="30">
        <v>860</v>
      </c>
      <c r="F1655" s="30">
        <v>903</v>
      </c>
      <c r="G1655" s="29">
        <v>43</v>
      </c>
      <c r="H1655" s="31">
        <v>43</v>
      </c>
      <c r="I1655" s="29">
        <f>IFERROR(IF(T_PROD[[#This Row],[PREVISTO]]-T_PROD[[#This Row],[EFETIVO]]&lt; 0,0,T_PROD[[#This Row],[PREVISTO]]-T_PROD[[#This Row],[EFETIVO]] ),"")</f>
        <v>0</v>
      </c>
      <c r="J1655" s="32">
        <f>IFERROR(IF(T_PROD[[#This Row],[META]]&gt;0,(T_PROD[[#This Row],[META]]/T_PROD[[#This Row],[PREVISTO]]),""),"")</f>
        <v>20</v>
      </c>
      <c r="K1655" s="32">
        <f>IFERROR(IF(T_PROD[[#This Row],[PRODUÇÃO]]&gt;0,(T_PROD[[#This Row],[PRODUÇÃO]]/T_PROD[[#This Row],[EFETIVO]]),""),"")</f>
        <v>21</v>
      </c>
    </row>
    <row r="1656" spans="1:11" x14ac:dyDescent="0.3">
      <c r="A1656" s="28">
        <v>46294</v>
      </c>
      <c r="B1656" s="29" t="str">
        <f t="shared" si="182"/>
        <v>SETEMBRO</v>
      </c>
      <c r="C1656" s="12" t="s">
        <v>32</v>
      </c>
      <c r="D1656" s="12" t="s">
        <v>12</v>
      </c>
      <c r="E1656" s="30">
        <v>110</v>
      </c>
      <c r="F1656" s="30">
        <v>104</v>
      </c>
      <c r="G1656" s="29">
        <v>10</v>
      </c>
      <c r="H1656" s="31">
        <v>10</v>
      </c>
      <c r="I1656" s="29">
        <f>IFERROR(IF(T_PROD[[#This Row],[PREVISTO]]-T_PROD[[#This Row],[EFETIVO]]&lt; 0,0,T_PROD[[#This Row],[PREVISTO]]-T_PROD[[#This Row],[EFETIVO]] ),"")</f>
        <v>0</v>
      </c>
      <c r="J1656" s="32">
        <f>IFERROR(IF(T_PROD[[#This Row],[META]]&gt;0,(T_PROD[[#This Row],[META]]/T_PROD[[#This Row],[PREVISTO]]),""),"")</f>
        <v>11</v>
      </c>
      <c r="K1656" s="32">
        <f>IFERROR(IF(T_PROD[[#This Row],[PRODUÇÃO]]&gt;0,(T_PROD[[#This Row],[PRODUÇÃO]]/T_PROD[[#This Row],[EFETIVO]]),""),"")</f>
        <v>10.4</v>
      </c>
    </row>
    <row r="1657" spans="1:11" x14ac:dyDescent="0.3">
      <c r="A1657" s="28">
        <v>46294</v>
      </c>
      <c r="B1657" s="29" t="str">
        <f t="shared" si="182"/>
        <v>SETEMBRO</v>
      </c>
      <c r="C1657" s="12" t="s">
        <v>14</v>
      </c>
      <c r="D1657" s="12" t="s">
        <v>12</v>
      </c>
      <c r="E1657" s="30">
        <v>970</v>
      </c>
      <c r="F1657" s="30">
        <v>1007</v>
      </c>
      <c r="G1657" s="29">
        <v>100</v>
      </c>
      <c r="H1657" s="31">
        <v>100</v>
      </c>
      <c r="I1657" s="29">
        <f>IFERROR(IF(T_PROD[[#This Row],[PREVISTO]]-T_PROD[[#This Row],[EFETIVO]]&lt; 0,0,T_PROD[[#This Row],[PREVISTO]]-T_PROD[[#This Row],[EFETIVO]] ),"")</f>
        <v>0</v>
      </c>
      <c r="J1657" s="32">
        <f>IFERROR(IF(T_PROD[[#This Row],[META]]&gt;0,(T_PROD[[#This Row],[META]]/T_PROD[[#This Row],[PREVISTO]]),""),"")</f>
        <v>9.6999999999999993</v>
      </c>
      <c r="K1657" s="32">
        <f>IFERROR(IF(T_PROD[[#This Row],[PRODUÇÃO]]&gt;0,(T_PROD[[#This Row],[PRODUÇÃO]]/T_PROD[[#This Row],[EFETIVO]]),""),"")</f>
        <v>10.07</v>
      </c>
    </row>
    <row r="1658" spans="1:11" x14ac:dyDescent="0.3">
      <c r="A1658" s="28">
        <v>46295</v>
      </c>
      <c r="B1658" s="29" t="str">
        <f>UPPER(TEXT(A1658,"MMMM"))</f>
        <v>SETEMBRO</v>
      </c>
      <c r="C1658" s="6" t="s">
        <v>15</v>
      </c>
      <c r="D1658" s="12" t="s">
        <v>12</v>
      </c>
      <c r="E1658" s="30"/>
      <c r="F1658" s="30"/>
      <c r="G1658" s="29"/>
      <c r="H1658" s="31"/>
      <c r="I1658" s="29">
        <f>IFERROR(IF(T_PROD[[#This Row],[PREVISTO]]-T_PROD[[#This Row],[EFETIVO]]&lt; 0,0,T_PROD[[#This Row],[PREVISTO]]-T_PROD[[#This Row],[EFETIVO]] ),"")</f>
        <v>0</v>
      </c>
      <c r="J1658" s="32" t="str">
        <f>IFERROR(IF(T_PROD[[#This Row],[META]]&gt;0,(T_PROD[[#This Row],[META]]/T_PROD[[#This Row],[PREVISTO]]),""),"")</f>
        <v/>
      </c>
      <c r="K1658" s="32" t="str">
        <f>IFERROR(IF(T_PROD[[#This Row],[PRODUÇÃO]]&gt;0,(T_PROD[[#This Row],[PRODUÇÃO]]/T_PROD[[#This Row],[EFETIVO]]),""),"")</f>
        <v/>
      </c>
    </row>
    <row r="1659" spans="1:11" x14ac:dyDescent="0.3">
      <c r="A1659" s="28">
        <v>46295</v>
      </c>
      <c r="B1659" s="29" t="str">
        <f t="shared" ref="B1659:B1666" si="183">UPPER(TEXT(A1659,"MMMM"))</f>
        <v>SETEMBRO</v>
      </c>
      <c r="C1659" s="12" t="s">
        <v>16</v>
      </c>
      <c r="D1659" s="12" t="s">
        <v>12</v>
      </c>
      <c r="E1659" s="30">
        <v>238</v>
      </c>
      <c r="F1659" s="30">
        <v>26</v>
      </c>
      <c r="G1659" s="29">
        <v>7</v>
      </c>
      <c r="H1659" s="31">
        <v>7</v>
      </c>
      <c r="I1659" s="29">
        <f>IFERROR(IF(T_PROD[[#This Row],[PREVISTO]]-T_PROD[[#This Row],[EFETIVO]]&lt; 0,0,T_PROD[[#This Row],[PREVISTO]]-T_PROD[[#This Row],[EFETIVO]] ),"")</f>
        <v>0</v>
      </c>
      <c r="J1659" s="32">
        <f>IFERROR(IF(T_PROD[[#This Row],[META]]&gt;0,(T_PROD[[#This Row],[META]]/T_PROD[[#This Row],[PREVISTO]]),""),"")</f>
        <v>34</v>
      </c>
      <c r="K1659" s="32">
        <f>IFERROR(IF(T_PROD[[#This Row],[PRODUÇÃO]]&gt;0,(T_PROD[[#This Row],[PRODUÇÃO]]/T_PROD[[#This Row],[EFETIVO]]),""),"")</f>
        <v>3.7142857142857144</v>
      </c>
    </row>
    <row r="1660" spans="1:11" x14ac:dyDescent="0.3">
      <c r="A1660" s="28">
        <v>46295</v>
      </c>
      <c r="B1660" s="29" t="str">
        <f t="shared" si="183"/>
        <v>SETEMBRO</v>
      </c>
      <c r="C1660" s="12" t="s">
        <v>17</v>
      </c>
      <c r="D1660" s="12" t="s">
        <v>12</v>
      </c>
      <c r="E1660" s="30">
        <v>352</v>
      </c>
      <c r="F1660" s="30">
        <v>407</v>
      </c>
      <c r="G1660" s="29">
        <v>16</v>
      </c>
      <c r="H1660" s="31">
        <v>16</v>
      </c>
      <c r="I1660" s="29">
        <f>IFERROR(IF(T_PROD[[#This Row],[PREVISTO]]-T_PROD[[#This Row],[EFETIVO]]&lt; 0,0,T_PROD[[#This Row],[PREVISTO]]-T_PROD[[#This Row],[EFETIVO]] ),"")</f>
        <v>0</v>
      </c>
      <c r="J1660" s="32">
        <f>IFERROR(IF(T_PROD[[#This Row],[META]]&gt;0,(T_PROD[[#This Row],[META]]/T_PROD[[#This Row],[PREVISTO]]),""),"")</f>
        <v>22</v>
      </c>
      <c r="K1660" s="32">
        <f>IFERROR(IF(T_PROD[[#This Row],[PRODUÇÃO]]&gt;0,(T_PROD[[#This Row],[PRODUÇÃO]]/T_PROD[[#This Row],[EFETIVO]]),""),"")</f>
        <v>25.4375</v>
      </c>
    </row>
    <row r="1661" spans="1:11" x14ac:dyDescent="0.3">
      <c r="A1661" s="28">
        <v>46295</v>
      </c>
      <c r="B1661" s="29" t="str">
        <f t="shared" si="183"/>
        <v>SETEMBRO</v>
      </c>
      <c r="C1661" s="12" t="s">
        <v>18</v>
      </c>
      <c r="D1661" s="12" t="s">
        <v>12</v>
      </c>
      <c r="E1661" s="30"/>
      <c r="F1661" s="30"/>
      <c r="G1661" s="29"/>
      <c r="H1661" s="31"/>
      <c r="I1661" s="29">
        <f>IFERROR(IF(T_PROD[[#This Row],[PREVISTO]]-T_PROD[[#This Row],[EFETIVO]]&lt; 0,0,T_PROD[[#This Row],[PREVISTO]]-T_PROD[[#This Row],[EFETIVO]] ),"")</f>
        <v>0</v>
      </c>
      <c r="J1661" s="32" t="str">
        <f>IFERROR(IF(T_PROD[[#This Row],[META]]&gt;0,(T_PROD[[#This Row],[META]]/T_PROD[[#This Row],[PREVISTO]]),""),"")</f>
        <v/>
      </c>
      <c r="K1661" s="32" t="str">
        <f>IFERROR(IF(T_PROD[[#This Row],[PRODUÇÃO]]&gt;0,(T_PROD[[#This Row],[PRODUÇÃO]]/T_PROD[[#This Row],[EFETIVO]]),""),"")</f>
        <v/>
      </c>
    </row>
    <row r="1662" spans="1:11" x14ac:dyDescent="0.3">
      <c r="A1662" s="28">
        <v>46295</v>
      </c>
      <c r="B1662" s="29" t="str">
        <f t="shared" si="183"/>
        <v>SETEMBRO</v>
      </c>
      <c r="C1662" s="12" t="s">
        <v>19</v>
      </c>
      <c r="D1662" s="12" t="s">
        <v>12</v>
      </c>
      <c r="E1662" s="30"/>
      <c r="F1662" s="30"/>
      <c r="G1662" s="29"/>
      <c r="H1662" s="31"/>
      <c r="I1662" s="29">
        <f>IFERROR(IF(T_PROD[[#This Row],[PREVISTO]]-T_PROD[[#This Row],[EFETIVO]]&lt; 0,0,T_PROD[[#This Row],[PREVISTO]]-T_PROD[[#This Row],[EFETIVO]] ),"")</f>
        <v>0</v>
      </c>
      <c r="J1662" s="32" t="str">
        <f>IFERROR(IF(T_PROD[[#This Row],[META]]&gt;0,(T_PROD[[#This Row],[META]]/T_PROD[[#This Row],[PREVISTO]]),""),"")</f>
        <v/>
      </c>
      <c r="K1662" s="32" t="str">
        <f>IFERROR(IF(T_PROD[[#This Row],[PRODUÇÃO]]&gt;0,(T_PROD[[#This Row],[PRODUÇÃO]]/T_PROD[[#This Row],[EFETIVO]]),""),"")</f>
        <v/>
      </c>
    </row>
    <row r="1663" spans="1:11" x14ac:dyDescent="0.3">
      <c r="A1663" s="28">
        <v>46295</v>
      </c>
      <c r="B1663" s="29" t="str">
        <f t="shared" si="183"/>
        <v>SETEMBRO</v>
      </c>
      <c r="C1663" s="12" t="s">
        <v>20</v>
      </c>
      <c r="D1663" s="12" t="s">
        <v>12</v>
      </c>
      <c r="E1663" s="30">
        <v>590</v>
      </c>
      <c r="F1663" s="30">
        <v>433</v>
      </c>
      <c r="G1663" s="29">
        <v>100</v>
      </c>
      <c r="H1663" s="31">
        <v>100</v>
      </c>
      <c r="I1663" s="29">
        <f>IFERROR(IF(T_PROD[[#This Row],[PREVISTO]]-T_PROD[[#This Row],[EFETIVO]]&lt; 0,0,T_PROD[[#This Row],[PREVISTO]]-T_PROD[[#This Row],[EFETIVO]] ),"")</f>
        <v>0</v>
      </c>
      <c r="J1663" s="32">
        <f>IFERROR(IF(T_PROD[[#This Row],[META]]&gt;0,(T_PROD[[#This Row],[META]]/T_PROD[[#This Row],[PREVISTO]]),""),"")</f>
        <v>5.9</v>
      </c>
      <c r="K1663" s="32">
        <f>IFERROR(IF(T_PROD[[#This Row],[PRODUÇÃO]]&gt;0,(T_PROD[[#This Row],[PRODUÇÃO]]/T_PROD[[#This Row],[EFETIVO]]),""),"")</f>
        <v>4.33</v>
      </c>
    </row>
    <row r="1664" spans="1:11" x14ac:dyDescent="0.3">
      <c r="A1664" s="28">
        <v>46295</v>
      </c>
      <c r="B1664" s="29" t="str">
        <f t="shared" si="183"/>
        <v>SETEMBRO</v>
      </c>
      <c r="C1664" s="12" t="s">
        <v>11</v>
      </c>
      <c r="D1664" s="12" t="s">
        <v>12</v>
      </c>
      <c r="E1664" s="30">
        <v>860</v>
      </c>
      <c r="F1664" s="30">
        <v>900</v>
      </c>
      <c r="G1664" s="29">
        <v>43</v>
      </c>
      <c r="H1664" s="31">
        <v>43</v>
      </c>
      <c r="I1664" s="29">
        <f>IFERROR(IF(T_PROD[[#This Row],[PREVISTO]]-T_PROD[[#This Row],[EFETIVO]]&lt; 0,0,T_PROD[[#This Row],[PREVISTO]]-T_PROD[[#This Row],[EFETIVO]] ),"")</f>
        <v>0</v>
      </c>
      <c r="J1664" s="32">
        <f>IFERROR(IF(T_PROD[[#This Row],[META]]&gt;0,(T_PROD[[#This Row],[META]]/T_PROD[[#This Row],[PREVISTO]]),""),"")</f>
        <v>20</v>
      </c>
      <c r="K1664" s="32">
        <f>IFERROR(IF(T_PROD[[#This Row],[PRODUÇÃO]]&gt;0,(T_PROD[[#This Row],[PRODUÇÃO]]/T_PROD[[#This Row],[EFETIVO]]),""),"")</f>
        <v>20.930232558139537</v>
      </c>
    </row>
    <row r="1665" spans="1:11" x14ac:dyDescent="0.3">
      <c r="A1665" s="28">
        <v>46295</v>
      </c>
      <c r="B1665" s="29" t="str">
        <f t="shared" si="183"/>
        <v>SETEMBRO</v>
      </c>
      <c r="C1665" s="12" t="s">
        <v>32</v>
      </c>
      <c r="D1665" s="12" t="s">
        <v>12</v>
      </c>
      <c r="E1665" s="30">
        <v>99</v>
      </c>
      <c r="F1665" s="30">
        <v>108</v>
      </c>
      <c r="G1665" s="29">
        <v>9</v>
      </c>
      <c r="H1665" s="31">
        <v>9</v>
      </c>
      <c r="I1665" s="29">
        <f>IFERROR(IF(T_PROD[[#This Row],[PREVISTO]]-T_PROD[[#This Row],[EFETIVO]]&lt; 0,0,T_PROD[[#This Row],[PREVISTO]]-T_PROD[[#This Row],[EFETIVO]] ),"")</f>
        <v>0</v>
      </c>
      <c r="J1665" s="32">
        <f>IFERROR(IF(T_PROD[[#This Row],[META]]&gt;0,(T_PROD[[#This Row],[META]]/T_PROD[[#This Row],[PREVISTO]]),""),"")</f>
        <v>11</v>
      </c>
      <c r="K1665" s="32">
        <f>IFERROR(IF(T_PROD[[#This Row],[PRODUÇÃO]]&gt;0,(T_PROD[[#This Row],[PRODUÇÃO]]/T_PROD[[#This Row],[EFETIVO]]),""),"")</f>
        <v>12</v>
      </c>
    </row>
    <row r="1666" spans="1:11" x14ac:dyDescent="0.3">
      <c r="A1666" s="28">
        <v>46295</v>
      </c>
      <c r="B1666" s="29" t="str">
        <f t="shared" si="183"/>
        <v>SETEMBRO</v>
      </c>
      <c r="C1666" s="12" t="s">
        <v>14</v>
      </c>
      <c r="D1666" s="12" t="s">
        <v>12</v>
      </c>
      <c r="E1666" s="30">
        <v>968</v>
      </c>
      <c r="F1666" s="30">
        <v>999</v>
      </c>
      <c r="G1666" s="29">
        <v>103</v>
      </c>
      <c r="H1666" s="31">
        <v>103</v>
      </c>
      <c r="I1666" s="29">
        <f>IFERROR(IF(T_PROD[[#This Row],[PREVISTO]]-T_PROD[[#This Row],[EFETIVO]]&lt; 0,0,T_PROD[[#This Row],[PREVISTO]]-T_PROD[[#This Row],[EFETIVO]] ),"")</f>
        <v>0</v>
      </c>
      <c r="J1666" s="32">
        <f>IFERROR(IF(T_PROD[[#This Row],[META]]&gt;0,(T_PROD[[#This Row],[META]]/T_PROD[[#This Row],[PREVISTO]]),""),"")</f>
        <v>9.3980582524271838</v>
      </c>
      <c r="K1666" s="32">
        <f>IFERROR(IF(T_PROD[[#This Row],[PRODUÇÃO]]&gt;0,(T_PROD[[#This Row],[PRODUÇÃO]]/T_PROD[[#This Row],[EFETIVO]]),""),"")</f>
        <v>9.6990291262135919</v>
      </c>
    </row>
    <row r="1667" spans="1:11" x14ac:dyDescent="0.3">
      <c r="A1667" s="28">
        <v>46296</v>
      </c>
      <c r="B1667" s="29" t="str">
        <f>UPPER(TEXT(A1667,"MMMM"))</f>
        <v>OUTUBRO</v>
      </c>
      <c r="C1667" s="6" t="s">
        <v>15</v>
      </c>
      <c r="D1667" s="12" t="s">
        <v>12</v>
      </c>
      <c r="E1667" s="30">
        <v>60</v>
      </c>
      <c r="F1667" s="30">
        <v>1</v>
      </c>
      <c r="G1667" s="29">
        <v>4</v>
      </c>
      <c r="H1667" s="31">
        <v>4</v>
      </c>
      <c r="I1667" s="29">
        <f>IFERROR(IF(T_PROD[[#This Row],[PREVISTO]]-T_PROD[[#This Row],[EFETIVO]]&lt; 0,0,T_PROD[[#This Row],[PREVISTO]]-T_PROD[[#This Row],[EFETIVO]] ),"")</f>
        <v>0</v>
      </c>
      <c r="J1667" s="32">
        <f>IFERROR(IF(T_PROD[[#This Row],[META]]&gt;0,(T_PROD[[#This Row],[META]]/T_PROD[[#This Row],[PREVISTO]]),""),"")</f>
        <v>15</v>
      </c>
      <c r="K1667" s="32">
        <f>IFERROR(IF(T_PROD[[#This Row],[PRODUÇÃO]]&gt;0,(T_PROD[[#This Row],[PRODUÇÃO]]/T_PROD[[#This Row],[EFETIVO]]),""),"")</f>
        <v>0.25</v>
      </c>
    </row>
    <row r="1668" spans="1:11" x14ac:dyDescent="0.3">
      <c r="A1668" s="28">
        <v>46296</v>
      </c>
      <c r="B1668" s="29" t="str">
        <f t="shared" ref="B1668:B1675" si="184">UPPER(TEXT(A1668,"MMMM"))</f>
        <v>OUTUBRO</v>
      </c>
      <c r="C1668" s="12" t="s">
        <v>16</v>
      </c>
      <c r="D1668" s="12" t="s">
        <v>12</v>
      </c>
      <c r="E1668" s="30">
        <v>238</v>
      </c>
      <c r="F1668" s="30">
        <v>239</v>
      </c>
      <c r="G1668" s="29">
        <v>7</v>
      </c>
      <c r="H1668" s="31">
        <v>7</v>
      </c>
      <c r="I1668" s="29">
        <f>IFERROR(IF(T_PROD[[#This Row],[PREVISTO]]-T_PROD[[#This Row],[EFETIVO]]&lt; 0,0,T_PROD[[#This Row],[PREVISTO]]-T_PROD[[#This Row],[EFETIVO]] ),"")</f>
        <v>0</v>
      </c>
      <c r="J1668" s="32">
        <f>IFERROR(IF(T_PROD[[#This Row],[META]]&gt;0,(T_PROD[[#This Row],[META]]/T_PROD[[#This Row],[PREVISTO]]),""),"")</f>
        <v>34</v>
      </c>
      <c r="K1668" s="32">
        <f>IFERROR(IF(T_PROD[[#This Row],[PRODUÇÃO]]&gt;0,(T_PROD[[#This Row],[PRODUÇÃO]]/T_PROD[[#This Row],[EFETIVO]]),""),"")</f>
        <v>34.142857142857146</v>
      </c>
    </row>
    <row r="1669" spans="1:11" x14ac:dyDescent="0.3">
      <c r="A1669" s="28">
        <v>46296</v>
      </c>
      <c r="B1669" s="29" t="str">
        <f t="shared" si="184"/>
        <v>OUTUBRO</v>
      </c>
      <c r="C1669" s="12" t="s">
        <v>17</v>
      </c>
      <c r="D1669" s="12" t="s">
        <v>12</v>
      </c>
      <c r="E1669" s="30">
        <v>352</v>
      </c>
      <c r="F1669" s="30">
        <v>419</v>
      </c>
      <c r="G1669" s="29">
        <v>16</v>
      </c>
      <c r="H1669" s="31">
        <v>16</v>
      </c>
      <c r="I1669" s="29">
        <f>IFERROR(IF(T_PROD[[#This Row],[PREVISTO]]-T_PROD[[#This Row],[EFETIVO]]&lt; 0,0,T_PROD[[#This Row],[PREVISTO]]-T_PROD[[#This Row],[EFETIVO]] ),"")</f>
        <v>0</v>
      </c>
      <c r="J1669" s="32">
        <f>IFERROR(IF(T_PROD[[#This Row],[META]]&gt;0,(T_PROD[[#This Row],[META]]/T_PROD[[#This Row],[PREVISTO]]),""),"")</f>
        <v>22</v>
      </c>
      <c r="K1669" s="32">
        <f>IFERROR(IF(T_PROD[[#This Row],[PRODUÇÃO]]&gt;0,(T_PROD[[#This Row],[PRODUÇÃO]]/T_PROD[[#This Row],[EFETIVO]]),""),"")</f>
        <v>26.1875</v>
      </c>
    </row>
    <row r="1670" spans="1:11" x14ac:dyDescent="0.3">
      <c r="A1670" s="28">
        <v>46296</v>
      </c>
      <c r="B1670" s="29" t="str">
        <f t="shared" si="184"/>
        <v>OUTUBRO</v>
      </c>
      <c r="C1670" s="12" t="s">
        <v>18</v>
      </c>
      <c r="D1670" s="12" t="s">
        <v>12</v>
      </c>
      <c r="E1670" s="30"/>
      <c r="F1670" s="30"/>
      <c r="G1670" s="29"/>
      <c r="H1670" s="31"/>
      <c r="I1670" s="29">
        <f>IFERROR(IF(T_PROD[[#This Row],[PREVISTO]]-T_PROD[[#This Row],[EFETIVO]]&lt; 0,0,T_PROD[[#This Row],[PREVISTO]]-T_PROD[[#This Row],[EFETIVO]] ),"")</f>
        <v>0</v>
      </c>
      <c r="J1670" s="32" t="str">
        <f>IFERROR(IF(T_PROD[[#This Row],[META]]&gt;0,(T_PROD[[#This Row],[META]]/T_PROD[[#This Row],[PREVISTO]]),""),"")</f>
        <v/>
      </c>
      <c r="K1670" s="32" t="str">
        <f>IFERROR(IF(T_PROD[[#This Row],[PRODUÇÃO]]&gt;0,(T_PROD[[#This Row],[PRODUÇÃO]]/T_PROD[[#This Row],[EFETIVO]]),""),"")</f>
        <v/>
      </c>
    </row>
    <row r="1671" spans="1:11" x14ac:dyDescent="0.3">
      <c r="A1671" s="28">
        <v>46296</v>
      </c>
      <c r="B1671" s="29" t="str">
        <f t="shared" si="184"/>
        <v>OUTUBRO</v>
      </c>
      <c r="C1671" s="12" t="s">
        <v>19</v>
      </c>
      <c r="D1671" s="12" t="s">
        <v>12</v>
      </c>
      <c r="E1671" s="30"/>
      <c r="F1671" s="30"/>
      <c r="G1671" s="29"/>
      <c r="H1671" s="31"/>
      <c r="I1671" s="29">
        <f>IFERROR(IF(T_PROD[[#This Row],[PREVISTO]]-T_PROD[[#This Row],[EFETIVO]]&lt; 0,0,T_PROD[[#This Row],[PREVISTO]]-T_PROD[[#This Row],[EFETIVO]] ),"")</f>
        <v>0</v>
      </c>
      <c r="J1671" s="32" t="str">
        <f>IFERROR(IF(T_PROD[[#This Row],[META]]&gt;0,(T_PROD[[#This Row],[META]]/T_PROD[[#This Row],[PREVISTO]]),""),"")</f>
        <v/>
      </c>
      <c r="K1671" s="32" t="str">
        <f>IFERROR(IF(T_PROD[[#This Row],[PRODUÇÃO]]&gt;0,(T_PROD[[#This Row],[PRODUÇÃO]]/T_PROD[[#This Row],[EFETIVO]]),""),"")</f>
        <v/>
      </c>
    </row>
    <row r="1672" spans="1:11" x14ac:dyDescent="0.3">
      <c r="A1672" s="28">
        <v>46296</v>
      </c>
      <c r="B1672" s="29" t="str">
        <f t="shared" si="184"/>
        <v>OUTUBRO</v>
      </c>
      <c r="C1672" s="12" t="s">
        <v>20</v>
      </c>
      <c r="D1672" s="12" t="s">
        <v>12</v>
      </c>
      <c r="E1672" s="30">
        <v>650</v>
      </c>
      <c r="F1672" s="30">
        <v>659</v>
      </c>
      <c r="G1672" s="29">
        <v>100</v>
      </c>
      <c r="H1672" s="31">
        <v>100</v>
      </c>
      <c r="I1672" s="29">
        <f>IFERROR(IF(T_PROD[[#This Row],[PREVISTO]]-T_PROD[[#This Row],[EFETIVO]]&lt; 0,0,T_PROD[[#This Row],[PREVISTO]]-T_PROD[[#This Row],[EFETIVO]] ),"")</f>
        <v>0</v>
      </c>
      <c r="J1672" s="32">
        <f>IFERROR(IF(T_PROD[[#This Row],[META]]&gt;0,(T_PROD[[#This Row],[META]]/T_PROD[[#This Row],[PREVISTO]]),""),"")</f>
        <v>6.5</v>
      </c>
      <c r="K1672" s="32">
        <f>IFERROR(IF(T_PROD[[#This Row],[PRODUÇÃO]]&gt;0,(T_PROD[[#This Row],[PRODUÇÃO]]/T_PROD[[#This Row],[EFETIVO]]),""),"")</f>
        <v>6.59</v>
      </c>
    </row>
    <row r="1673" spans="1:11" x14ac:dyDescent="0.3">
      <c r="A1673" s="28">
        <v>46296</v>
      </c>
      <c r="B1673" s="29" t="str">
        <f t="shared" si="184"/>
        <v>OUTUBRO</v>
      </c>
      <c r="C1673" s="12" t="s">
        <v>11</v>
      </c>
      <c r="D1673" s="12" t="s">
        <v>12</v>
      </c>
      <c r="E1673" s="30">
        <v>880</v>
      </c>
      <c r="F1673" s="30">
        <v>930</v>
      </c>
      <c r="G1673" s="29">
        <v>44</v>
      </c>
      <c r="H1673" s="31">
        <v>44</v>
      </c>
      <c r="I1673" s="29">
        <f>IFERROR(IF(T_PROD[[#This Row],[PREVISTO]]-T_PROD[[#This Row],[EFETIVO]]&lt; 0,0,T_PROD[[#This Row],[PREVISTO]]-T_PROD[[#This Row],[EFETIVO]] ),"")</f>
        <v>0</v>
      </c>
      <c r="J1673" s="32">
        <f>IFERROR(IF(T_PROD[[#This Row],[META]]&gt;0,(T_PROD[[#This Row],[META]]/T_PROD[[#This Row],[PREVISTO]]),""),"")</f>
        <v>20</v>
      </c>
      <c r="K1673" s="32">
        <f>IFERROR(IF(T_PROD[[#This Row],[PRODUÇÃO]]&gt;0,(T_PROD[[#This Row],[PRODUÇÃO]]/T_PROD[[#This Row],[EFETIVO]]),""),"")</f>
        <v>21.136363636363637</v>
      </c>
    </row>
    <row r="1674" spans="1:11" x14ac:dyDescent="0.3">
      <c r="A1674" s="28">
        <v>46296</v>
      </c>
      <c r="B1674" s="29" t="str">
        <f t="shared" si="184"/>
        <v>OUTUBRO</v>
      </c>
      <c r="C1674" s="12" t="s">
        <v>32</v>
      </c>
      <c r="D1674" s="12" t="s">
        <v>12</v>
      </c>
      <c r="E1674" s="30">
        <v>108</v>
      </c>
      <c r="F1674" s="30">
        <v>108</v>
      </c>
      <c r="G1674" s="29">
        <v>10</v>
      </c>
      <c r="H1674" s="31">
        <v>11</v>
      </c>
      <c r="I1674" s="29">
        <f>IFERROR(IF(T_PROD[[#This Row],[PREVISTO]]-T_PROD[[#This Row],[EFETIVO]]&lt; 0,0,T_PROD[[#This Row],[PREVISTO]]-T_PROD[[#This Row],[EFETIVO]] ),"")</f>
        <v>0</v>
      </c>
      <c r="J1674" s="32">
        <f>IFERROR(IF(T_PROD[[#This Row],[META]]&gt;0,(T_PROD[[#This Row],[META]]/T_PROD[[#This Row],[PREVISTO]]),""),"")</f>
        <v>10.8</v>
      </c>
      <c r="K1674" s="32">
        <f>IFERROR(IF(T_PROD[[#This Row],[PRODUÇÃO]]&gt;0,(T_PROD[[#This Row],[PRODUÇÃO]]/T_PROD[[#This Row],[EFETIVO]]),""),"")</f>
        <v>9.8181818181818183</v>
      </c>
    </row>
    <row r="1675" spans="1:11" x14ac:dyDescent="0.3">
      <c r="A1675" s="28">
        <v>46296</v>
      </c>
      <c r="B1675" s="29" t="str">
        <f t="shared" si="184"/>
        <v>OUTUBRO</v>
      </c>
      <c r="C1675" s="12" t="s">
        <v>14</v>
      </c>
      <c r="D1675" s="12" t="s">
        <v>12</v>
      </c>
      <c r="E1675" s="30">
        <v>988</v>
      </c>
      <c r="F1675" s="30">
        <v>1038</v>
      </c>
      <c r="G1675" s="29">
        <v>108</v>
      </c>
      <c r="H1675" s="31">
        <v>108</v>
      </c>
      <c r="I1675" s="29">
        <f>IFERROR(IF(T_PROD[[#This Row],[PREVISTO]]-T_PROD[[#This Row],[EFETIVO]]&lt; 0,0,T_PROD[[#This Row],[PREVISTO]]-T_PROD[[#This Row],[EFETIVO]] ),"")</f>
        <v>0</v>
      </c>
      <c r="J1675" s="32">
        <f>IFERROR(IF(T_PROD[[#This Row],[META]]&gt;0,(T_PROD[[#This Row],[META]]/T_PROD[[#This Row],[PREVISTO]]),""),"")</f>
        <v>9.1481481481481488</v>
      </c>
      <c r="K1675" s="32">
        <f>IFERROR(IF(T_PROD[[#This Row],[PRODUÇÃO]]&gt;0,(T_PROD[[#This Row],[PRODUÇÃO]]/T_PROD[[#This Row],[EFETIVO]]),""),"")</f>
        <v>9.6111111111111107</v>
      </c>
    </row>
    <row r="1676" spans="1:11" x14ac:dyDescent="0.3">
      <c r="A1676" s="28">
        <v>46297</v>
      </c>
      <c r="B1676" s="29" t="str">
        <f>UPPER(TEXT(A1676,"MMMM"))</f>
        <v>OUTUBRO</v>
      </c>
      <c r="C1676" s="6" t="s">
        <v>15</v>
      </c>
      <c r="D1676" s="12" t="s">
        <v>12</v>
      </c>
      <c r="E1676" s="30">
        <v>60</v>
      </c>
      <c r="F1676" s="30">
        <v>41</v>
      </c>
      <c r="G1676" s="29">
        <v>4</v>
      </c>
      <c r="H1676" s="31">
        <v>4</v>
      </c>
      <c r="I1676" s="29">
        <f>IFERROR(IF(T_PROD[[#This Row],[PREVISTO]]-T_PROD[[#This Row],[EFETIVO]]&lt; 0,0,T_PROD[[#This Row],[PREVISTO]]-T_PROD[[#This Row],[EFETIVO]] ),"")</f>
        <v>0</v>
      </c>
      <c r="J1676" s="32">
        <f>IFERROR(IF(T_PROD[[#This Row],[META]]&gt;0,(T_PROD[[#This Row],[META]]/T_PROD[[#This Row],[PREVISTO]]),""),"")</f>
        <v>15</v>
      </c>
      <c r="K1676" s="32">
        <f>IFERROR(IF(T_PROD[[#This Row],[PRODUÇÃO]]&gt;0,(T_PROD[[#This Row],[PRODUÇÃO]]/T_PROD[[#This Row],[EFETIVO]]),""),"")</f>
        <v>10.25</v>
      </c>
    </row>
    <row r="1677" spans="1:11" x14ac:dyDescent="0.3">
      <c r="A1677" s="28">
        <v>46297</v>
      </c>
      <c r="B1677" s="29" t="str">
        <f t="shared" ref="B1677:B1684" si="185">UPPER(TEXT(A1677,"MMMM"))</f>
        <v>OUTUBRO</v>
      </c>
      <c r="C1677" s="12" t="s">
        <v>16</v>
      </c>
      <c r="D1677" s="12" t="s">
        <v>12</v>
      </c>
      <c r="E1677" s="30">
        <v>238</v>
      </c>
      <c r="F1677" s="30">
        <v>228</v>
      </c>
      <c r="G1677" s="29">
        <v>7</v>
      </c>
      <c r="H1677" s="31">
        <v>7</v>
      </c>
      <c r="I1677" s="29">
        <f>IFERROR(IF(T_PROD[[#This Row],[PREVISTO]]-T_PROD[[#This Row],[EFETIVO]]&lt; 0,0,T_PROD[[#This Row],[PREVISTO]]-T_PROD[[#This Row],[EFETIVO]] ),"")</f>
        <v>0</v>
      </c>
      <c r="J1677" s="32">
        <f>IFERROR(IF(T_PROD[[#This Row],[META]]&gt;0,(T_PROD[[#This Row],[META]]/T_PROD[[#This Row],[PREVISTO]]),""),"")</f>
        <v>34</v>
      </c>
      <c r="K1677" s="32">
        <f>IFERROR(IF(T_PROD[[#This Row],[PRODUÇÃO]]&gt;0,(T_PROD[[#This Row],[PRODUÇÃO]]/T_PROD[[#This Row],[EFETIVO]]),""),"")</f>
        <v>32.571428571428569</v>
      </c>
    </row>
    <row r="1678" spans="1:11" x14ac:dyDescent="0.3">
      <c r="A1678" s="28">
        <v>46297</v>
      </c>
      <c r="B1678" s="29" t="str">
        <f t="shared" si="185"/>
        <v>OUTUBRO</v>
      </c>
      <c r="C1678" s="12" t="s">
        <v>17</v>
      </c>
      <c r="D1678" s="12" t="s">
        <v>12</v>
      </c>
      <c r="E1678" s="30">
        <v>352</v>
      </c>
      <c r="F1678" s="30">
        <v>366</v>
      </c>
      <c r="G1678" s="29">
        <v>16</v>
      </c>
      <c r="H1678" s="31">
        <v>16</v>
      </c>
      <c r="I1678" s="29">
        <f>IFERROR(IF(T_PROD[[#This Row],[PREVISTO]]-T_PROD[[#This Row],[EFETIVO]]&lt; 0,0,T_PROD[[#This Row],[PREVISTO]]-T_PROD[[#This Row],[EFETIVO]] ),"")</f>
        <v>0</v>
      </c>
      <c r="J1678" s="32">
        <f>IFERROR(IF(T_PROD[[#This Row],[META]]&gt;0,(T_PROD[[#This Row],[META]]/T_PROD[[#This Row],[PREVISTO]]),""),"")</f>
        <v>22</v>
      </c>
      <c r="K1678" s="32">
        <f>IFERROR(IF(T_PROD[[#This Row],[PRODUÇÃO]]&gt;0,(T_PROD[[#This Row],[PRODUÇÃO]]/T_PROD[[#This Row],[EFETIVO]]),""),"")</f>
        <v>22.875</v>
      </c>
    </row>
    <row r="1679" spans="1:11" x14ac:dyDescent="0.3">
      <c r="A1679" s="28">
        <v>46297</v>
      </c>
      <c r="B1679" s="29" t="str">
        <f t="shared" si="185"/>
        <v>OUTUBRO</v>
      </c>
      <c r="C1679" s="12" t="s">
        <v>18</v>
      </c>
      <c r="D1679" s="12" t="s">
        <v>12</v>
      </c>
      <c r="E1679" s="30">
        <v>30</v>
      </c>
      <c r="F1679" s="30">
        <v>26</v>
      </c>
      <c r="G1679" s="29">
        <v>2</v>
      </c>
      <c r="H1679" s="31">
        <v>2</v>
      </c>
      <c r="I1679" s="29">
        <f>IFERROR(IF(T_PROD[[#This Row],[PREVISTO]]-T_PROD[[#This Row],[EFETIVO]]&lt; 0,0,T_PROD[[#This Row],[PREVISTO]]-T_PROD[[#This Row],[EFETIVO]] ),"")</f>
        <v>0</v>
      </c>
      <c r="J1679" s="32">
        <f>IFERROR(IF(T_PROD[[#This Row],[META]]&gt;0,(T_PROD[[#This Row],[META]]/T_PROD[[#This Row],[PREVISTO]]),""),"")</f>
        <v>15</v>
      </c>
      <c r="K1679" s="32">
        <f>IFERROR(IF(T_PROD[[#This Row],[PRODUÇÃO]]&gt;0,(T_PROD[[#This Row],[PRODUÇÃO]]/T_PROD[[#This Row],[EFETIVO]]),""),"")</f>
        <v>13</v>
      </c>
    </row>
    <row r="1680" spans="1:11" x14ac:dyDescent="0.3">
      <c r="A1680" s="28">
        <v>46297</v>
      </c>
      <c r="B1680" s="29" t="str">
        <f t="shared" si="185"/>
        <v>OUTUBRO</v>
      </c>
      <c r="C1680" s="12" t="s">
        <v>19</v>
      </c>
      <c r="D1680" s="12" t="s">
        <v>12</v>
      </c>
      <c r="E1680" s="30"/>
      <c r="F1680" s="30"/>
      <c r="G1680" s="29"/>
      <c r="H1680" s="31"/>
      <c r="I1680" s="29">
        <f>IFERROR(IF(T_PROD[[#This Row],[PREVISTO]]-T_PROD[[#This Row],[EFETIVO]]&lt; 0,0,T_PROD[[#This Row],[PREVISTO]]-T_PROD[[#This Row],[EFETIVO]] ),"")</f>
        <v>0</v>
      </c>
      <c r="J1680" s="32" t="str">
        <f>IFERROR(IF(T_PROD[[#This Row],[META]]&gt;0,(T_PROD[[#This Row],[META]]/T_PROD[[#This Row],[PREVISTO]]),""),"")</f>
        <v/>
      </c>
      <c r="K1680" s="32" t="str">
        <f>IFERROR(IF(T_PROD[[#This Row],[PRODUÇÃO]]&gt;0,(T_PROD[[#This Row],[PRODUÇÃO]]/T_PROD[[#This Row],[EFETIVO]]),""),"")</f>
        <v/>
      </c>
    </row>
    <row r="1681" spans="1:11" x14ac:dyDescent="0.3">
      <c r="A1681" s="28">
        <v>46297</v>
      </c>
      <c r="B1681" s="29" t="str">
        <f t="shared" si="185"/>
        <v>OUTUBRO</v>
      </c>
      <c r="C1681" s="12" t="s">
        <v>20</v>
      </c>
      <c r="D1681" s="12" t="s">
        <v>12</v>
      </c>
      <c r="E1681" s="30">
        <v>680</v>
      </c>
      <c r="F1681" s="30">
        <v>661</v>
      </c>
      <c r="G1681" s="29">
        <v>100</v>
      </c>
      <c r="H1681" s="31">
        <v>100</v>
      </c>
      <c r="I1681" s="29">
        <f>IFERROR(IF(T_PROD[[#This Row],[PREVISTO]]-T_PROD[[#This Row],[EFETIVO]]&lt; 0,0,T_PROD[[#This Row],[PREVISTO]]-T_PROD[[#This Row],[EFETIVO]] ),"")</f>
        <v>0</v>
      </c>
      <c r="J1681" s="32">
        <f>IFERROR(IF(T_PROD[[#This Row],[META]]&gt;0,(T_PROD[[#This Row],[META]]/T_PROD[[#This Row],[PREVISTO]]),""),"")</f>
        <v>6.8</v>
      </c>
      <c r="K1681" s="32">
        <f>IFERROR(IF(T_PROD[[#This Row],[PRODUÇÃO]]&gt;0,(T_PROD[[#This Row],[PRODUÇÃO]]/T_PROD[[#This Row],[EFETIVO]]),""),"")</f>
        <v>6.61</v>
      </c>
    </row>
    <row r="1682" spans="1:11" x14ac:dyDescent="0.3">
      <c r="A1682" s="28">
        <v>46297</v>
      </c>
      <c r="B1682" s="29" t="str">
        <f t="shared" si="185"/>
        <v>OUTUBRO</v>
      </c>
      <c r="C1682" s="12" t="s">
        <v>11</v>
      </c>
      <c r="D1682" s="12" t="s">
        <v>12</v>
      </c>
      <c r="E1682" s="30">
        <v>700</v>
      </c>
      <c r="F1682" s="30">
        <v>610</v>
      </c>
      <c r="G1682" s="29">
        <v>35</v>
      </c>
      <c r="H1682" s="31">
        <v>35</v>
      </c>
      <c r="I1682" s="29">
        <f>IFERROR(IF(T_PROD[[#This Row],[PREVISTO]]-T_PROD[[#This Row],[EFETIVO]]&lt; 0,0,T_PROD[[#This Row],[PREVISTO]]-T_PROD[[#This Row],[EFETIVO]] ),"")</f>
        <v>0</v>
      </c>
      <c r="J1682" s="32">
        <f>IFERROR(IF(T_PROD[[#This Row],[META]]&gt;0,(T_PROD[[#This Row],[META]]/T_PROD[[#This Row],[PREVISTO]]),""),"")</f>
        <v>20</v>
      </c>
      <c r="K1682" s="32">
        <f>IFERROR(IF(T_PROD[[#This Row],[PRODUÇÃO]]&gt;0,(T_PROD[[#This Row],[PRODUÇÃO]]/T_PROD[[#This Row],[EFETIVO]]),""),"")</f>
        <v>17.428571428571427</v>
      </c>
    </row>
    <row r="1683" spans="1:11" x14ac:dyDescent="0.3">
      <c r="A1683" s="28">
        <v>46297</v>
      </c>
      <c r="B1683" s="29" t="str">
        <f t="shared" si="185"/>
        <v>OUTUBRO</v>
      </c>
      <c r="C1683" s="12" t="s">
        <v>32</v>
      </c>
      <c r="D1683" s="12" t="s">
        <v>12</v>
      </c>
      <c r="E1683" s="30">
        <v>120</v>
      </c>
      <c r="F1683" s="30">
        <v>100</v>
      </c>
      <c r="G1683" s="29">
        <v>11</v>
      </c>
      <c r="H1683" s="31">
        <v>12</v>
      </c>
      <c r="I1683" s="29">
        <f>IFERROR(IF(T_PROD[[#This Row],[PREVISTO]]-T_PROD[[#This Row],[EFETIVO]]&lt; 0,0,T_PROD[[#This Row],[PREVISTO]]-T_PROD[[#This Row],[EFETIVO]] ),"")</f>
        <v>0</v>
      </c>
      <c r="J1683" s="32">
        <f>IFERROR(IF(T_PROD[[#This Row],[META]]&gt;0,(T_PROD[[#This Row],[META]]/T_PROD[[#This Row],[PREVISTO]]),""),"")</f>
        <v>10.909090909090908</v>
      </c>
      <c r="K1683" s="32">
        <f>IFERROR(IF(T_PROD[[#This Row],[PRODUÇÃO]]&gt;0,(T_PROD[[#This Row],[PRODUÇÃO]]/T_PROD[[#This Row],[EFETIVO]]),""),"")</f>
        <v>8.3333333333333339</v>
      </c>
    </row>
    <row r="1684" spans="1:11" x14ac:dyDescent="0.3">
      <c r="A1684" s="28">
        <v>46297</v>
      </c>
      <c r="B1684" s="29" t="str">
        <f t="shared" si="185"/>
        <v>OUTUBRO</v>
      </c>
      <c r="C1684" s="12" t="s">
        <v>14</v>
      </c>
      <c r="D1684" s="12" t="s">
        <v>12</v>
      </c>
      <c r="E1684" s="30">
        <v>820</v>
      </c>
      <c r="F1684" s="30">
        <v>710</v>
      </c>
      <c r="G1684" s="29">
        <v>92</v>
      </c>
      <c r="H1684" s="31">
        <v>90</v>
      </c>
      <c r="I1684" s="29">
        <f>IFERROR(IF(T_PROD[[#This Row],[PREVISTO]]-T_PROD[[#This Row],[EFETIVO]]&lt; 0,0,T_PROD[[#This Row],[PREVISTO]]-T_PROD[[#This Row],[EFETIVO]] ),"")</f>
        <v>2</v>
      </c>
      <c r="J1684" s="32">
        <f>IFERROR(IF(T_PROD[[#This Row],[META]]&gt;0,(T_PROD[[#This Row],[META]]/T_PROD[[#This Row],[PREVISTO]]),""),"")</f>
        <v>8.9130434782608692</v>
      </c>
      <c r="K1684" s="32">
        <f>IFERROR(IF(T_PROD[[#This Row],[PRODUÇÃO]]&gt;0,(T_PROD[[#This Row],[PRODUÇÃO]]/T_PROD[[#This Row],[EFETIVO]]),""),"")</f>
        <v>7.8888888888888893</v>
      </c>
    </row>
    <row r="1685" spans="1:11" x14ac:dyDescent="0.3">
      <c r="A1685" s="28">
        <v>46300</v>
      </c>
      <c r="B1685" s="29" t="str">
        <f>UPPER(TEXT(A1685,"MMMM"))</f>
        <v>OUTUBRO</v>
      </c>
      <c r="C1685" s="6" t="s">
        <v>15</v>
      </c>
      <c r="D1685" s="12" t="s">
        <v>12</v>
      </c>
      <c r="E1685" s="30"/>
      <c r="F1685" s="30"/>
      <c r="G1685" s="29"/>
      <c r="H1685" s="31"/>
      <c r="I1685" s="29">
        <f>IFERROR(IF(T_PROD[[#This Row],[PREVISTO]]-T_PROD[[#This Row],[EFETIVO]]&lt; 0,0,T_PROD[[#This Row],[PREVISTO]]-T_PROD[[#This Row],[EFETIVO]] ),"")</f>
        <v>0</v>
      </c>
      <c r="J1685" s="32" t="str">
        <f>IFERROR(IF(T_PROD[[#This Row],[META]]&gt;0,(T_PROD[[#This Row],[META]]/T_PROD[[#This Row],[PREVISTO]]),""),"")</f>
        <v/>
      </c>
      <c r="K1685" s="32" t="str">
        <f>IFERROR(IF(T_PROD[[#This Row],[PRODUÇÃO]]&gt;0,(T_PROD[[#This Row],[PRODUÇÃO]]/T_PROD[[#This Row],[EFETIVO]]),""),"")</f>
        <v/>
      </c>
    </row>
    <row r="1686" spans="1:11" x14ac:dyDescent="0.3">
      <c r="A1686" s="28">
        <v>46300</v>
      </c>
      <c r="B1686" s="29" t="str">
        <f t="shared" ref="B1686:B1693" si="186">UPPER(TEXT(A1686,"MMMM"))</f>
        <v>OUTUBRO</v>
      </c>
      <c r="C1686" s="12" t="s">
        <v>16</v>
      </c>
      <c r="D1686" s="12" t="s">
        <v>12</v>
      </c>
      <c r="E1686" s="30">
        <v>238</v>
      </c>
      <c r="F1686" s="30">
        <v>172</v>
      </c>
      <c r="G1686" s="29">
        <v>7</v>
      </c>
      <c r="H1686" s="31">
        <v>7</v>
      </c>
      <c r="I1686" s="29">
        <f>IFERROR(IF(T_PROD[[#This Row],[PREVISTO]]-T_PROD[[#This Row],[EFETIVO]]&lt; 0,0,T_PROD[[#This Row],[PREVISTO]]-T_PROD[[#This Row],[EFETIVO]] ),"")</f>
        <v>0</v>
      </c>
      <c r="J1686" s="32">
        <f>IFERROR(IF(T_PROD[[#This Row],[META]]&gt;0,(T_PROD[[#This Row],[META]]/T_PROD[[#This Row],[PREVISTO]]),""),"")</f>
        <v>34</v>
      </c>
      <c r="K1686" s="32">
        <f>IFERROR(IF(T_PROD[[#This Row],[PRODUÇÃO]]&gt;0,(T_PROD[[#This Row],[PRODUÇÃO]]/T_PROD[[#This Row],[EFETIVO]]),""),"")</f>
        <v>24.571428571428573</v>
      </c>
    </row>
    <row r="1687" spans="1:11" x14ac:dyDescent="0.3">
      <c r="A1687" s="28">
        <v>46300</v>
      </c>
      <c r="B1687" s="29" t="str">
        <f t="shared" si="186"/>
        <v>OUTUBRO</v>
      </c>
      <c r="C1687" s="12" t="s">
        <v>17</v>
      </c>
      <c r="D1687" s="12" t="s">
        <v>12</v>
      </c>
      <c r="E1687" s="30">
        <v>330</v>
      </c>
      <c r="F1687" s="30">
        <v>274</v>
      </c>
      <c r="G1687" s="29">
        <v>15</v>
      </c>
      <c r="H1687" s="31">
        <v>15</v>
      </c>
      <c r="I1687" s="29">
        <f>IFERROR(IF(T_PROD[[#This Row],[PREVISTO]]-T_PROD[[#This Row],[EFETIVO]]&lt; 0,0,T_PROD[[#This Row],[PREVISTO]]-T_PROD[[#This Row],[EFETIVO]] ),"")</f>
        <v>0</v>
      </c>
      <c r="J1687" s="32">
        <f>IFERROR(IF(T_PROD[[#This Row],[META]]&gt;0,(T_PROD[[#This Row],[META]]/T_PROD[[#This Row],[PREVISTO]]),""),"")</f>
        <v>22</v>
      </c>
      <c r="K1687" s="32">
        <f>IFERROR(IF(T_PROD[[#This Row],[PRODUÇÃO]]&gt;0,(T_PROD[[#This Row],[PRODUÇÃO]]/T_PROD[[#This Row],[EFETIVO]]),""),"")</f>
        <v>18.266666666666666</v>
      </c>
    </row>
    <row r="1688" spans="1:11" x14ac:dyDescent="0.3">
      <c r="A1688" s="28">
        <v>46300</v>
      </c>
      <c r="B1688" s="29" t="str">
        <f t="shared" si="186"/>
        <v>OUTUBRO</v>
      </c>
      <c r="C1688" s="12" t="s">
        <v>18</v>
      </c>
      <c r="D1688" s="12" t="s">
        <v>12</v>
      </c>
      <c r="E1688" s="30"/>
      <c r="F1688" s="30"/>
      <c r="G1688" s="29"/>
      <c r="H1688" s="31"/>
      <c r="I1688" s="29">
        <f>IFERROR(IF(T_PROD[[#This Row],[PREVISTO]]-T_PROD[[#This Row],[EFETIVO]]&lt; 0,0,T_PROD[[#This Row],[PREVISTO]]-T_PROD[[#This Row],[EFETIVO]] ),"")</f>
        <v>0</v>
      </c>
      <c r="J1688" s="32" t="str">
        <f>IFERROR(IF(T_PROD[[#This Row],[META]]&gt;0,(T_PROD[[#This Row],[META]]/T_PROD[[#This Row],[PREVISTO]]),""),"")</f>
        <v/>
      </c>
      <c r="K1688" s="32" t="str">
        <f>IFERROR(IF(T_PROD[[#This Row],[PRODUÇÃO]]&gt;0,(T_PROD[[#This Row],[PRODUÇÃO]]/T_PROD[[#This Row],[EFETIVO]]),""),"")</f>
        <v/>
      </c>
    </row>
    <row r="1689" spans="1:11" x14ac:dyDescent="0.3">
      <c r="A1689" s="28">
        <v>46300</v>
      </c>
      <c r="B1689" s="29" t="str">
        <f t="shared" si="186"/>
        <v>OUTUBRO</v>
      </c>
      <c r="C1689" s="12" t="s">
        <v>19</v>
      </c>
      <c r="D1689" s="12" t="s">
        <v>12</v>
      </c>
      <c r="E1689" s="30"/>
      <c r="F1689" s="30"/>
      <c r="G1689" s="29"/>
      <c r="H1689" s="31"/>
      <c r="I1689" s="29">
        <f>IFERROR(IF(T_PROD[[#This Row],[PREVISTO]]-T_PROD[[#This Row],[EFETIVO]]&lt; 0,0,T_PROD[[#This Row],[PREVISTO]]-T_PROD[[#This Row],[EFETIVO]] ),"")</f>
        <v>0</v>
      </c>
      <c r="J1689" s="32" t="str">
        <f>IFERROR(IF(T_PROD[[#This Row],[META]]&gt;0,(T_PROD[[#This Row],[META]]/T_PROD[[#This Row],[PREVISTO]]),""),"")</f>
        <v/>
      </c>
      <c r="K1689" s="32" t="str">
        <f>IFERROR(IF(T_PROD[[#This Row],[PRODUÇÃO]]&gt;0,(T_PROD[[#This Row],[PRODUÇÃO]]/T_PROD[[#This Row],[EFETIVO]]),""),"")</f>
        <v/>
      </c>
    </row>
    <row r="1690" spans="1:11" x14ac:dyDescent="0.3">
      <c r="A1690" s="28">
        <v>46300</v>
      </c>
      <c r="B1690" s="29" t="str">
        <f t="shared" si="186"/>
        <v>OUTUBRO</v>
      </c>
      <c r="C1690" s="12" t="s">
        <v>20</v>
      </c>
      <c r="D1690" s="12" t="s">
        <v>12</v>
      </c>
      <c r="E1690" s="30">
        <v>568</v>
      </c>
      <c r="F1690" s="30">
        <v>446</v>
      </c>
      <c r="G1690" s="29">
        <v>100</v>
      </c>
      <c r="H1690" s="31">
        <v>100</v>
      </c>
      <c r="I1690" s="29">
        <f>IFERROR(IF(T_PROD[[#This Row],[PREVISTO]]-T_PROD[[#This Row],[EFETIVO]]&lt; 0,0,T_PROD[[#This Row],[PREVISTO]]-T_PROD[[#This Row],[EFETIVO]] ),"")</f>
        <v>0</v>
      </c>
      <c r="J1690" s="32">
        <f>IFERROR(IF(T_PROD[[#This Row],[META]]&gt;0,(T_PROD[[#This Row],[META]]/T_PROD[[#This Row],[PREVISTO]]),""),"")</f>
        <v>5.68</v>
      </c>
      <c r="K1690" s="32">
        <f>IFERROR(IF(T_PROD[[#This Row],[PRODUÇÃO]]&gt;0,(T_PROD[[#This Row],[PRODUÇÃO]]/T_PROD[[#This Row],[EFETIVO]]),""),"")</f>
        <v>4.46</v>
      </c>
    </row>
    <row r="1691" spans="1:11" x14ac:dyDescent="0.3">
      <c r="A1691" s="28">
        <v>46300</v>
      </c>
      <c r="B1691" s="29" t="str">
        <f t="shared" si="186"/>
        <v>OUTUBRO</v>
      </c>
      <c r="C1691" s="12" t="s">
        <v>11</v>
      </c>
      <c r="D1691" s="12" t="s">
        <v>12</v>
      </c>
      <c r="E1691" s="30">
        <v>800</v>
      </c>
      <c r="F1691" s="30">
        <v>800</v>
      </c>
      <c r="G1691" s="29">
        <v>40</v>
      </c>
      <c r="H1691" s="31">
        <v>40</v>
      </c>
      <c r="I1691" s="29">
        <f>IFERROR(IF(T_PROD[[#This Row],[PREVISTO]]-T_PROD[[#This Row],[EFETIVO]]&lt; 0,0,T_PROD[[#This Row],[PREVISTO]]-T_PROD[[#This Row],[EFETIVO]] ),"")</f>
        <v>0</v>
      </c>
      <c r="J1691" s="32">
        <f>IFERROR(IF(T_PROD[[#This Row],[META]]&gt;0,(T_PROD[[#This Row],[META]]/T_PROD[[#This Row],[PREVISTO]]),""),"")</f>
        <v>20</v>
      </c>
      <c r="K1691" s="32">
        <f>IFERROR(IF(T_PROD[[#This Row],[PRODUÇÃO]]&gt;0,(T_PROD[[#This Row],[PRODUÇÃO]]/T_PROD[[#This Row],[EFETIVO]]),""),"")</f>
        <v>20</v>
      </c>
    </row>
    <row r="1692" spans="1:11" x14ac:dyDescent="0.3">
      <c r="A1692" s="28">
        <v>46300</v>
      </c>
      <c r="B1692" s="29" t="str">
        <f t="shared" si="186"/>
        <v>OUTUBRO</v>
      </c>
      <c r="C1692" s="12" t="s">
        <v>32</v>
      </c>
      <c r="D1692" s="12" t="s">
        <v>12</v>
      </c>
      <c r="E1692" s="30">
        <v>120</v>
      </c>
      <c r="F1692" s="30">
        <v>107</v>
      </c>
      <c r="G1692" s="29">
        <v>10</v>
      </c>
      <c r="H1692" s="31">
        <v>10</v>
      </c>
      <c r="I1692" s="29">
        <f>IFERROR(IF(T_PROD[[#This Row],[PREVISTO]]-T_PROD[[#This Row],[EFETIVO]]&lt; 0,0,T_PROD[[#This Row],[PREVISTO]]-T_PROD[[#This Row],[EFETIVO]] ),"")</f>
        <v>0</v>
      </c>
      <c r="J1692" s="32">
        <f>IFERROR(IF(T_PROD[[#This Row],[META]]&gt;0,(T_PROD[[#This Row],[META]]/T_PROD[[#This Row],[PREVISTO]]),""),"")</f>
        <v>12</v>
      </c>
      <c r="K1692" s="32">
        <f>IFERROR(IF(T_PROD[[#This Row],[PRODUÇÃO]]&gt;0,(T_PROD[[#This Row],[PRODUÇÃO]]/T_PROD[[#This Row],[EFETIVO]]),""),"")</f>
        <v>10.7</v>
      </c>
    </row>
    <row r="1693" spans="1:11" x14ac:dyDescent="0.3">
      <c r="A1693" s="28">
        <v>46300</v>
      </c>
      <c r="B1693" s="29" t="str">
        <f t="shared" si="186"/>
        <v>OUTUBRO</v>
      </c>
      <c r="C1693" s="12" t="s">
        <v>14</v>
      </c>
      <c r="D1693" s="12" t="s">
        <v>12</v>
      </c>
      <c r="E1693" s="30">
        <v>920</v>
      </c>
      <c r="F1693" s="30">
        <v>907</v>
      </c>
      <c r="G1693" s="29">
        <v>105</v>
      </c>
      <c r="H1693" s="31">
        <v>103</v>
      </c>
      <c r="I1693" s="29">
        <f>IFERROR(IF(T_PROD[[#This Row],[PREVISTO]]-T_PROD[[#This Row],[EFETIVO]]&lt; 0,0,T_PROD[[#This Row],[PREVISTO]]-T_PROD[[#This Row],[EFETIVO]] ),"")</f>
        <v>2</v>
      </c>
      <c r="J1693" s="32">
        <f>IFERROR(IF(T_PROD[[#This Row],[META]]&gt;0,(T_PROD[[#This Row],[META]]/T_PROD[[#This Row],[PREVISTO]]),""),"")</f>
        <v>8.7619047619047628</v>
      </c>
      <c r="K1693" s="32">
        <f>IFERROR(IF(T_PROD[[#This Row],[PRODUÇÃO]]&gt;0,(T_PROD[[#This Row],[PRODUÇÃO]]/T_PROD[[#This Row],[EFETIVO]]),""),"")</f>
        <v>8.8058252427184467</v>
      </c>
    </row>
    <row r="1694" spans="1:11" x14ac:dyDescent="0.3">
      <c r="A1694" s="28">
        <v>46301</v>
      </c>
      <c r="B1694" s="29" t="str">
        <f>UPPER(TEXT(A1694,"MMMM"))</f>
        <v>OUTUBRO</v>
      </c>
      <c r="C1694" s="6" t="s">
        <v>15</v>
      </c>
      <c r="D1694" s="12" t="s">
        <v>12</v>
      </c>
      <c r="E1694" s="30"/>
      <c r="F1694" s="30"/>
      <c r="G1694" s="29"/>
      <c r="H1694" s="31"/>
      <c r="I1694" s="29">
        <f>IFERROR(IF(T_PROD[[#This Row],[PREVISTO]]-T_PROD[[#This Row],[EFETIVO]]&lt; 0,0,T_PROD[[#This Row],[PREVISTO]]-T_PROD[[#This Row],[EFETIVO]] ),"")</f>
        <v>0</v>
      </c>
      <c r="J1694" s="32" t="str">
        <f>IFERROR(IF(T_PROD[[#This Row],[META]]&gt;0,(T_PROD[[#This Row],[META]]/T_PROD[[#This Row],[PREVISTO]]),""),"")</f>
        <v/>
      </c>
      <c r="K1694" s="32" t="str">
        <f>IFERROR(IF(T_PROD[[#This Row],[PRODUÇÃO]]&gt;0,(T_PROD[[#This Row],[PRODUÇÃO]]/T_PROD[[#This Row],[EFETIVO]]),""),"")</f>
        <v/>
      </c>
    </row>
    <row r="1695" spans="1:11" x14ac:dyDescent="0.3">
      <c r="A1695" s="28">
        <v>46301</v>
      </c>
      <c r="B1695" s="29" t="str">
        <f t="shared" ref="B1695:B1702" si="187">UPPER(TEXT(A1695,"MMMM"))</f>
        <v>OUTUBRO</v>
      </c>
      <c r="C1695" s="12" t="s">
        <v>16</v>
      </c>
      <c r="D1695" s="12" t="s">
        <v>12</v>
      </c>
      <c r="E1695" s="30"/>
      <c r="F1695" s="30"/>
      <c r="G1695" s="29"/>
      <c r="H1695" s="31"/>
      <c r="I1695" s="29">
        <f>IFERROR(IF(T_PROD[[#This Row],[PREVISTO]]-T_PROD[[#This Row],[EFETIVO]]&lt; 0,0,T_PROD[[#This Row],[PREVISTO]]-T_PROD[[#This Row],[EFETIVO]] ),"")</f>
        <v>0</v>
      </c>
      <c r="J1695" s="32" t="str">
        <f>IFERROR(IF(T_PROD[[#This Row],[META]]&gt;0,(T_PROD[[#This Row],[META]]/T_PROD[[#This Row],[PREVISTO]]),""),"")</f>
        <v/>
      </c>
      <c r="K1695" s="32" t="str">
        <f>IFERROR(IF(T_PROD[[#This Row],[PRODUÇÃO]]&gt;0,(T_PROD[[#This Row],[PRODUÇÃO]]/T_PROD[[#This Row],[EFETIVO]]),""),"")</f>
        <v/>
      </c>
    </row>
    <row r="1696" spans="1:11" x14ac:dyDescent="0.3">
      <c r="A1696" s="28">
        <v>46301</v>
      </c>
      <c r="B1696" s="29" t="str">
        <f t="shared" si="187"/>
        <v>OUTUBRO</v>
      </c>
      <c r="C1696" s="12" t="s">
        <v>17</v>
      </c>
      <c r="D1696" s="12" t="s">
        <v>12</v>
      </c>
      <c r="E1696" s="30"/>
      <c r="F1696" s="30"/>
      <c r="G1696" s="29"/>
      <c r="H1696" s="31"/>
      <c r="I1696" s="29">
        <f>IFERROR(IF(T_PROD[[#This Row],[PREVISTO]]-T_PROD[[#This Row],[EFETIVO]]&lt; 0,0,T_PROD[[#This Row],[PREVISTO]]-T_PROD[[#This Row],[EFETIVO]] ),"")</f>
        <v>0</v>
      </c>
      <c r="J1696" s="32" t="str">
        <f>IFERROR(IF(T_PROD[[#This Row],[META]]&gt;0,(T_PROD[[#This Row],[META]]/T_PROD[[#This Row],[PREVISTO]]),""),"")</f>
        <v/>
      </c>
      <c r="K1696" s="32" t="str">
        <f>IFERROR(IF(T_PROD[[#This Row],[PRODUÇÃO]]&gt;0,(T_PROD[[#This Row],[PRODUÇÃO]]/T_PROD[[#This Row],[EFETIVO]]),""),"")</f>
        <v/>
      </c>
    </row>
    <row r="1697" spans="1:11" x14ac:dyDescent="0.3">
      <c r="A1697" s="28">
        <v>46301</v>
      </c>
      <c r="B1697" s="29" t="str">
        <f t="shared" si="187"/>
        <v>OUTUBRO</v>
      </c>
      <c r="C1697" s="12" t="s">
        <v>18</v>
      </c>
      <c r="D1697" s="12" t="s">
        <v>12</v>
      </c>
      <c r="E1697" s="30"/>
      <c r="F1697" s="30"/>
      <c r="G1697" s="29"/>
      <c r="H1697" s="31"/>
      <c r="I1697" s="29">
        <f>IFERROR(IF(T_PROD[[#This Row],[PREVISTO]]-T_PROD[[#This Row],[EFETIVO]]&lt; 0,0,T_PROD[[#This Row],[PREVISTO]]-T_PROD[[#This Row],[EFETIVO]] ),"")</f>
        <v>0</v>
      </c>
      <c r="J1697" s="32" t="str">
        <f>IFERROR(IF(T_PROD[[#This Row],[META]]&gt;0,(T_PROD[[#This Row],[META]]/T_PROD[[#This Row],[PREVISTO]]),""),"")</f>
        <v/>
      </c>
      <c r="K1697" s="32" t="str">
        <f>IFERROR(IF(T_PROD[[#This Row],[PRODUÇÃO]]&gt;0,(T_PROD[[#This Row],[PRODUÇÃO]]/T_PROD[[#This Row],[EFETIVO]]),""),"")</f>
        <v/>
      </c>
    </row>
    <row r="1698" spans="1:11" x14ac:dyDescent="0.3">
      <c r="A1698" s="28">
        <v>46301</v>
      </c>
      <c r="B1698" s="29" t="str">
        <f t="shared" si="187"/>
        <v>OUTUBRO</v>
      </c>
      <c r="C1698" s="12" t="s">
        <v>19</v>
      </c>
      <c r="D1698" s="12" t="s">
        <v>12</v>
      </c>
      <c r="E1698" s="30"/>
      <c r="F1698" s="30"/>
      <c r="G1698" s="29"/>
      <c r="H1698" s="31"/>
      <c r="I1698" s="29">
        <f>IFERROR(IF(T_PROD[[#This Row],[PREVISTO]]-T_PROD[[#This Row],[EFETIVO]]&lt; 0,0,T_PROD[[#This Row],[PREVISTO]]-T_PROD[[#This Row],[EFETIVO]] ),"")</f>
        <v>0</v>
      </c>
      <c r="J1698" s="32" t="str">
        <f>IFERROR(IF(T_PROD[[#This Row],[META]]&gt;0,(T_PROD[[#This Row],[META]]/T_PROD[[#This Row],[PREVISTO]]),""),"")</f>
        <v/>
      </c>
      <c r="K1698" s="32" t="str">
        <f>IFERROR(IF(T_PROD[[#This Row],[PRODUÇÃO]]&gt;0,(T_PROD[[#This Row],[PRODUÇÃO]]/T_PROD[[#This Row],[EFETIVO]]),""),"")</f>
        <v/>
      </c>
    </row>
    <row r="1699" spans="1:11" x14ac:dyDescent="0.3">
      <c r="A1699" s="28">
        <v>46301</v>
      </c>
      <c r="B1699" s="29" t="str">
        <f t="shared" si="187"/>
        <v>OUTUBRO</v>
      </c>
      <c r="C1699" s="12" t="s">
        <v>20</v>
      </c>
      <c r="D1699" s="12" t="s">
        <v>12</v>
      </c>
      <c r="E1699" s="30"/>
      <c r="F1699" s="30"/>
      <c r="G1699" s="29"/>
      <c r="H1699" s="31"/>
      <c r="I1699" s="29">
        <f>IFERROR(IF(T_PROD[[#This Row],[PREVISTO]]-T_PROD[[#This Row],[EFETIVO]]&lt; 0,0,T_PROD[[#This Row],[PREVISTO]]-T_PROD[[#This Row],[EFETIVO]] ),"")</f>
        <v>0</v>
      </c>
      <c r="J1699" s="32" t="str">
        <f>IFERROR(IF(T_PROD[[#This Row],[META]]&gt;0,(T_PROD[[#This Row],[META]]/T_PROD[[#This Row],[PREVISTO]]),""),"")</f>
        <v/>
      </c>
      <c r="K1699" s="32" t="str">
        <f>IFERROR(IF(T_PROD[[#This Row],[PRODUÇÃO]]&gt;0,(T_PROD[[#This Row],[PRODUÇÃO]]/T_PROD[[#This Row],[EFETIVO]]),""),"")</f>
        <v/>
      </c>
    </row>
    <row r="1700" spans="1:11" x14ac:dyDescent="0.3">
      <c r="A1700" s="28">
        <v>46301</v>
      </c>
      <c r="B1700" s="29" t="str">
        <f t="shared" si="187"/>
        <v>OUTUBRO</v>
      </c>
      <c r="C1700" s="12" t="s">
        <v>11</v>
      </c>
      <c r="D1700" s="12" t="s">
        <v>12</v>
      </c>
      <c r="E1700" s="30">
        <v>840</v>
      </c>
      <c r="F1700" s="30">
        <v>880</v>
      </c>
      <c r="G1700" s="29">
        <v>42</v>
      </c>
      <c r="H1700" s="31">
        <v>42</v>
      </c>
      <c r="I1700" s="29">
        <f>IFERROR(IF(T_PROD[[#This Row],[PREVISTO]]-T_PROD[[#This Row],[EFETIVO]]&lt; 0,0,T_PROD[[#This Row],[PREVISTO]]-T_PROD[[#This Row],[EFETIVO]] ),"")</f>
        <v>0</v>
      </c>
      <c r="J1700" s="32">
        <f>IFERROR(IF(T_PROD[[#This Row],[META]]&gt;0,(T_PROD[[#This Row],[META]]/T_PROD[[#This Row],[PREVISTO]]),""),"")</f>
        <v>20</v>
      </c>
      <c r="K1700" s="32">
        <f>IFERROR(IF(T_PROD[[#This Row],[PRODUÇÃO]]&gt;0,(T_PROD[[#This Row],[PRODUÇÃO]]/T_PROD[[#This Row],[EFETIVO]]),""),"")</f>
        <v>20.952380952380953</v>
      </c>
    </row>
    <row r="1701" spans="1:11" x14ac:dyDescent="0.3">
      <c r="A1701" s="28">
        <v>46301</v>
      </c>
      <c r="B1701" s="29" t="str">
        <f t="shared" si="187"/>
        <v>OUTUBRO</v>
      </c>
      <c r="C1701" s="12" t="s">
        <v>32</v>
      </c>
      <c r="D1701" s="12" t="s">
        <v>12</v>
      </c>
      <c r="E1701" s="30">
        <v>120</v>
      </c>
      <c r="F1701" s="30">
        <v>125</v>
      </c>
      <c r="G1701" s="29">
        <v>10</v>
      </c>
      <c r="H1701" s="31">
        <v>10</v>
      </c>
      <c r="I1701" s="29">
        <f>IFERROR(IF(T_PROD[[#This Row],[PREVISTO]]-T_PROD[[#This Row],[EFETIVO]]&lt; 0,0,T_PROD[[#This Row],[PREVISTO]]-T_PROD[[#This Row],[EFETIVO]] ),"")</f>
        <v>0</v>
      </c>
      <c r="J1701" s="32">
        <f>IFERROR(IF(T_PROD[[#This Row],[META]]&gt;0,(T_PROD[[#This Row],[META]]/T_PROD[[#This Row],[PREVISTO]]),""),"")</f>
        <v>12</v>
      </c>
      <c r="K1701" s="32">
        <f>IFERROR(IF(T_PROD[[#This Row],[PRODUÇÃO]]&gt;0,(T_PROD[[#This Row],[PRODUÇÃO]]/T_PROD[[#This Row],[EFETIVO]]),""),"")</f>
        <v>12.5</v>
      </c>
    </row>
    <row r="1702" spans="1:11" x14ac:dyDescent="0.3">
      <c r="A1702" s="28">
        <v>46301</v>
      </c>
      <c r="B1702" s="29" t="str">
        <f t="shared" si="187"/>
        <v>OUTUBRO</v>
      </c>
      <c r="C1702" s="12" t="s">
        <v>14</v>
      </c>
      <c r="D1702" s="12" t="s">
        <v>12</v>
      </c>
      <c r="E1702" s="30">
        <v>960</v>
      </c>
      <c r="F1702" s="30">
        <v>1005</v>
      </c>
      <c r="G1702" s="29">
        <v>105</v>
      </c>
      <c r="H1702" s="31">
        <v>103</v>
      </c>
      <c r="I1702" s="29">
        <f>IFERROR(IF(T_PROD[[#This Row],[PREVISTO]]-T_PROD[[#This Row],[EFETIVO]]&lt; 0,0,T_PROD[[#This Row],[PREVISTO]]-T_PROD[[#This Row],[EFETIVO]] ),"")</f>
        <v>2</v>
      </c>
      <c r="J1702" s="32">
        <f>IFERROR(IF(T_PROD[[#This Row],[META]]&gt;0,(T_PROD[[#This Row],[META]]/T_PROD[[#This Row],[PREVISTO]]),""),"")</f>
        <v>9.1428571428571423</v>
      </c>
      <c r="K1702" s="32">
        <f>IFERROR(IF(T_PROD[[#This Row],[PRODUÇÃO]]&gt;0,(T_PROD[[#This Row],[PRODUÇÃO]]/T_PROD[[#This Row],[EFETIVO]]),""),"")</f>
        <v>9.7572815533980588</v>
      </c>
    </row>
    <row r="1703" spans="1:11" x14ac:dyDescent="0.3">
      <c r="A1703" s="28">
        <v>46302</v>
      </c>
      <c r="B1703" s="29" t="str">
        <f>UPPER(TEXT(A1703,"MMMM"))</f>
        <v>OUTUBRO</v>
      </c>
      <c r="C1703" s="6" t="s">
        <v>15</v>
      </c>
      <c r="D1703" s="12" t="s">
        <v>12</v>
      </c>
      <c r="E1703" s="30">
        <v>45</v>
      </c>
      <c r="F1703" s="30">
        <v>6</v>
      </c>
      <c r="G1703" s="29">
        <v>3</v>
      </c>
      <c r="H1703" s="31">
        <v>3</v>
      </c>
      <c r="I1703" s="29">
        <f>IFERROR(IF(T_PROD[[#This Row],[PREVISTO]]-T_PROD[[#This Row],[EFETIVO]]&lt; 0,0,T_PROD[[#This Row],[PREVISTO]]-T_PROD[[#This Row],[EFETIVO]] ),"")</f>
        <v>0</v>
      </c>
      <c r="J1703" s="32">
        <f>IFERROR(IF(T_PROD[[#This Row],[META]]&gt;0,(T_PROD[[#This Row],[META]]/T_PROD[[#This Row],[PREVISTO]]),""),"")</f>
        <v>15</v>
      </c>
      <c r="K1703" s="32">
        <f>IFERROR(IF(T_PROD[[#This Row],[PRODUÇÃO]]&gt;0,(T_PROD[[#This Row],[PRODUÇÃO]]/T_PROD[[#This Row],[EFETIVO]]),""),"")</f>
        <v>2</v>
      </c>
    </row>
    <row r="1704" spans="1:11" x14ac:dyDescent="0.3">
      <c r="A1704" s="28">
        <v>46302</v>
      </c>
      <c r="B1704" s="29" t="str">
        <f t="shared" ref="B1704:B1711" si="188">UPPER(TEXT(A1704,"MMMM"))</f>
        <v>OUTUBRO</v>
      </c>
      <c r="C1704" s="12" t="s">
        <v>16</v>
      </c>
      <c r="D1704" s="12" t="s">
        <v>12</v>
      </c>
      <c r="E1704" s="30">
        <v>272</v>
      </c>
      <c r="F1704" s="30">
        <v>280</v>
      </c>
      <c r="G1704" s="29">
        <v>8</v>
      </c>
      <c r="H1704" s="31">
        <v>8</v>
      </c>
      <c r="I1704" s="29">
        <f>IFERROR(IF(T_PROD[[#This Row],[PREVISTO]]-T_PROD[[#This Row],[EFETIVO]]&lt; 0,0,T_PROD[[#This Row],[PREVISTO]]-T_PROD[[#This Row],[EFETIVO]] ),"")</f>
        <v>0</v>
      </c>
      <c r="J1704" s="32">
        <f>IFERROR(IF(T_PROD[[#This Row],[META]]&gt;0,(T_PROD[[#This Row],[META]]/T_PROD[[#This Row],[PREVISTO]]),""),"")</f>
        <v>34</v>
      </c>
      <c r="K1704" s="32">
        <f>IFERROR(IF(T_PROD[[#This Row],[PRODUÇÃO]]&gt;0,(T_PROD[[#This Row],[PRODUÇÃO]]/T_PROD[[#This Row],[EFETIVO]]),""),"")</f>
        <v>35</v>
      </c>
    </row>
    <row r="1705" spans="1:11" x14ac:dyDescent="0.3">
      <c r="A1705" s="28">
        <v>46302</v>
      </c>
      <c r="B1705" s="29" t="str">
        <f t="shared" si="188"/>
        <v>OUTUBRO</v>
      </c>
      <c r="C1705" s="12" t="s">
        <v>17</v>
      </c>
      <c r="D1705" s="12" t="s">
        <v>12</v>
      </c>
      <c r="E1705" s="30">
        <v>330</v>
      </c>
      <c r="F1705" s="30">
        <v>313</v>
      </c>
      <c r="G1705" s="29">
        <v>16</v>
      </c>
      <c r="H1705" s="31">
        <v>16</v>
      </c>
      <c r="I1705" s="29">
        <f>IFERROR(IF(T_PROD[[#This Row],[PREVISTO]]-T_PROD[[#This Row],[EFETIVO]]&lt; 0,0,T_PROD[[#This Row],[PREVISTO]]-T_PROD[[#This Row],[EFETIVO]] ),"")</f>
        <v>0</v>
      </c>
      <c r="J1705" s="32">
        <f>IFERROR(IF(T_PROD[[#This Row],[META]]&gt;0,(T_PROD[[#This Row],[META]]/T_PROD[[#This Row],[PREVISTO]]),""),"")</f>
        <v>20.625</v>
      </c>
      <c r="K1705" s="32">
        <f>IFERROR(IF(T_PROD[[#This Row],[PRODUÇÃO]]&gt;0,(T_PROD[[#This Row],[PRODUÇÃO]]/T_PROD[[#This Row],[EFETIVO]]),""),"")</f>
        <v>19.5625</v>
      </c>
    </row>
    <row r="1706" spans="1:11" x14ac:dyDescent="0.3">
      <c r="A1706" s="28">
        <v>46302</v>
      </c>
      <c r="B1706" s="29" t="str">
        <f t="shared" si="188"/>
        <v>OUTUBRO</v>
      </c>
      <c r="C1706" s="12" t="s">
        <v>18</v>
      </c>
      <c r="D1706" s="12" t="s">
        <v>12</v>
      </c>
      <c r="E1706" s="30"/>
      <c r="F1706" s="30"/>
      <c r="G1706" s="29"/>
      <c r="H1706" s="31"/>
      <c r="I1706" s="29">
        <f>IFERROR(IF(T_PROD[[#This Row],[PREVISTO]]-T_PROD[[#This Row],[EFETIVO]]&lt; 0,0,T_PROD[[#This Row],[PREVISTO]]-T_PROD[[#This Row],[EFETIVO]] ),"")</f>
        <v>0</v>
      </c>
      <c r="J1706" s="32" t="str">
        <f>IFERROR(IF(T_PROD[[#This Row],[META]]&gt;0,(T_PROD[[#This Row],[META]]/T_PROD[[#This Row],[PREVISTO]]),""),"")</f>
        <v/>
      </c>
      <c r="K1706" s="32" t="str">
        <f>IFERROR(IF(T_PROD[[#This Row],[PRODUÇÃO]]&gt;0,(T_PROD[[#This Row],[PRODUÇÃO]]/T_PROD[[#This Row],[EFETIVO]]),""),"")</f>
        <v/>
      </c>
    </row>
    <row r="1707" spans="1:11" x14ac:dyDescent="0.3">
      <c r="A1707" s="28">
        <v>46302</v>
      </c>
      <c r="B1707" s="29" t="str">
        <f t="shared" si="188"/>
        <v>OUTUBRO</v>
      </c>
      <c r="C1707" s="12" t="s">
        <v>19</v>
      </c>
      <c r="D1707" s="12" t="s">
        <v>12</v>
      </c>
      <c r="E1707" s="30"/>
      <c r="F1707" s="30"/>
      <c r="G1707" s="29"/>
      <c r="H1707" s="31"/>
      <c r="I1707" s="29">
        <f>IFERROR(IF(T_PROD[[#This Row],[PREVISTO]]-T_PROD[[#This Row],[EFETIVO]]&lt; 0,0,T_PROD[[#This Row],[PREVISTO]]-T_PROD[[#This Row],[EFETIVO]] ),"")</f>
        <v>0</v>
      </c>
      <c r="J1707" s="32" t="str">
        <f>IFERROR(IF(T_PROD[[#This Row],[META]]&gt;0,(T_PROD[[#This Row],[META]]/T_PROD[[#This Row],[PREVISTO]]),""),"")</f>
        <v/>
      </c>
      <c r="K1707" s="32" t="str">
        <f>IFERROR(IF(T_PROD[[#This Row],[PRODUÇÃO]]&gt;0,(T_PROD[[#This Row],[PRODUÇÃO]]/T_PROD[[#This Row],[EFETIVO]]),""),"")</f>
        <v/>
      </c>
    </row>
    <row r="1708" spans="1:11" x14ac:dyDescent="0.3">
      <c r="A1708" s="28">
        <v>46302</v>
      </c>
      <c r="B1708" s="29" t="str">
        <f t="shared" si="188"/>
        <v>OUTUBRO</v>
      </c>
      <c r="C1708" s="12" t="s">
        <v>20</v>
      </c>
      <c r="D1708" s="12" t="s">
        <v>12</v>
      </c>
      <c r="E1708" s="30">
        <v>647</v>
      </c>
      <c r="F1708" s="30">
        <v>599</v>
      </c>
      <c r="G1708" s="29">
        <v>120</v>
      </c>
      <c r="H1708" s="31">
        <v>120</v>
      </c>
      <c r="I1708" s="29">
        <f>IFERROR(IF(T_PROD[[#This Row],[PREVISTO]]-T_PROD[[#This Row],[EFETIVO]]&lt; 0,0,T_PROD[[#This Row],[PREVISTO]]-T_PROD[[#This Row],[EFETIVO]] ),"")</f>
        <v>0</v>
      </c>
      <c r="J1708" s="32">
        <f>IFERROR(IF(T_PROD[[#This Row],[META]]&gt;0,(T_PROD[[#This Row],[META]]/T_PROD[[#This Row],[PREVISTO]]),""),"")</f>
        <v>5.3916666666666666</v>
      </c>
      <c r="K1708" s="32">
        <f>IFERROR(IF(T_PROD[[#This Row],[PRODUÇÃO]]&gt;0,(T_PROD[[#This Row],[PRODUÇÃO]]/T_PROD[[#This Row],[EFETIVO]]),""),"")</f>
        <v>4.9916666666666663</v>
      </c>
    </row>
    <row r="1709" spans="1:11" x14ac:dyDescent="0.3">
      <c r="A1709" s="28">
        <v>46302</v>
      </c>
      <c r="B1709" s="29" t="str">
        <f t="shared" si="188"/>
        <v>OUTUBRO</v>
      </c>
      <c r="C1709" s="12" t="s">
        <v>11</v>
      </c>
      <c r="D1709" s="12" t="s">
        <v>12</v>
      </c>
      <c r="E1709" s="30">
        <v>860</v>
      </c>
      <c r="F1709" s="30">
        <v>870</v>
      </c>
      <c r="G1709" s="29">
        <v>43</v>
      </c>
      <c r="H1709" s="31">
        <v>43</v>
      </c>
      <c r="I1709" s="29">
        <f>IFERROR(IF(T_PROD[[#This Row],[PREVISTO]]-T_PROD[[#This Row],[EFETIVO]]&lt; 0,0,T_PROD[[#This Row],[PREVISTO]]-T_PROD[[#This Row],[EFETIVO]] ),"")</f>
        <v>0</v>
      </c>
      <c r="J1709" s="32">
        <f>IFERROR(IF(T_PROD[[#This Row],[META]]&gt;0,(T_PROD[[#This Row],[META]]/T_PROD[[#This Row],[PREVISTO]]),""),"")</f>
        <v>20</v>
      </c>
      <c r="K1709" s="32">
        <f>IFERROR(IF(T_PROD[[#This Row],[PRODUÇÃO]]&gt;0,(T_PROD[[#This Row],[PRODUÇÃO]]/T_PROD[[#This Row],[EFETIVO]]),""),"")</f>
        <v>20.232558139534884</v>
      </c>
    </row>
    <row r="1710" spans="1:11" x14ac:dyDescent="0.3">
      <c r="A1710" s="28">
        <v>46302</v>
      </c>
      <c r="B1710" s="29" t="str">
        <f t="shared" si="188"/>
        <v>OUTUBRO</v>
      </c>
      <c r="C1710" s="12" t="s">
        <v>32</v>
      </c>
      <c r="D1710" s="12" t="s">
        <v>12</v>
      </c>
      <c r="E1710" s="30">
        <v>88</v>
      </c>
      <c r="F1710" s="30">
        <v>94</v>
      </c>
      <c r="G1710" s="29">
        <v>8</v>
      </c>
      <c r="H1710" s="31">
        <v>8</v>
      </c>
      <c r="I1710" s="29">
        <f>IFERROR(IF(T_PROD[[#This Row],[PREVISTO]]-T_PROD[[#This Row],[EFETIVO]]&lt; 0,0,T_PROD[[#This Row],[PREVISTO]]-T_PROD[[#This Row],[EFETIVO]] ),"")</f>
        <v>0</v>
      </c>
      <c r="J1710" s="32">
        <f>IFERROR(IF(T_PROD[[#This Row],[META]]&gt;0,(T_PROD[[#This Row],[META]]/T_PROD[[#This Row],[PREVISTO]]),""),"")</f>
        <v>11</v>
      </c>
      <c r="K1710" s="32">
        <f>IFERROR(IF(T_PROD[[#This Row],[PRODUÇÃO]]&gt;0,(T_PROD[[#This Row],[PRODUÇÃO]]/T_PROD[[#This Row],[EFETIVO]]),""),"")</f>
        <v>11.75</v>
      </c>
    </row>
    <row r="1711" spans="1:11" x14ac:dyDescent="0.3">
      <c r="A1711" s="28">
        <v>46302</v>
      </c>
      <c r="B1711" s="29" t="str">
        <f t="shared" si="188"/>
        <v>OUTUBRO</v>
      </c>
      <c r="C1711" s="12" t="s">
        <v>14</v>
      </c>
      <c r="D1711" s="12" t="s">
        <v>12</v>
      </c>
      <c r="E1711" s="30">
        <v>948</v>
      </c>
      <c r="F1711" s="30">
        <v>964</v>
      </c>
      <c r="G1711" s="29">
        <v>105</v>
      </c>
      <c r="H1711" s="31">
        <v>105</v>
      </c>
      <c r="I1711" s="29">
        <f>IFERROR(IF(T_PROD[[#This Row],[PREVISTO]]-T_PROD[[#This Row],[EFETIVO]]&lt; 0,0,T_PROD[[#This Row],[PREVISTO]]-T_PROD[[#This Row],[EFETIVO]] ),"")</f>
        <v>0</v>
      </c>
      <c r="J1711" s="32">
        <f>IFERROR(IF(T_PROD[[#This Row],[META]]&gt;0,(T_PROD[[#This Row],[META]]/T_PROD[[#This Row],[PREVISTO]]),""),"")</f>
        <v>9.0285714285714285</v>
      </c>
      <c r="K1711" s="32">
        <f>IFERROR(IF(T_PROD[[#This Row],[PRODUÇÃO]]&gt;0,(T_PROD[[#This Row],[PRODUÇÃO]]/T_PROD[[#This Row],[EFETIVO]]),""),"")</f>
        <v>9.1809523809523803</v>
      </c>
    </row>
    <row r="1712" spans="1:11" x14ac:dyDescent="0.3">
      <c r="A1712" s="28">
        <v>46303</v>
      </c>
      <c r="B1712" s="29" t="str">
        <f>UPPER(TEXT(A1712,"MMMM"))</f>
        <v>OUTUBRO</v>
      </c>
      <c r="C1712" s="6" t="s">
        <v>15</v>
      </c>
      <c r="D1712" s="12" t="s">
        <v>12</v>
      </c>
      <c r="E1712" s="30"/>
      <c r="F1712" s="30"/>
      <c r="G1712" s="29"/>
      <c r="H1712" s="31"/>
      <c r="I1712" s="29">
        <f>IFERROR(IF(T_PROD[[#This Row],[PREVISTO]]-T_PROD[[#This Row],[EFETIVO]]&lt; 0,0,T_PROD[[#This Row],[PREVISTO]]-T_PROD[[#This Row],[EFETIVO]] ),"")</f>
        <v>0</v>
      </c>
      <c r="J1712" s="32" t="str">
        <f>IFERROR(IF(T_PROD[[#This Row],[META]]&gt;0,(T_PROD[[#This Row],[META]]/T_PROD[[#This Row],[PREVISTO]]),""),"")</f>
        <v/>
      </c>
      <c r="K1712" s="32" t="str">
        <f>IFERROR(IF(T_PROD[[#This Row],[PRODUÇÃO]]&gt;0,(T_PROD[[#This Row],[PRODUÇÃO]]/T_PROD[[#This Row],[EFETIVO]]),""),"")</f>
        <v/>
      </c>
    </row>
    <row r="1713" spans="1:11" x14ac:dyDescent="0.3">
      <c r="A1713" s="28">
        <v>46303</v>
      </c>
      <c r="B1713" s="29" t="str">
        <f t="shared" ref="B1713:B1720" si="189">UPPER(TEXT(A1713,"MMMM"))</f>
        <v>OUTUBRO</v>
      </c>
      <c r="C1713" s="12" t="s">
        <v>16</v>
      </c>
      <c r="D1713" s="12" t="s">
        <v>12</v>
      </c>
      <c r="E1713" s="30">
        <v>238</v>
      </c>
      <c r="F1713" s="30">
        <v>256</v>
      </c>
      <c r="G1713" s="29">
        <v>8</v>
      </c>
      <c r="H1713" s="31">
        <v>8</v>
      </c>
      <c r="I1713" s="29">
        <f>IFERROR(IF(T_PROD[[#This Row],[PREVISTO]]-T_PROD[[#This Row],[EFETIVO]]&lt; 0,0,T_PROD[[#This Row],[PREVISTO]]-T_PROD[[#This Row],[EFETIVO]] ),"")</f>
        <v>0</v>
      </c>
      <c r="J1713" s="32">
        <f>IFERROR(IF(T_PROD[[#This Row],[META]]&gt;0,(T_PROD[[#This Row],[META]]/T_PROD[[#This Row],[PREVISTO]]),""),"")</f>
        <v>29.75</v>
      </c>
      <c r="K1713" s="32">
        <f>IFERROR(IF(T_PROD[[#This Row],[PRODUÇÃO]]&gt;0,(T_PROD[[#This Row],[PRODUÇÃO]]/T_PROD[[#This Row],[EFETIVO]]),""),"")</f>
        <v>32</v>
      </c>
    </row>
    <row r="1714" spans="1:11" x14ac:dyDescent="0.3">
      <c r="A1714" s="28">
        <v>46303</v>
      </c>
      <c r="B1714" s="29" t="str">
        <f t="shared" si="189"/>
        <v>OUTUBRO</v>
      </c>
      <c r="C1714" s="12" t="s">
        <v>17</v>
      </c>
      <c r="D1714" s="12" t="s">
        <v>12</v>
      </c>
      <c r="E1714" s="30">
        <v>330</v>
      </c>
      <c r="F1714" s="30">
        <v>304</v>
      </c>
      <c r="G1714" s="29">
        <v>16</v>
      </c>
      <c r="H1714" s="31">
        <v>16</v>
      </c>
      <c r="I1714" s="29">
        <f>IFERROR(IF(T_PROD[[#This Row],[PREVISTO]]-T_PROD[[#This Row],[EFETIVO]]&lt; 0,0,T_PROD[[#This Row],[PREVISTO]]-T_PROD[[#This Row],[EFETIVO]] ),"")</f>
        <v>0</v>
      </c>
      <c r="J1714" s="32">
        <f>IFERROR(IF(T_PROD[[#This Row],[META]]&gt;0,(T_PROD[[#This Row],[META]]/T_PROD[[#This Row],[PREVISTO]]),""),"")</f>
        <v>20.625</v>
      </c>
      <c r="K1714" s="32">
        <f>IFERROR(IF(T_PROD[[#This Row],[PRODUÇÃO]]&gt;0,(T_PROD[[#This Row],[PRODUÇÃO]]/T_PROD[[#This Row],[EFETIVO]]),""),"")</f>
        <v>19</v>
      </c>
    </row>
    <row r="1715" spans="1:11" x14ac:dyDescent="0.3">
      <c r="A1715" s="28">
        <v>46303</v>
      </c>
      <c r="B1715" s="29" t="str">
        <f t="shared" si="189"/>
        <v>OUTUBRO</v>
      </c>
      <c r="C1715" s="12" t="s">
        <v>18</v>
      </c>
      <c r="D1715" s="12" t="s">
        <v>12</v>
      </c>
      <c r="E1715" s="30"/>
      <c r="F1715" s="30"/>
      <c r="G1715" s="29"/>
      <c r="H1715" s="31"/>
      <c r="I1715" s="29">
        <f>IFERROR(IF(T_PROD[[#This Row],[PREVISTO]]-T_PROD[[#This Row],[EFETIVO]]&lt; 0,0,T_PROD[[#This Row],[PREVISTO]]-T_PROD[[#This Row],[EFETIVO]] ),"")</f>
        <v>0</v>
      </c>
      <c r="J1715" s="32" t="str">
        <f>IFERROR(IF(T_PROD[[#This Row],[META]]&gt;0,(T_PROD[[#This Row],[META]]/T_PROD[[#This Row],[PREVISTO]]),""),"")</f>
        <v/>
      </c>
      <c r="K1715" s="32" t="str">
        <f>IFERROR(IF(T_PROD[[#This Row],[PRODUÇÃO]]&gt;0,(T_PROD[[#This Row],[PRODUÇÃO]]/T_PROD[[#This Row],[EFETIVO]]),""),"")</f>
        <v/>
      </c>
    </row>
    <row r="1716" spans="1:11" x14ac:dyDescent="0.3">
      <c r="A1716" s="28">
        <v>46303</v>
      </c>
      <c r="B1716" s="29" t="str">
        <f t="shared" si="189"/>
        <v>OUTUBRO</v>
      </c>
      <c r="C1716" s="12" t="s">
        <v>19</v>
      </c>
      <c r="D1716" s="12" t="s">
        <v>12</v>
      </c>
      <c r="E1716" s="30"/>
      <c r="F1716" s="30"/>
      <c r="G1716" s="29"/>
      <c r="H1716" s="31"/>
      <c r="I1716" s="29">
        <f>IFERROR(IF(T_PROD[[#This Row],[PREVISTO]]-T_PROD[[#This Row],[EFETIVO]]&lt; 0,0,T_PROD[[#This Row],[PREVISTO]]-T_PROD[[#This Row],[EFETIVO]] ),"")</f>
        <v>0</v>
      </c>
      <c r="J1716" s="32" t="str">
        <f>IFERROR(IF(T_PROD[[#This Row],[META]]&gt;0,(T_PROD[[#This Row],[META]]/T_PROD[[#This Row],[PREVISTO]]),""),"")</f>
        <v/>
      </c>
      <c r="K1716" s="32" t="str">
        <f>IFERROR(IF(T_PROD[[#This Row],[PRODUÇÃO]]&gt;0,(T_PROD[[#This Row],[PRODUÇÃO]]/T_PROD[[#This Row],[EFETIVO]]),""),"")</f>
        <v/>
      </c>
    </row>
    <row r="1717" spans="1:11" x14ac:dyDescent="0.3">
      <c r="A1717" s="28">
        <v>46303</v>
      </c>
      <c r="B1717" s="29" t="str">
        <f t="shared" si="189"/>
        <v>OUTUBRO</v>
      </c>
      <c r="C1717" s="12" t="s">
        <v>20</v>
      </c>
      <c r="D1717" s="12" t="s">
        <v>12</v>
      </c>
      <c r="E1717" s="30">
        <v>568</v>
      </c>
      <c r="F1717" s="30">
        <v>560</v>
      </c>
      <c r="G1717" s="29">
        <v>120</v>
      </c>
      <c r="H1717" s="31">
        <v>120</v>
      </c>
      <c r="I1717" s="29">
        <f>IFERROR(IF(T_PROD[[#This Row],[PREVISTO]]-T_PROD[[#This Row],[EFETIVO]]&lt; 0,0,T_PROD[[#This Row],[PREVISTO]]-T_PROD[[#This Row],[EFETIVO]] ),"")</f>
        <v>0</v>
      </c>
      <c r="J1717" s="32">
        <f>IFERROR(IF(T_PROD[[#This Row],[META]]&gt;0,(T_PROD[[#This Row],[META]]/T_PROD[[#This Row],[PREVISTO]]),""),"")</f>
        <v>4.7333333333333334</v>
      </c>
      <c r="K1717" s="32">
        <f>IFERROR(IF(T_PROD[[#This Row],[PRODUÇÃO]]&gt;0,(T_PROD[[#This Row],[PRODUÇÃO]]/T_PROD[[#This Row],[EFETIVO]]),""),"")</f>
        <v>4.666666666666667</v>
      </c>
    </row>
    <row r="1718" spans="1:11" x14ac:dyDescent="0.3">
      <c r="A1718" s="28">
        <v>46303</v>
      </c>
      <c r="B1718" s="29" t="str">
        <f t="shared" si="189"/>
        <v>OUTUBRO</v>
      </c>
      <c r="C1718" s="12" t="s">
        <v>11</v>
      </c>
      <c r="D1718" s="12" t="s">
        <v>12</v>
      </c>
      <c r="E1718" s="30">
        <v>840</v>
      </c>
      <c r="F1718" s="30">
        <v>851</v>
      </c>
      <c r="G1718" s="29">
        <v>42</v>
      </c>
      <c r="H1718" s="31">
        <v>42</v>
      </c>
      <c r="I1718" s="29">
        <f>IFERROR(IF(T_PROD[[#This Row],[PREVISTO]]-T_PROD[[#This Row],[EFETIVO]]&lt; 0,0,T_PROD[[#This Row],[PREVISTO]]-T_PROD[[#This Row],[EFETIVO]] ),"")</f>
        <v>0</v>
      </c>
      <c r="J1718" s="32">
        <f>IFERROR(IF(T_PROD[[#This Row],[META]]&gt;0,(T_PROD[[#This Row],[META]]/T_PROD[[#This Row],[PREVISTO]]),""),"")</f>
        <v>20</v>
      </c>
      <c r="K1718" s="32">
        <f>IFERROR(IF(T_PROD[[#This Row],[PRODUÇÃO]]&gt;0,(T_PROD[[#This Row],[PRODUÇÃO]]/T_PROD[[#This Row],[EFETIVO]]),""),"")</f>
        <v>20.261904761904763</v>
      </c>
    </row>
    <row r="1719" spans="1:11" x14ac:dyDescent="0.3">
      <c r="A1719" s="28">
        <v>46303</v>
      </c>
      <c r="B1719" s="29" t="str">
        <f t="shared" si="189"/>
        <v>OUTUBRO</v>
      </c>
      <c r="C1719" s="12" t="s">
        <v>32</v>
      </c>
      <c r="D1719" s="12" t="s">
        <v>12</v>
      </c>
      <c r="E1719" s="30">
        <v>160</v>
      </c>
      <c r="F1719" s="30">
        <v>164</v>
      </c>
      <c r="G1719" s="29">
        <v>14</v>
      </c>
      <c r="H1719" s="31">
        <v>13</v>
      </c>
      <c r="I1719" s="29">
        <f>IFERROR(IF(T_PROD[[#This Row],[PREVISTO]]-T_PROD[[#This Row],[EFETIVO]]&lt; 0,0,T_PROD[[#This Row],[PREVISTO]]-T_PROD[[#This Row],[EFETIVO]] ),"")</f>
        <v>1</v>
      </c>
      <c r="J1719" s="32">
        <f>IFERROR(IF(T_PROD[[#This Row],[META]]&gt;0,(T_PROD[[#This Row],[META]]/T_PROD[[#This Row],[PREVISTO]]),""),"")</f>
        <v>11.428571428571429</v>
      </c>
      <c r="K1719" s="32">
        <f>IFERROR(IF(T_PROD[[#This Row],[PRODUÇÃO]]&gt;0,(T_PROD[[#This Row],[PRODUÇÃO]]/T_PROD[[#This Row],[EFETIVO]]),""),"")</f>
        <v>12.615384615384615</v>
      </c>
    </row>
    <row r="1720" spans="1:11" x14ac:dyDescent="0.3">
      <c r="A1720" s="28">
        <v>46303</v>
      </c>
      <c r="B1720" s="29" t="str">
        <f t="shared" si="189"/>
        <v>OUTUBRO</v>
      </c>
      <c r="C1720" s="12" t="s">
        <v>14</v>
      </c>
      <c r="D1720" s="12" t="s">
        <v>12</v>
      </c>
      <c r="E1720" s="30">
        <v>1000</v>
      </c>
      <c r="F1720" s="30">
        <v>1015</v>
      </c>
      <c r="G1720" s="29">
        <v>105</v>
      </c>
      <c r="H1720" s="31">
        <v>105</v>
      </c>
      <c r="I1720" s="29">
        <f>IFERROR(IF(T_PROD[[#This Row],[PREVISTO]]-T_PROD[[#This Row],[EFETIVO]]&lt; 0,0,T_PROD[[#This Row],[PREVISTO]]-T_PROD[[#This Row],[EFETIVO]] ),"")</f>
        <v>0</v>
      </c>
      <c r="J1720" s="32">
        <f>IFERROR(IF(T_PROD[[#This Row],[META]]&gt;0,(T_PROD[[#This Row],[META]]/T_PROD[[#This Row],[PREVISTO]]),""),"")</f>
        <v>9.5238095238095237</v>
      </c>
      <c r="K1720" s="32">
        <f>IFERROR(IF(T_PROD[[#This Row],[PRODUÇÃO]]&gt;0,(T_PROD[[#This Row],[PRODUÇÃO]]/T_PROD[[#This Row],[EFETIVO]]),""),"")</f>
        <v>9.6666666666666661</v>
      </c>
    </row>
    <row r="1721" spans="1:11" x14ac:dyDescent="0.3">
      <c r="A1721" s="28">
        <v>46304</v>
      </c>
      <c r="B1721" s="29" t="str">
        <f>UPPER(TEXT(A1721,"MMMM"))</f>
        <v>OUTUBRO</v>
      </c>
      <c r="C1721" s="6" t="s">
        <v>15</v>
      </c>
      <c r="D1721" s="12" t="s">
        <v>12</v>
      </c>
      <c r="E1721" s="30">
        <v>45</v>
      </c>
      <c r="F1721" s="30">
        <v>72</v>
      </c>
      <c r="G1721" s="29">
        <v>3</v>
      </c>
      <c r="H1721" s="31">
        <v>3</v>
      </c>
      <c r="I1721" s="29">
        <f>IFERROR(IF(T_PROD[[#This Row],[PREVISTO]]-T_PROD[[#This Row],[EFETIVO]]&lt; 0,0,T_PROD[[#This Row],[PREVISTO]]-T_PROD[[#This Row],[EFETIVO]] ),"")</f>
        <v>0</v>
      </c>
      <c r="J1721" s="32">
        <f>IFERROR(IF(T_PROD[[#This Row],[META]]&gt;0,(T_PROD[[#This Row],[META]]/T_PROD[[#This Row],[PREVISTO]]),""),"")</f>
        <v>15</v>
      </c>
      <c r="K1721" s="32">
        <f>IFERROR(IF(T_PROD[[#This Row],[PRODUÇÃO]]&gt;0,(T_PROD[[#This Row],[PRODUÇÃO]]/T_PROD[[#This Row],[EFETIVO]]),""),"")</f>
        <v>24</v>
      </c>
    </row>
    <row r="1722" spans="1:11" x14ac:dyDescent="0.3">
      <c r="A1722" s="28">
        <v>46304</v>
      </c>
      <c r="B1722" s="29" t="str">
        <f t="shared" ref="B1722:B1729" si="190">UPPER(TEXT(A1722,"MMMM"))</f>
        <v>OUTUBRO</v>
      </c>
      <c r="C1722" s="12" t="s">
        <v>16</v>
      </c>
      <c r="D1722" s="12" t="s">
        <v>12</v>
      </c>
      <c r="E1722" s="30"/>
      <c r="F1722" s="30"/>
      <c r="G1722" s="29"/>
      <c r="H1722" s="31"/>
      <c r="I1722" s="29">
        <f>IFERROR(IF(T_PROD[[#This Row],[PREVISTO]]-T_PROD[[#This Row],[EFETIVO]]&lt; 0,0,T_PROD[[#This Row],[PREVISTO]]-T_PROD[[#This Row],[EFETIVO]] ),"")</f>
        <v>0</v>
      </c>
      <c r="J1722" s="32" t="str">
        <f>IFERROR(IF(T_PROD[[#This Row],[META]]&gt;0,(T_PROD[[#This Row],[META]]/T_PROD[[#This Row],[PREVISTO]]),""),"")</f>
        <v/>
      </c>
      <c r="K1722" s="32" t="str">
        <f>IFERROR(IF(T_PROD[[#This Row],[PRODUÇÃO]]&gt;0,(T_PROD[[#This Row],[PRODUÇÃO]]/T_PROD[[#This Row],[EFETIVO]]),""),"")</f>
        <v/>
      </c>
    </row>
    <row r="1723" spans="1:11" x14ac:dyDescent="0.3">
      <c r="A1723" s="28">
        <v>46304</v>
      </c>
      <c r="B1723" s="29" t="str">
        <f t="shared" si="190"/>
        <v>OUTUBRO</v>
      </c>
      <c r="C1723" s="12" t="s">
        <v>17</v>
      </c>
      <c r="D1723" s="12" t="s">
        <v>12</v>
      </c>
      <c r="E1723" s="30">
        <v>330</v>
      </c>
      <c r="F1723" s="30">
        <v>273</v>
      </c>
      <c r="G1723" s="29">
        <v>16</v>
      </c>
      <c r="H1723" s="31">
        <v>16</v>
      </c>
      <c r="I1723" s="29">
        <f>IFERROR(IF(T_PROD[[#This Row],[PREVISTO]]-T_PROD[[#This Row],[EFETIVO]]&lt; 0,0,T_PROD[[#This Row],[PREVISTO]]-T_PROD[[#This Row],[EFETIVO]] ),"")</f>
        <v>0</v>
      </c>
      <c r="J1723" s="32">
        <f>IFERROR(IF(T_PROD[[#This Row],[META]]&gt;0,(T_PROD[[#This Row],[META]]/T_PROD[[#This Row],[PREVISTO]]),""),"")</f>
        <v>20.625</v>
      </c>
      <c r="K1723" s="32">
        <f>IFERROR(IF(T_PROD[[#This Row],[PRODUÇÃO]]&gt;0,(T_PROD[[#This Row],[PRODUÇÃO]]/T_PROD[[#This Row],[EFETIVO]]),""),"")</f>
        <v>17.0625</v>
      </c>
    </row>
    <row r="1724" spans="1:11" x14ac:dyDescent="0.3">
      <c r="A1724" s="28">
        <v>46304</v>
      </c>
      <c r="B1724" s="29" t="str">
        <f t="shared" si="190"/>
        <v>OUTUBRO</v>
      </c>
      <c r="C1724" s="12" t="s">
        <v>18</v>
      </c>
      <c r="D1724" s="12" t="s">
        <v>12</v>
      </c>
      <c r="E1724" s="30"/>
      <c r="F1724" s="30"/>
      <c r="G1724" s="29"/>
      <c r="H1724" s="31"/>
      <c r="I1724" s="29">
        <f>IFERROR(IF(T_PROD[[#This Row],[PREVISTO]]-T_PROD[[#This Row],[EFETIVO]]&lt; 0,0,T_PROD[[#This Row],[PREVISTO]]-T_PROD[[#This Row],[EFETIVO]] ),"")</f>
        <v>0</v>
      </c>
      <c r="J1724" s="32" t="str">
        <f>IFERROR(IF(T_PROD[[#This Row],[META]]&gt;0,(T_PROD[[#This Row],[META]]/T_PROD[[#This Row],[PREVISTO]]),""),"")</f>
        <v/>
      </c>
      <c r="K1724" s="32" t="str">
        <f>IFERROR(IF(T_PROD[[#This Row],[PRODUÇÃO]]&gt;0,(T_PROD[[#This Row],[PRODUÇÃO]]/T_PROD[[#This Row],[EFETIVO]]),""),"")</f>
        <v/>
      </c>
    </row>
    <row r="1725" spans="1:11" x14ac:dyDescent="0.3">
      <c r="A1725" s="28">
        <v>46304</v>
      </c>
      <c r="B1725" s="29" t="str">
        <f t="shared" si="190"/>
        <v>OUTUBRO</v>
      </c>
      <c r="C1725" s="12" t="s">
        <v>19</v>
      </c>
      <c r="D1725" s="12" t="s">
        <v>12</v>
      </c>
      <c r="E1725" s="30"/>
      <c r="F1725" s="30"/>
      <c r="G1725" s="29"/>
      <c r="H1725" s="31"/>
      <c r="I1725" s="29">
        <f>IFERROR(IF(T_PROD[[#This Row],[PREVISTO]]-T_PROD[[#This Row],[EFETIVO]]&lt; 0,0,T_PROD[[#This Row],[PREVISTO]]-T_PROD[[#This Row],[EFETIVO]] ),"")</f>
        <v>0</v>
      </c>
      <c r="J1725" s="32" t="str">
        <f>IFERROR(IF(T_PROD[[#This Row],[META]]&gt;0,(T_PROD[[#This Row],[META]]/T_PROD[[#This Row],[PREVISTO]]),""),"")</f>
        <v/>
      </c>
      <c r="K1725" s="32" t="str">
        <f>IFERROR(IF(T_PROD[[#This Row],[PRODUÇÃO]]&gt;0,(T_PROD[[#This Row],[PRODUÇÃO]]/T_PROD[[#This Row],[EFETIVO]]),""),"")</f>
        <v/>
      </c>
    </row>
    <row r="1726" spans="1:11" x14ac:dyDescent="0.3">
      <c r="A1726" s="28">
        <v>46304</v>
      </c>
      <c r="B1726" s="29" t="str">
        <f t="shared" si="190"/>
        <v>OUTUBRO</v>
      </c>
      <c r="C1726" s="12" t="s">
        <v>20</v>
      </c>
      <c r="D1726" s="12" t="s">
        <v>12</v>
      </c>
      <c r="E1726" s="30">
        <v>375</v>
      </c>
      <c r="F1726" s="30">
        <v>345</v>
      </c>
      <c r="G1726" s="29">
        <v>120</v>
      </c>
      <c r="H1726" s="31">
        <v>120</v>
      </c>
      <c r="I1726" s="29">
        <f>IFERROR(IF(T_PROD[[#This Row],[PREVISTO]]-T_PROD[[#This Row],[EFETIVO]]&lt; 0,0,T_PROD[[#This Row],[PREVISTO]]-T_PROD[[#This Row],[EFETIVO]] ),"")</f>
        <v>0</v>
      </c>
      <c r="J1726" s="32">
        <f>IFERROR(IF(T_PROD[[#This Row],[META]]&gt;0,(T_PROD[[#This Row],[META]]/T_PROD[[#This Row],[PREVISTO]]),""),"")</f>
        <v>3.125</v>
      </c>
      <c r="K1726" s="32">
        <f>IFERROR(IF(T_PROD[[#This Row],[PRODUÇÃO]]&gt;0,(T_PROD[[#This Row],[PRODUÇÃO]]/T_PROD[[#This Row],[EFETIVO]]),""),"")</f>
        <v>2.875</v>
      </c>
    </row>
    <row r="1727" spans="1:11" x14ac:dyDescent="0.3">
      <c r="A1727" s="28">
        <v>46304</v>
      </c>
      <c r="B1727" s="29" t="str">
        <f t="shared" si="190"/>
        <v>OUTUBRO</v>
      </c>
      <c r="C1727" s="12" t="s">
        <v>11</v>
      </c>
      <c r="D1727" s="12" t="s">
        <v>12</v>
      </c>
      <c r="E1727" s="30">
        <v>660</v>
      </c>
      <c r="F1727" s="30">
        <v>670</v>
      </c>
      <c r="G1727" s="29">
        <v>33</v>
      </c>
      <c r="H1727" s="31">
        <v>33</v>
      </c>
      <c r="I1727" s="29">
        <f>IFERROR(IF(T_PROD[[#This Row],[PREVISTO]]-T_PROD[[#This Row],[EFETIVO]]&lt; 0,0,T_PROD[[#This Row],[PREVISTO]]-T_PROD[[#This Row],[EFETIVO]] ),"")</f>
        <v>0</v>
      </c>
      <c r="J1727" s="32">
        <f>IFERROR(IF(T_PROD[[#This Row],[META]]&gt;0,(T_PROD[[#This Row],[META]]/T_PROD[[#This Row],[PREVISTO]]),""),"")</f>
        <v>20</v>
      </c>
      <c r="K1727" s="32">
        <f>IFERROR(IF(T_PROD[[#This Row],[PRODUÇÃO]]&gt;0,(T_PROD[[#This Row],[PRODUÇÃO]]/T_PROD[[#This Row],[EFETIVO]]),""),"")</f>
        <v>20.303030303030305</v>
      </c>
    </row>
    <row r="1728" spans="1:11" x14ac:dyDescent="0.3">
      <c r="A1728" s="28">
        <v>46304</v>
      </c>
      <c r="B1728" s="29" t="str">
        <f t="shared" si="190"/>
        <v>OUTUBRO</v>
      </c>
      <c r="C1728" s="12" t="s">
        <v>32</v>
      </c>
      <c r="D1728" s="12" t="s">
        <v>12</v>
      </c>
      <c r="E1728" s="30">
        <v>60</v>
      </c>
      <c r="F1728" s="30">
        <v>50</v>
      </c>
      <c r="G1728" s="29">
        <v>6</v>
      </c>
      <c r="H1728" s="31">
        <v>6</v>
      </c>
      <c r="I1728" s="29">
        <f>IFERROR(IF(T_PROD[[#This Row],[PREVISTO]]-T_PROD[[#This Row],[EFETIVO]]&lt; 0,0,T_PROD[[#This Row],[PREVISTO]]-T_PROD[[#This Row],[EFETIVO]] ),"")</f>
        <v>0</v>
      </c>
      <c r="J1728" s="32">
        <f>IFERROR(IF(T_PROD[[#This Row],[META]]&gt;0,(T_PROD[[#This Row],[META]]/T_PROD[[#This Row],[PREVISTO]]),""),"")</f>
        <v>10</v>
      </c>
      <c r="K1728" s="32">
        <f>IFERROR(IF(T_PROD[[#This Row],[PRODUÇÃO]]&gt;0,(T_PROD[[#This Row],[PRODUÇÃO]]/T_PROD[[#This Row],[EFETIVO]]),""),"")</f>
        <v>8.3333333333333339</v>
      </c>
    </row>
    <row r="1729" spans="1:11" x14ac:dyDescent="0.3">
      <c r="A1729" s="28">
        <v>46304</v>
      </c>
      <c r="B1729" s="29" t="str">
        <f t="shared" si="190"/>
        <v>OUTUBRO</v>
      </c>
      <c r="C1729" s="12" t="s">
        <v>14</v>
      </c>
      <c r="D1729" s="12" t="s">
        <v>12</v>
      </c>
      <c r="E1729" s="30">
        <v>720</v>
      </c>
      <c r="F1729" s="30">
        <v>720</v>
      </c>
      <c r="G1729" s="29">
        <v>80</v>
      </c>
      <c r="H1729" s="31">
        <v>78</v>
      </c>
      <c r="I1729" s="29">
        <f>IFERROR(IF(T_PROD[[#This Row],[PREVISTO]]-T_PROD[[#This Row],[EFETIVO]]&lt; 0,0,T_PROD[[#This Row],[PREVISTO]]-T_PROD[[#This Row],[EFETIVO]] ),"")</f>
        <v>2</v>
      </c>
      <c r="J1729" s="32">
        <f>IFERROR(IF(T_PROD[[#This Row],[META]]&gt;0,(T_PROD[[#This Row],[META]]/T_PROD[[#This Row],[PREVISTO]]),""),"")</f>
        <v>9</v>
      </c>
      <c r="K1729" s="32">
        <f>IFERROR(IF(T_PROD[[#This Row],[PRODUÇÃO]]&gt;0,(T_PROD[[#This Row],[PRODUÇÃO]]/T_PROD[[#This Row],[EFETIVO]]),""),"")</f>
        <v>9.2307692307692299</v>
      </c>
    </row>
    <row r="1730" spans="1:11" x14ac:dyDescent="0.3">
      <c r="A1730" s="28">
        <v>46308</v>
      </c>
      <c r="B1730" s="29" t="str">
        <f>UPPER(TEXT(A1730,"MMMM"))</f>
        <v>OUTUBRO</v>
      </c>
      <c r="C1730" s="6" t="s">
        <v>15</v>
      </c>
      <c r="D1730" s="12" t="s">
        <v>12</v>
      </c>
      <c r="E1730" s="30">
        <v>75</v>
      </c>
      <c r="F1730" s="30">
        <v>51</v>
      </c>
      <c r="G1730" s="29">
        <v>5</v>
      </c>
      <c r="H1730" s="31">
        <v>5</v>
      </c>
      <c r="I1730" s="29">
        <f>IFERROR(IF(T_PROD[[#This Row],[PREVISTO]]-T_PROD[[#This Row],[EFETIVO]]&lt; 0,0,T_PROD[[#This Row],[PREVISTO]]-T_PROD[[#This Row],[EFETIVO]] ),"")</f>
        <v>0</v>
      </c>
      <c r="J1730" s="32">
        <f>IFERROR(IF(T_PROD[[#This Row],[META]]&gt;0,(T_PROD[[#This Row],[META]]/T_PROD[[#This Row],[PREVISTO]]),""),"")</f>
        <v>15</v>
      </c>
      <c r="K1730" s="32">
        <f>IFERROR(IF(T_PROD[[#This Row],[PRODUÇÃO]]&gt;0,(T_PROD[[#This Row],[PRODUÇÃO]]/T_PROD[[#This Row],[EFETIVO]]),""),"")</f>
        <v>10.199999999999999</v>
      </c>
    </row>
    <row r="1731" spans="1:11" x14ac:dyDescent="0.3">
      <c r="A1731" s="28">
        <v>46308</v>
      </c>
      <c r="B1731" s="29" t="str">
        <f t="shared" ref="B1731:B1738" si="191">UPPER(TEXT(A1731,"MMMM"))</f>
        <v>OUTUBRO</v>
      </c>
      <c r="C1731" s="12" t="s">
        <v>16</v>
      </c>
      <c r="D1731" s="12" t="s">
        <v>12</v>
      </c>
      <c r="E1731" s="30">
        <v>238</v>
      </c>
      <c r="F1731" s="30">
        <v>230</v>
      </c>
      <c r="G1731" s="29">
        <v>7</v>
      </c>
      <c r="H1731" s="31">
        <v>7</v>
      </c>
      <c r="I1731" s="29">
        <f>IFERROR(IF(T_PROD[[#This Row],[PREVISTO]]-T_PROD[[#This Row],[EFETIVO]]&lt; 0,0,T_PROD[[#This Row],[PREVISTO]]-T_PROD[[#This Row],[EFETIVO]] ),"")</f>
        <v>0</v>
      </c>
      <c r="J1731" s="32">
        <f>IFERROR(IF(T_PROD[[#This Row],[META]]&gt;0,(T_PROD[[#This Row],[META]]/T_PROD[[#This Row],[PREVISTO]]),""),"")</f>
        <v>34</v>
      </c>
      <c r="K1731" s="32">
        <f>IFERROR(IF(T_PROD[[#This Row],[PRODUÇÃO]]&gt;0,(T_PROD[[#This Row],[PRODUÇÃO]]/T_PROD[[#This Row],[EFETIVO]]),""),"")</f>
        <v>32.857142857142854</v>
      </c>
    </row>
    <row r="1732" spans="1:11" x14ac:dyDescent="0.3">
      <c r="A1732" s="28">
        <v>46308</v>
      </c>
      <c r="B1732" s="29" t="str">
        <f t="shared" si="191"/>
        <v>OUTUBRO</v>
      </c>
      <c r="C1732" s="12" t="s">
        <v>17</v>
      </c>
      <c r="D1732" s="12" t="s">
        <v>12</v>
      </c>
      <c r="E1732" s="30">
        <v>352</v>
      </c>
      <c r="F1732" s="30">
        <v>272</v>
      </c>
      <c r="G1732" s="29">
        <v>16</v>
      </c>
      <c r="H1732" s="31">
        <v>16</v>
      </c>
      <c r="I1732" s="29">
        <f>IFERROR(IF(T_PROD[[#This Row],[PREVISTO]]-T_PROD[[#This Row],[EFETIVO]]&lt; 0,0,T_PROD[[#This Row],[PREVISTO]]-T_PROD[[#This Row],[EFETIVO]] ),"")</f>
        <v>0</v>
      </c>
      <c r="J1732" s="32">
        <f>IFERROR(IF(T_PROD[[#This Row],[META]]&gt;0,(T_PROD[[#This Row],[META]]/T_PROD[[#This Row],[PREVISTO]]),""),"")</f>
        <v>22</v>
      </c>
      <c r="K1732" s="32">
        <f>IFERROR(IF(T_PROD[[#This Row],[PRODUÇÃO]]&gt;0,(T_PROD[[#This Row],[PRODUÇÃO]]/T_PROD[[#This Row],[EFETIVO]]),""),"")</f>
        <v>17</v>
      </c>
    </row>
    <row r="1733" spans="1:11" x14ac:dyDescent="0.3">
      <c r="A1733" s="28">
        <v>46308</v>
      </c>
      <c r="B1733" s="29" t="str">
        <f t="shared" si="191"/>
        <v>OUTUBRO</v>
      </c>
      <c r="C1733" s="12" t="s">
        <v>18</v>
      </c>
      <c r="D1733" s="12" t="s">
        <v>12</v>
      </c>
      <c r="E1733" s="30"/>
      <c r="F1733" s="30"/>
      <c r="G1733" s="29"/>
      <c r="H1733" s="31"/>
      <c r="I1733" s="29">
        <f>IFERROR(IF(T_PROD[[#This Row],[PREVISTO]]-T_PROD[[#This Row],[EFETIVO]]&lt; 0,0,T_PROD[[#This Row],[PREVISTO]]-T_PROD[[#This Row],[EFETIVO]] ),"")</f>
        <v>0</v>
      </c>
      <c r="J1733" s="32" t="str">
        <f>IFERROR(IF(T_PROD[[#This Row],[META]]&gt;0,(T_PROD[[#This Row],[META]]/T_PROD[[#This Row],[PREVISTO]]),""),"")</f>
        <v/>
      </c>
      <c r="K1733" s="32" t="str">
        <f>IFERROR(IF(T_PROD[[#This Row],[PRODUÇÃO]]&gt;0,(T_PROD[[#This Row],[PRODUÇÃO]]/T_PROD[[#This Row],[EFETIVO]]),""),"")</f>
        <v/>
      </c>
    </row>
    <row r="1734" spans="1:11" x14ac:dyDescent="0.3">
      <c r="A1734" s="28">
        <v>46308</v>
      </c>
      <c r="B1734" s="29" t="str">
        <f t="shared" si="191"/>
        <v>OUTUBRO</v>
      </c>
      <c r="C1734" s="12" t="s">
        <v>19</v>
      </c>
      <c r="D1734" s="12" t="s">
        <v>12</v>
      </c>
      <c r="E1734" s="30"/>
      <c r="F1734" s="30"/>
      <c r="G1734" s="29"/>
      <c r="H1734" s="31"/>
      <c r="I1734" s="29">
        <f>IFERROR(IF(T_PROD[[#This Row],[PREVISTO]]-T_PROD[[#This Row],[EFETIVO]]&lt; 0,0,T_PROD[[#This Row],[PREVISTO]]-T_PROD[[#This Row],[EFETIVO]] ),"")</f>
        <v>0</v>
      </c>
      <c r="J1734" s="32" t="str">
        <f>IFERROR(IF(T_PROD[[#This Row],[META]]&gt;0,(T_PROD[[#This Row],[META]]/T_PROD[[#This Row],[PREVISTO]]),""),"")</f>
        <v/>
      </c>
      <c r="K1734" s="32" t="str">
        <f>IFERROR(IF(T_PROD[[#This Row],[PRODUÇÃO]]&gt;0,(T_PROD[[#This Row],[PRODUÇÃO]]/T_PROD[[#This Row],[EFETIVO]]),""),"")</f>
        <v/>
      </c>
    </row>
    <row r="1735" spans="1:11" x14ac:dyDescent="0.3">
      <c r="A1735" s="28">
        <v>46308</v>
      </c>
      <c r="B1735" s="29" t="str">
        <f t="shared" si="191"/>
        <v>OUTUBRO</v>
      </c>
      <c r="C1735" s="12" t="s">
        <v>20</v>
      </c>
      <c r="D1735" s="12" t="s">
        <v>12</v>
      </c>
      <c r="E1735" s="30">
        <v>665</v>
      </c>
      <c r="F1735" s="30">
        <v>553</v>
      </c>
      <c r="G1735" s="29">
        <v>120</v>
      </c>
      <c r="H1735" s="31">
        <v>120</v>
      </c>
      <c r="I1735" s="29">
        <f>IFERROR(IF(T_PROD[[#This Row],[PREVISTO]]-T_PROD[[#This Row],[EFETIVO]]&lt; 0,0,T_PROD[[#This Row],[PREVISTO]]-T_PROD[[#This Row],[EFETIVO]] ),"")</f>
        <v>0</v>
      </c>
      <c r="J1735" s="32">
        <f>IFERROR(IF(T_PROD[[#This Row],[META]]&gt;0,(T_PROD[[#This Row],[META]]/T_PROD[[#This Row],[PREVISTO]]),""),"")</f>
        <v>5.541666666666667</v>
      </c>
      <c r="K1735" s="32">
        <f>IFERROR(IF(T_PROD[[#This Row],[PRODUÇÃO]]&gt;0,(T_PROD[[#This Row],[PRODUÇÃO]]/T_PROD[[#This Row],[EFETIVO]]),""),"")</f>
        <v>4.6083333333333334</v>
      </c>
    </row>
    <row r="1736" spans="1:11" x14ac:dyDescent="0.3">
      <c r="A1736" s="28">
        <v>46308</v>
      </c>
      <c r="B1736" s="29" t="str">
        <f t="shared" si="191"/>
        <v>OUTUBRO</v>
      </c>
      <c r="C1736" s="12" t="s">
        <v>11</v>
      </c>
      <c r="D1736" s="12" t="s">
        <v>12</v>
      </c>
      <c r="E1736" s="30">
        <v>760</v>
      </c>
      <c r="F1736" s="30">
        <v>630</v>
      </c>
      <c r="G1736" s="29">
        <v>38</v>
      </c>
      <c r="H1736" s="31">
        <v>38</v>
      </c>
      <c r="I1736" s="29">
        <f>IFERROR(IF(T_PROD[[#This Row],[PREVISTO]]-T_PROD[[#This Row],[EFETIVO]]&lt; 0,0,T_PROD[[#This Row],[PREVISTO]]-T_PROD[[#This Row],[EFETIVO]] ),"")</f>
        <v>0</v>
      </c>
      <c r="J1736" s="32">
        <f>IFERROR(IF(T_PROD[[#This Row],[META]]&gt;0,(T_PROD[[#This Row],[META]]/T_PROD[[#This Row],[PREVISTO]]),""),"")</f>
        <v>20</v>
      </c>
      <c r="K1736" s="32">
        <f>IFERROR(IF(T_PROD[[#This Row],[PRODUÇÃO]]&gt;0,(T_PROD[[#This Row],[PRODUÇÃO]]/T_PROD[[#This Row],[EFETIVO]]),""),"")</f>
        <v>16.578947368421051</v>
      </c>
    </row>
    <row r="1737" spans="1:11" x14ac:dyDescent="0.3">
      <c r="A1737" s="28">
        <v>46308</v>
      </c>
      <c r="B1737" s="29" t="str">
        <f t="shared" si="191"/>
        <v>OUTUBRO</v>
      </c>
      <c r="C1737" s="12" t="s">
        <v>32</v>
      </c>
      <c r="D1737" s="12" t="s">
        <v>12</v>
      </c>
      <c r="E1737" s="30">
        <v>120</v>
      </c>
      <c r="F1737" s="30">
        <v>134</v>
      </c>
      <c r="G1737" s="29">
        <v>10</v>
      </c>
      <c r="H1737" s="31">
        <v>10</v>
      </c>
      <c r="I1737" s="29">
        <f>IFERROR(IF(T_PROD[[#This Row],[PREVISTO]]-T_PROD[[#This Row],[EFETIVO]]&lt; 0,0,T_PROD[[#This Row],[PREVISTO]]-T_PROD[[#This Row],[EFETIVO]] ),"")</f>
        <v>0</v>
      </c>
      <c r="J1737" s="32">
        <f>IFERROR(IF(T_PROD[[#This Row],[META]]&gt;0,(T_PROD[[#This Row],[META]]/T_PROD[[#This Row],[PREVISTO]]),""),"")</f>
        <v>12</v>
      </c>
      <c r="K1737" s="32">
        <f>IFERROR(IF(T_PROD[[#This Row],[PRODUÇÃO]]&gt;0,(T_PROD[[#This Row],[PRODUÇÃO]]/T_PROD[[#This Row],[EFETIVO]]),""),"")</f>
        <v>13.4</v>
      </c>
    </row>
    <row r="1738" spans="1:11" x14ac:dyDescent="0.3">
      <c r="A1738" s="28">
        <v>46308</v>
      </c>
      <c r="B1738" s="29" t="str">
        <f t="shared" si="191"/>
        <v>OUTUBRO</v>
      </c>
      <c r="C1738" s="12" t="s">
        <v>14</v>
      </c>
      <c r="D1738" s="12" t="s">
        <v>12</v>
      </c>
      <c r="E1738" s="30">
        <v>880</v>
      </c>
      <c r="F1738" s="30">
        <v>764</v>
      </c>
      <c r="G1738" s="29">
        <v>95</v>
      </c>
      <c r="H1738" s="31">
        <v>90</v>
      </c>
      <c r="I1738" s="29">
        <f>IFERROR(IF(T_PROD[[#This Row],[PREVISTO]]-T_PROD[[#This Row],[EFETIVO]]&lt; 0,0,T_PROD[[#This Row],[PREVISTO]]-T_PROD[[#This Row],[EFETIVO]] ),"")</f>
        <v>5</v>
      </c>
      <c r="J1738" s="32">
        <f>IFERROR(IF(T_PROD[[#This Row],[META]]&gt;0,(T_PROD[[#This Row],[META]]/T_PROD[[#This Row],[PREVISTO]]),""),"")</f>
        <v>9.2631578947368425</v>
      </c>
      <c r="K1738" s="32">
        <f>IFERROR(IF(T_PROD[[#This Row],[PRODUÇÃO]]&gt;0,(T_PROD[[#This Row],[PRODUÇÃO]]/T_PROD[[#This Row],[EFETIVO]]),""),"")</f>
        <v>8.4888888888888889</v>
      </c>
    </row>
    <row r="1739" spans="1:11" x14ac:dyDescent="0.3">
      <c r="A1739" s="28">
        <v>46309</v>
      </c>
      <c r="B1739" s="29" t="str">
        <f>UPPER(TEXT(A1739,"MMMM"))</f>
        <v>OUTUBRO</v>
      </c>
      <c r="C1739" s="6" t="s">
        <v>15</v>
      </c>
      <c r="D1739" s="12" t="s">
        <v>12</v>
      </c>
      <c r="E1739" s="30">
        <v>60</v>
      </c>
      <c r="F1739" s="30">
        <v>30</v>
      </c>
      <c r="G1739" s="29">
        <v>4</v>
      </c>
      <c r="H1739" s="31">
        <v>4</v>
      </c>
      <c r="I1739" s="29">
        <f>IFERROR(IF(T_PROD[[#This Row],[PREVISTO]]-T_PROD[[#This Row],[EFETIVO]]&lt; 0,0,T_PROD[[#This Row],[PREVISTO]]-T_PROD[[#This Row],[EFETIVO]] ),"")</f>
        <v>0</v>
      </c>
      <c r="J1739" s="32">
        <f>IFERROR(IF(T_PROD[[#This Row],[META]]&gt;0,(T_PROD[[#This Row],[META]]/T_PROD[[#This Row],[PREVISTO]]),""),"")</f>
        <v>15</v>
      </c>
      <c r="K1739" s="32">
        <f>IFERROR(IF(T_PROD[[#This Row],[PRODUÇÃO]]&gt;0,(T_PROD[[#This Row],[PRODUÇÃO]]/T_PROD[[#This Row],[EFETIVO]]),""),"")</f>
        <v>7.5</v>
      </c>
    </row>
    <row r="1740" spans="1:11" x14ac:dyDescent="0.3">
      <c r="A1740" s="28">
        <v>46309</v>
      </c>
      <c r="B1740" s="29" t="str">
        <f t="shared" ref="B1740:B1747" si="192">UPPER(TEXT(A1740,"MMMM"))</f>
        <v>OUTUBRO</v>
      </c>
      <c r="C1740" s="12" t="s">
        <v>16</v>
      </c>
      <c r="D1740" s="12" t="s">
        <v>12</v>
      </c>
      <c r="E1740" s="30">
        <v>238</v>
      </c>
      <c r="F1740" s="30">
        <v>205</v>
      </c>
      <c r="G1740" s="29">
        <v>7</v>
      </c>
      <c r="H1740" s="31">
        <v>7</v>
      </c>
      <c r="I1740" s="29">
        <f>IFERROR(IF(T_PROD[[#This Row],[PREVISTO]]-T_PROD[[#This Row],[EFETIVO]]&lt; 0,0,T_PROD[[#This Row],[PREVISTO]]-T_PROD[[#This Row],[EFETIVO]] ),"")</f>
        <v>0</v>
      </c>
      <c r="J1740" s="32">
        <f>IFERROR(IF(T_PROD[[#This Row],[META]]&gt;0,(T_PROD[[#This Row],[META]]/T_PROD[[#This Row],[PREVISTO]]),""),"")</f>
        <v>34</v>
      </c>
      <c r="K1740" s="32">
        <f>IFERROR(IF(T_PROD[[#This Row],[PRODUÇÃO]]&gt;0,(T_PROD[[#This Row],[PRODUÇÃO]]/T_PROD[[#This Row],[EFETIVO]]),""),"")</f>
        <v>29.285714285714285</v>
      </c>
    </row>
    <row r="1741" spans="1:11" x14ac:dyDescent="0.3">
      <c r="A1741" s="28">
        <v>46309</v>
      </c>
      <c r="B1741" s="29" t="str">
        <f t="shared" si="192"/>
        <v>OUTUBRO</v>
      </c>
      <c r="C1741" s="12" t="s">
        <v>17</v>
      </c>
      <c r="D1741" s="12" t="s">
        <v>12</v>
      </c>
      <c r="E1741" s="30">
        <v>352</v>
      </c>
      <c r="F1741" s="30">
        <v>333</v>
      </c>
      <c r="G1741" s="29">
        <v>16</v>
      </c>
      <c r="H1741" s="31">
        <v>16</v>
      </c>
      <c r="I1741" s="29">
        <f>IFERROR(IF(T_PROD[[#This Row],[PREVISTO]]-T_PROD[[#This Row],[EFETIVO]]&lt; 0,0,T_PROD[[#This Row],[PREVISTO]]-T_PROD[[#This Row],[EFETIVO]] ),"")</f>
        <v>0</v>
      </c>
      <c r="J1741" s="32">
        <f>IFERROR(IF(T_PROD[[#This Row],[META]]&gt;0,(T_PROD[[#This Row],[META]]/T_PROD[[#This Row],[PREVISTO]]),""),"")</f>
        <v>22</v>
      </c>
      <c r="K1741" s="32">
        <f>IFERROR(IF(T_PROD[[#This Row],[PRODUÇÃO]]&gt;0,(T_PROD[[#This Row],[PRODUÇÃO]]/T_PROD[[#This Row],[EFETIVO]]),""),"")</f>
        <v>20.8125</v>
      </c>
    </row>
    <row r="1742" spans="1:11" x14ac:dyDescent="0.3">
      <c r="A1742" s="28">
        <v>46309</v>
      </c>
      <c r="B1742" s="29" t="str">
        <f t="shared" si="192"/>
        <v>OUTUBRO</v>
      </c>
      <c r="C1742" s="12" t="s">
        <v>18</v>
      </c>
      <c r="D1742" s="12" t="s">
        <v>12</v>
      </c>
      <c r="E1742" s="30"/>
      <c r="F1742" s="30"/>
      <c r="G1742" s="29"/>
      <c r="H1742" s="31"/>
      <c r="I1742" s="29">
        <f>IFERROR(IF(T_PROD[[#This Row],[PREVISTO]]-T_PROD[[#This Row],[EFETIVO]]&lt; 0,0,T_PROD[[#This Row],[PREVISTO]]-T_PROD[[#This Row],[EFETIVO]] ),"")</f>
        <v>0</v>
      </c>
      <c r="J1742" s="32" t="str">
        <f>IFERROR(IF(T_PROD[[#This Row],[META]]&gt;0,(T_PROD[[#This Row],[META]]/T_PROD[[#This Row],[PREVISTO]]),""),"")</f>
        <v/>
      </c>
      <c r="K1742" s="32" t="str">
        <f>IFERROR(IF(T_PROD[[#This Row],[PRODUÇÃO]]&gt;0,(T_PROD[[#This Row],[PRODUÇÃO]]/T_PROD[[#This Row],[EFETIVO]]),""),"")</f>
        <v/>
      </c>
    </row>
    <row r="1743" spans="1:11" x14ac:dyDescent="0.3">
      <c r="A1743" s="28">
        <v>46309</v>
      </c>
      <c r="B1743" s="29" t="str">
        <f t="shared" si="192"/>
        <v>OUTUBRO</v>
      </c>
      <c r="C1743" s="12" t="s">
        <v>19</v>
      </c>
      <c r="D1743" s="12" t="s">
        <v>12</v>
      </c>
      <c r="E1743" s="30"/>
      <c r="F1743" s="30"/>
      <c r="G1743" s="29"/>
      <c r="H1743" s="31"/>
      <c r="I1743" s="29">
        <f>IFERROR(IF(T_PROD[[#This Row],[PREVISTO]]-T_PROD[[#This Row],[EFETIVO]]&lt; 0,0,T_PROD[[#This Row],[PREVISTO]]-T_PROD[[#This Row],[EFETIVO]] ),"")</f>
        <v>0</v>
      </c>
      <c r="J1743" s="32" t="str">
        <f>IFERROR(IF(T_PROD[[#This Row],[META]]&gt;0,(T_PROD[[#This Row],[META]]/T_PROD[[#This Row],[PREVISTO]]),""),"")</f>
        <v/>
      </c>
      <c r="K1743" s="32" t="str">
        <f>IFERROR(IF(T_PROD[[#This Row],[PRODUÇÃO]]&gt;0,(T_PROD[[#This Row],[PRODUÇÃO]]/T_PROD[[#This Row],[EFETIVO]]),""),"")</f>
        <v/>
      </c>
    </row>
    <row r="1744" spans="1:11" x14ac:dyDescent="0.3">
      <c r="A1744" s="28">
        <v>46309</v>
      </c>
      <c r="B1744" s="29" t="str">
        <f t="shared" si="192"/>
        <v>OUTUBRO</v>
      </c>
      <c r="C1744" s="12" t="s">
        <v>20</v>
      </c>
      <c r="D1744" s="12" t="s">
        <v>12</v>
      </c>
      <c r="E1744" s="30">
        <v>650</v>
      </c>
      <c r="F1744" s="30">
        <v>568</v>
      </c>
      <c r="G1744" s="29">
        <v>120</v>
      </c>
      <c r="H1744" s="31">
        <v>120</v>
      </c>
      <c r="I1744" s="29">
        <f>IFERROR(IF(T_PROD[[#This Row],[PREVISTO]]-T_PROD[[#This Row],[EFETIVO]]&lt; 0,0,T_PROD[[#This Row],[PREVISTO]]-T_PROD[[#This Row],[EFETIVO]] ),"")</f>
        <v>0</v>
      </c>
      <c r="J1744" s="32">
        <f>IFERROR(IF(T_PROD[[#This Row],[META]]&gt;0,(T_PROD[[#This Row],[META]]/T_PROD[[#This Row],[PREVISTO]]),""),"")</f>
        <v>5.416666666666667</v>
      </c>
      <c r="K1744" s="32">
        <f>IFERROR(IF(T_PROD[[#This Row],[PRODUÇÃO]]&gt;0,(T_PROD[[#This Row],[PRODUÇÃO]]/T_PROD[[#This Row],[EFETIVO]]),""),"")</f>
        <v>4.7333333333333334</v>
      </c>
    </row>
    <row r="1745" spans="1:11" x14ac:dyDescent="0.3">
      <c r="A1745" s="28">
        <v>46309</v>
      </c>
      <c r="B1745" s="29" t="str">
        <f t="shared" si="192"/>
        <v>OUTUBRO</v>
      </c>
      <c r="C1745" s="12" t="s">
        <v>11</v>
      </c>
      <c r="D1745" s="12" t="s">
        <v>12</v>
      </c>
      <c r="E1745" s="30">
        <v>800</v>
      </c>
      <c r="F1745" s="30">
        <v>770</v>
      </c>
      <c r="G1745" s="29">
        <v>40</v>
      </c>
      <c r="H1745" s="31">
        <v>40</v>
      </c>
      <c r="I1745" s="29">
        <f>IFERROR(IF(T_PROD[[#This Row],[PREVISTO]]-T_PROD[[#This Row],[EFETIVO]]&lt; 0,0,T_PROD[[#This Row],[PREVISTO]]-T_PROD[[#This Row],[EFETIVO]] ),"")</f>
        <v>0</v>
      </c>
      <c r="J1745" s="32">
        <f>IFERROR(IF(T_PROD[[#This Row],[META]]&gt;0,(T_PROD[[#This Row],[META]]/T_PROD[[#This Row],[PREVISTO]]),""),"")</f>
        <v>20</v>
      </c>
      <c r="K1745" s="32">
        <f>IFERROR(IF(T_PROD[[#This Row],[PRODUÇÃO]]&gt;0,(T_PROD[[#This Row],[PRODUÇÃO]]/T_PROD[[#This Row],[EFETIVO]]),""),"")</f>
        <v>19.25</v>
      </c>
    </row>
    <row r="1746" spans="1:11" x14ac:dyDescent="0.3">
      <c r="A1746" s="28">
        <v>46309</v>
      </c>
      <c r="B1746" s="29" t="str">
        <f t="shared" si="192"/>
        <v>OUTUBRO</v>
      </c>
      <c r="C1746" s="12" t="s">
        <v>32</v>
      </c>
      <c r="D1746" s="12" t="s">
        <v>12</v>
      </c>
      <c r="E1746" s="30">
        <v>160</v>
      </c>
      <c r="F1746" s="30">
        <v>170</v>
      </c>
      <c r="G1746" s="29">
        <v>14</v>
      </c>
      <c r="H1746" s="31">
        <v>14</v>
      </c>
      <c r="I1746" s="29">
        <f>IFERROR(IF(T_PROD[[#This Row],[PREVISTO]]-T_PROD[[#This Row],[EFETIVO]]&lt; 0,0,T_PROD[[#This Row],[PREVISTO]]-T_PROD[[#This Row],[EFETIVO]] ),"")</f>
        <v>0</v>
      </c>
      <c r="J1746" s="32">
        <f>IFERROR(IF(T_PROD[[#This Row],[META]]&gt;0,(T_PROD[[#This Row],[META]]/T_PROD[[#This Row],[PREVISTO]]),""),"")</f>
        <v>11.428571428571429</v>
      </c>
      <c r="K1746" s="32">
        <f>IFERROR(IF(T_PROD[[#This Row],[PRODUÇÃO]]&gt;0,(T_PROD[[#This Row],[PRODUÇÃO]]/T_PROD[[#This Row],[EFETIVO]]),""),"")</f>
        <v>12.142857142857142</v>
      </c>
    </row>
    <row r="1747" spans="1:11" x14ac:dyDescent="0.3">
      <c r="A1747" s="28">
        <v>46309</v>
      </c>
      <c r="B1747" s="29" t="str">
        <f t="shared" si="192"/>
        <v>OUTUBRO</v>
      </c>
      <c r="C1747" s="12" t="s">
        <v>14</v>
      </c>
      <c r="D1747" s="12" t="s">
        <v>12</v>
      </c>
      <c r="E1747" s="30">
        <v>960</v>
      </c>
      <c r="F1747" s="30">
        <v>940</v>
      </c>
      <c r="G1747" s="29">
        <v>110</v>
      </c>
      <c r="H1747" s="31">
        <v>108</v>
      </c>
      <c r="I1747" s="29">
        <f>IFERROR(IF(T_PROD[[#This Row],[PREVISTO]]-T_PROD[[#This Row],[EFETIVO]]&lt; 0,0,T_PROD[[#This Row],[PREVISTO]]-T_PROD[[#This Row],[EFETIVO]] ),"")</f>
        <v>2</v>
      </c>
      <c r="J1747" s="32">
        <f>IFERROR(IF(T_PROD[[#This Row],[META]]&gt;0,(T_PROD[[#This Row],[META]]/T_PROD[[#This Row],[PREVISTO]]),""),"")</f>
        <v>8.7272727272727266</v>
      </c>
      <c r="K1747" s="32">
        <f>IFERROR(IF(T_PROD[[#This Row],[PRODUÇÃO]]&gt;0,(T_PROD[[#This Row],[PRODUÇÃO]]/T_PROD[[#This Row],[EFETIVO]]),""),"")</f>
        <v>8.7037037037037042</v>
      </c>
    </row>
    <row r="1748" spans="1:11" x14ac:dyDescent="0.3">
      <c r="A1748" s="33">
        <v>46310</v>
      </c>
      <c r="B1748" s="34" t="str">
        <f>UPPER(TEXT(A1748,"MMMM"))</f>
        <v>OUTUBRO</v>
      </c>
      <c r="C1748" s="6" t="s">
        <v>15</v>
      </c>
      <c r="D1748" s="12" t="s">
        <v>12</v>
      </c>
      <c r="E1748" s="35">
        <v>60</v>
      </c>
      <c r="F1748" s="35">
        <v>30</v>
      </c>
      <c r="G1748" s="34">
        <v>4</v>
      </c>
      <c r="H1748" s="36">
        <v>4</v>
      </c>
      <c r="I1748" s="34">
        <f>IFERROR(IF(T_PROD[[#This Row],[PREVISTO]]-T_PROD[[#This Row],[EFETIVO]]&lt; 0,0,T_PROD[[#This Row],[PREVISTO]]-T_PROD[[#This Row],[EFETIVO]] ),"")</f>
        <v>0</v>
      </c>
      <c r="J1748" s="32">
        <f>IFERROR(IF(T_PROD[[#This Row],[META]]&gt;0,(T_PROD[[#This Row],[META]]/T_PROD[[#This Row],[PREVISTO]]),""),"")</f>
        <v>15</v>
      </c>
      <c r="K1748" s="32">
        <f>IFERROR(IF(T_PROD[[#This Row],[PRODUÇÃO]]&gt;0,(T_PROD[[#This Row],[PRODUÇÃO]]/T_PROD[[#This Row],[EFETIVO]]),""),"")</f>
        <v>7.5</v>
      </c>
    </row>
    <row r="1749" spans="1:11" x14ac:dyDescent="0.3">
      <c r="A1749" s="33">
        <v>46310</v>
      </c>
      <c r="B1749" s="34" t="str">
        <f t="shared" ref="B1749:B1756" si="193">UPPER(TEXT(A1749,"MMMM"))</f>
        <v>OUTUBRO</v>
      </c>
      <c r="C1749" s="12" t="s">
        <v>16</v>
      </c>
      <c r="D1749" s="12" t="s">
        <v>12</v>
      </c>
      <c r="E1749" s="35">
        <v>238</v>
      </c>
      <c r="F1749" s="35">
        <v>238</v>
      </c>
      <c r="G1749" s="34">
        <v>7</v>
      </c>
      <c r="H1749" s="36">
        <v>7</v>
      </c>
      <c r="I1749" s="34">
        <f>IFERROR(IF(T_PROD[[#This Row],[PREVISTO]]-T_PROD[[#This Row],[EFETIVO]]&lt; 0,0,T_PROD[[#This Row],[PREVISTO]]-T_PROD[[#This Row],[EFETIVO]] ),"")</f>
        <v>0</v>
      </c>
      <c r="J1749" s="32">
        <f>IFERROR(IF(T_PROD[[#This Row],[META]]&gt;0,(T_PROD[[#This Row],[META]]/T_PROD[[#This Row],[PREVISTO]]),""),"")</f>
        <v>34</v>
      </c>
      <c r="K1749" s="32">
        <f>IFERROR(IF(T_PROD[[#This Row],[PRODUÇÃO]]&gt;0,(T_PROD[[#This Row],[PRODUÇÃO]]/T_PROD[[#This Row],[EFETIVO]]),""),"")</f>
        <v>34</v>
      </c>
    </row>
    <row r="1750" spans="1:11" x14ac:dyDescent="0.3">
      <c r="A1750" s="33">
        <v>46310</v>
      </c>
      <c r="B1750" s="34" t="str">
        <f t="shared" si="193"/>
        <v>OUTUBRO</v>
      </c>
      <c r="C1750" s="12" t="s">
        <v>17</v>
      </c>
      <c r="D1750" s="12" t="s">
        <v>12</v>
      </c>
      <c r="E1750" s="35">
        <v>352</v>
      </c>
      <c r="F1750" s="35">
        <v>398</v>
      </c>
      <c r="G1750" s="34">
        <v>16</v>
      </c>
      <c r="H1750" s="36">
        <v>16</v>
      </c>
      <c r="I1750" s="34">
        <f>IFERROR(IF(T_PROD[[#This Row],[PREVISTO]]-T_PROD[[#This Row],[EFETIVO]]&lt; 0,0,T_PROD[[#This Row],[PREVISTO]]-T_PROD[[#This Row],[EFETIVO]] ),"")</f>
        <v>0</v>
      </c>
      <c r="J1750" s="32">
        <f>IFERROR(IF(T_PROD[[#This Row],[META]]&gt;0,(T_PROD[[#This Row],[META]]/T_PROD[[#This Row],[PREVISTO]]),""),"")</f>
        <v>22</v>
      </c>
      <c r="K1750" s="32">
        <f>IFERROR(IF(T_PROD[[#This Row],[PRODUÇÃO]]&gt;0,(T_PROD[[#This Row],[PRODUÇÃO]]/T_PROD[[#This Row],[EFETIVO]]),""),"")</f>
        <v>24.875</v>
      </c>
    </row>
    <row r="1751" spans="1:11" x14ac:dyDescent="0.3">
      <c r="A1751" s="33">
        <v>46310</v>
      </c>
      <c r="B1751" s="34" t="str">
        <f t="shared" si="193"/>
        <v>OUTUBRO</v>
      </c>
      <c r="C1751" s="12" t="s">
        <v>18</v>
      </c>
      <c r="D1751" s="12" t="s">
        <v>12</v>
      </c>
      <c r="E1751" s="35"/>
      <c r="F1751" s="35"/>
      <c r="G1751" s="34"/>
      <c r="H1751" s="36"/>
      <c r="I1751" s="34">
        <f>IFERROR(IF(T_PROD[[#This Row],[PREVISTO]]-T_PROD[[#This Row],[EFETIVO]]&lt; 0,0,T_PROD[[#This Row],[PREVISTO]]-T_PROD[[#This Row],[EFETIVO]] ),"")</f>
        <v>0</v>
      </c>
      <c r="J1751" s="32" t="str">
        <f>IFERROR(IF(T_PROD[[#This Row],[META]]&gt;0,(T_PROD[[#This Row],[META]]/T_PROD[[#This Row],[PREVISTO]]),""),"")</f>
        <v/>
      </c>
      <c r="K1751" s="32" t="str">
        <f>IFERROR(IF(T_PROD[[#This Row],[PRODUÇÃO]]&gt;0,(T_PROD[[#This Row],[PRODUÇÃO]]/T_PROD[[#This Row],[EFETIVO]]),""),"")</f>
        <v/>
      </c>
    </row>
    <row r="1752" spans="1:11" x14ac:dyDescent="0.3">
      <c r="A1752" s="33">
        <v>46310</v>
      </c>
      <c r="B1752" s="34" t="str">
        <f t="shared" si="193"/>
        <v>OUTUBRO</v>
      </c>
      <c r="C1752" s="12" t="s">
        <v>19</v>
      </c>
      <c r="D1752" s="12" t="s">
        <v>12</v>
      </c>
      <c r="E1752" s="35"/>
      <c r="F1752" s="35"/>
      <c r="G1752" s="34"/>
      <c r="H1752" s="36"/>
      <c r="I1752" s="34">
        <f>IFERROR(IF(T_PROD[[#This Row],[PREVISTO]]-T_PROD[[#This Row],[EFETIVO]]&lt; 0,0,T_PROD[[#This Row],[PREVISTO]]-T_PROD[[#This Row],[EFETIVO]] ),"")</f>
        <v>0</v>
      </c>
      <c r="J1752" s="32" t="str">
        <f>IFERROR(IF(T_PROD[[#This Row],[META]]&gt;0,(T_PROD[[#This Row],[META]]/T_PROD[[#This Row],[PREVISTO]]),""),"")</f>
        <v/>
      </c>
      <c r="K1752" s="32" t="str">
        <f>IFERROR(IF(T_PROD[[#This Row],[PRODUÇÃO]]&gt;0,(T_PROD[[#This Row],[PRODUÇÃO]]/T_PROD[[#This Row],[EFETIVO]]),""),"")</f>
        <v/>
      </c>
    </row>
    <row r="1753" spans="1:11" x14ac:dyDescent="0.3">
      <c r="A1753" s="33">
        <v>46310</v>
      </c>
      <c r="B1753" s="34" t="str">
        <f t="shared" si="193"/>
        <v>OUTUBRO</v>
      </c>
      <c r="C1753" s="12" t="s">
        <v>20</v>
      </c>
      <c r="D1753" s="12" t="s">
        <v>12</v>
      </c>
      <c r="E1753" s="35">
        <v>650</v>
      </c>
      <c r="F1753" s="35">
        <v>666</v>
      </c>
      <c r="G1753" s="34">
        <v>120</v>
      </c>
      <c r="H1753" s="36">
        <v>120</v>
      </c>
      <c r="I1753" s="34">
        <f>IFERROR(IF(T_PROD[[#This Row],[PREVISTO]]-T_PROD[[#This Row],[EFETIVO]]&lt; 0,0,T_PROD[[#This Row],[PREVISTO]]-T_PROD[[#This Row],[EFETIVO]] ),"")</f>
        <v>0</v>
      </c>
      <c r="J1753" s="32">
        <f>IFERROR(IF(T_PROD[[#This Row],[META]]&gt;0,(T_PROD[[#This Row],[META]]/T_PROD[[#This Row],[PREVISTO]]),""),"")</f>
        <v>5.416666666666667</v>
      </c>
      <c r="K1753" s="32">
        <f>IFERROR(IF(T_PROD[[#This Row],[PRODUÇÃO]]&gt;0,(T_PROD[[#This Row],[PRODUÇÃO]]/T_PROD[[#This Row],[EFETIVO]]),""),"")</f>
        <v>5.55</v>
      </c>
    </row>
    <row r="1754" spans="1:11" x14ac:dyDescent="0.3">
      <c r="A1754" s="33">
        <v>46310</v>
      </c>
      <c r="B1754" s="34" t="str">
        <f t="shared" si="193"/>
        <v>OUTUBRO</v>
      </c>
      <c r="C1754" s="12" t="s">
        <v>11</v>
      </c>
      <c r="D1754" s="12" t="s">
        <v>12</v>
      </c>
      <c r="E1754" s="35">
        <v>154</v>
      </c>
      <c r="F1754" s="35">
        <v>161</v>
      </c>
      <c r="G1754" s="34">
        <v>14</v>
      </c>
      <c r="H1754" s="36">
        <v>14</v>
      </c>
      <c r="I1754" s="34">
        <f>IFERROR(IF(T_PROD[[#This Row],[PREVISTO]]-T_PROD[[#This Row],[EFETIVO]]&lt; 0,0,T_PROD[[#This Row],[PREVISTO]]-T_PROD[[#This Row],[EFETIVO]] ),"")</f>
        <v>0</v>
      </c>
      <c r="J1754" s="32">
        <f>IFERROR(IF(T_PROD[[#This Row],[META]]&gt;0,(T_PROD[[#This Row],[META]]/T_PROD[[#This Row],[PREVISTO]]),""),"")</f>
        <v>11</v>
      </c>
      <c r="K1754" s="32">
        <f>IFERROR(IF(T_PROD[[#This Row],[PRODUÇÃO]]&gt;0,(T_PROD[[#This Row],[PRODUÇÃO]]/T_PROD[[#This Row],[EFETIVO]]),""),"")</f>
        <v>11.5</v>
      </c>
    </row>
    <row r="1755" spans="1:11" x14ac:dyDescent="0.3">
      <c r="A1755" s="33">
        <v>46310</v>
      </c>
      <c r="B1755" s="34" t="str">
        <f t="shared" si="193"/>
        <v>OUTUBRO</v>
      </c>
      <c r="C1755" s="12" t="s">
        <v>32</v>
      </c>
      <c r="D1755" s="12" t="s">
        <v>12</v>
      </c>
      <c r="E1755" s="35">
        <v>820</v>
      </c>
      <c r="F1755" s="35">
        <v>830</v>
      </c>
      <c r="G1755" s="34">
        <v>41</v>
      </c>
      <c r="H1755" s="36">
        <v>41</v>
      </c>
      <c r="I1755" s="34">
        <f>IFERROR(IF(T_PROD[[#This Row],[PREVISTO]]-T_PROD[[#This Row],[EFETIVO]]&lt; 0,0,T_PROD[[#This Row],[PREVISTO]]-T_PROD[[#This Row],[EFETIVO]] ),"")</f>
        <v>0</v>
      </c>
      <c r="J1755" s="32">
        <f>IFERROR(IF(T_PROD[[#This Row],[META]]&gt;0,(T_PROD[[#This Row],[META]]/T_PROD[[#This Row],[PREVISTO]]),""),"")</f>
        <v>20</v>
      </c>
      <c r="K1755" s="32">
        <f>IFERROR(IF(T_PROD[[#This Row],[PRODUÇÃO]]&gt;0,(T_PROD[[#This Row],[PRODUÇÃO]]/T_PROD[[#This Row],[EFETIVO]]),""),"")</f>
        <v>20.243902439024389</v>
      </c>
    </row>
    <row r="1756" spans="1:11" x14ac:dyDescent="0.3">
      <c r="A1756" s="33">
        <v>46310</v>
      </c>
      <c r="B1756" s="34" t="str">
        <f t="shared" si="193"/>
        <v>OUTUBRO</v>
      </c>
      <c r="C1756" s="12" t="s">
        <v>14</v>
      </c>
      <c r="D1756" s="12" t="s">
        <v>12</v>
      </c>
      <c r="E1756" s="35">
        <v>974</v>
      </c>
      <c r="F1756" s="35">
        <v>991</v>
      </c>
      <c r="G1756" s="34">
        <v>110</v>
      </c>
      <c r="H1756" s="36">
        <v>107</v>
      </c>
      <c r="I1756" s="34">
        <f>IFERROR(IF(T_PROD[[#This Row],[PREVISTO]]-T_PROD[[#This Row],[EFETIVO]]&lt; 0,0,T_PROD[[#This Row],[PREVISTO]]-T_PROD[[#This Row],[EFETIVO]] ),"")</f>
        <v>3</v>
      </c>
      <c r="J1756" s="32">
        <f>IFERROR(IF(T_PROD[[#This Row],[META]]&gt;0,(T_PROD[[#This Row],[META]]/T_PROD[[#This Row],[PREVISTO]]),""),"")</f>
        <v>8.8545454545454554</v>
      </c>
      <c r="K1756" s="32">
        <f>IFERROR(IF(T_PROD[[#This Row],[PRODUÇÃO]]&gt;0,(T_PROD[[#This Row],[PRODUÇÃO]]/T_PROD[[#This Row],[EFETIVO]]),""),"")</f>
        <v>9.2616822429906538</v>
      </c>
    </row>
    <row r="1757" spans="1:11" x14ac:dyDescent="0.3">
      <c r="A1757" s="7"/>
      <c r="B1757" s="6"/>
      <c r="C1757" s="6"/>
      <c r="D1757" s="6"/>
      <c r="E1757" s="8"/>
      <c r="F1757" s="8"/>
      <c r="G1757" s="6"/>
      <c r="H1757" s="9"/>
      <c r="I1757" s="6"/>
      <c r="J1757" s="10"/>
      <c r="K1757" s="10"/>
    </row>
    <row r="1758" spans="1:11" x14ac:dyDescent="0.3">
      <c r="A1758" s="7"/>
      <c r="B1758" s="6"/>
      <c r="C1758" s="6"/>
      <c r="D1758" s="6"/>
      <c r="E1758" s="8"/>
      <c r="F1758" s="8"/>
      <c r="G1758" s="6"/>
      <c r="H1758" s="9"/>
      <c r="I1758" s="6"/>
      <c r="J1758" s="10"/>
      <c r="K1758" s="10"/>
    </row>
    <row r="1759" spans="1:11" x14ac:dyDescent="0.3">
      <c r="A1759" s="7"/>
      <c r="B1759" s="6"/>
      <c r="C1759" s="6"/>
      <c r="D1759" s="6"/>
      <c r="E1759" s="8"/>
      <c r="F1759" s="8"/>
      <c r="G1759" s="6"/>
      <c r="H1759" s="9"/>
      <c r="I1759" s="6"/>
      <c r="J1759" s="10"/>
      <c r="K1759" s="10"/>
    </row>
    <row r="1760" spans="1:11" x14ac:dyDescent="0.3">
      <c r="A1760" s="7"/>
      <c r="B1760" s="6"/>
      <c r="C1760" s="6"/>
      <c r="D1760" s="6"/>
      <c r="E1760" s="8"/>
      <c r="F1760" s="8"/>
      <c r="G1760" s="6"/>
      <c r="H1760" s="9"/>
      <c r="I1760" s="6"/>
      <c r="J1760" s="10"/>
      <c r="K1760" s="10"/>
    </row>
    <row r="1761" spans="1:11" x14ac:dyDescent="0.3">
      <c r="A1761" s="7"/>
      <c r="B1761" s="6"/>
      <c r="C1761" s="6"/>
      <c r="D1761" s="6"/>
      <c r="E1761" s="8"/>
      <c r="F1761" s="8"/>
      <c r="G1761" s="6"/>
      <c r="H1761" s="9"/>
      <c r="I1761" s="6"/>
      <c r="J1761" s="10"/>
      <c r="K1761" s="10"/>
    </row>
    <row r="1762" spans="1:11" x14ac:dyDescent="0.3">
      <c r="A1762" s="7"/>
      <c r="B1762" s="6"/>
      <c r="C1762" s="6"/>
      <c r="D1762" s="6"/>
      <c r="E1762" s="8"/>
      <c r="F1762" s="8"/>
      <c r="G1762" s="6"/>
      <c r="H1762" s="9"/>
      <c r="I1762" s="6"/>
      <c r="J1762" s="10"/>
      <c r="K1762" s="10"/>
    </row>
    <row r="1763" spans="1:11" x14ac:dyDescent="0.3">
      <c r="A1763" s="7"/>
      <c r="B1763" s="6"/>
      <c r="C1763" s="6"/>
      <c r="D1763" s="6"/>
      <c r="E1763" s="8"/>
      <c r="F1763" s="8"/>
      <c r="G1763" s="6"/>
      <c r="H1763" s="9"/>
      <c r="I1763" s="6"/>
      <c r="J1763" s="10"/>
      <c r="K1763" s="10"/>
    </row>
    <row r="1764" spans="1:11" x14ac:dyDescent="0.3">
      <c r="A1764" s="7"/>
      <c r="B1764" s="6"/>
      <c r="C1764" s="6"/>
      <c r="D1764" s="6"/>
      <c r="E1764" s="8"/>
      <c r="F1764" s="8"/>
      <c r="G1764" s="6"/>
      <c r="H1764" s="9"/>
      <c r="I1764" s="6"/>
      <c r="J1764" s="10"/>
      <c r="K1764" s="10"/>
    </row>
    <row r="1765" spans="1:11" x14ac:dyDescent="0.3">
      <c r="A1765" s="7"/>
      <c r="B1765" s="6"/>
      <c r="C1765" s="6"/>
      <c r="D1765" s="6"/>
      <c r="E1765" s="8"/>
      <c r="F1765" s="8"/>
      <c r="G1765" s="6"/>
      <c r="H1765" s="9"/>
      <c r="I1765" s="6"/>
      <c r="J1765" s="10"/>
      <c r="K1765" s="10"/>
    </row>
    <row r="1766" spans="1:11" x14ac:dyDescent="0.3">
      <c r="A1766" s="7"/>
      <c r="B1766" s="6"/>
      <c r="C1766" s="6"/>
      <c r="D1766" s="6"/>
      <c r="E1766" s="8"/>
      <c r="F1766" s="8"/>
      <c r="G1766" s="6"/>
      <c r="H1766" s="9"/>
      <c r="I1766" s="6"/>
      <c r="J1766" s="10"/>
      <c r="K1766" s="10"/>
    </row>
    <row r="1767" spans="1:11" x14ac:dyDescent="0.3">
      <c r="A1767" s="7"/>
      <c r="B1767" s="6"/>
      <c r="C1767" s="6"/>
      <c r="D1767" s="6"/>
      <c r="E1767" s="8"/>
      <c r="F1767" s="8"/>
      <c r="G1767" s="6"/>
      <c r="H1767" s="9"/>
      <c r="I1767" s="6"/>
      <c r="J1767" s="10"/>
      <c r="K1767" s="10"/>
    </row>
    <row r="1768" spans="1:11" x14ac:dyDescent="0.3">
      <c r="A1768" s="7"/>
      <c r="B1768" s="6"/>
      <c r="C1768" s="6"/>
      <c r="D1768" s="6"/>
      <c r="E1768" s="8"/>
      <c r="F1768" s="8"/>
      <c r="G1768" s="6"/>
      <c r="H1768" s="9"/>
      <c r="I1768" s="6"/>
      <c r="J1768" s="10"/>
      <c r="K1768" s="10"/>
    </row>
    <row r="1769" spans="1:11" x14ac:dyDescent="0.3">
      <c r="A1769" s="7"/>
      <c r="B1769" s="6"/>
      <c r="C1769" s="6"/>
      <c r="D1769" s="6"/>
      <c r="E1769" s="8"/>
      <c r="F1769" s="8"/>
      <c r="G1769" s="6"/>
      <c r="H1769" s="9"/>
      <c r="I1769" s="6"/>
      <c r="J1769" s="10"/>
      <c r="K1769" s="10"/>
    </row>
    <row r="1770" spans="1:11" x14ac:dyDescent="0.3">
      <c r="A1770" s="7"/>
      <c r="B1770" s="6"/>
      <c r="C1770" s="6"/>
      <c r="D1770" s="6"/>
      <c r="E1770" s="8"/>
      <c r="F1770" s="8"/>
      <c r="G1770" s="6"/>
      <c r="H1770" s="9"/>
      <c r="I1770" s="6"/>
      <c r="J1770" s="10"/>
      <c r="K1770" s="10"/>
    </row>
    <row r="1771" spans="1:11" x14ac:dyDescent="0.3">
      <c r="A1771" s="7"/>
      <c r="B1771" s="6"/>
      <c r="C1771" s="6"/>
      <c r="D1771" s="6"/>
      <c r="E1771" s="8"/>
      <c r="F1771" s="8"/>
      <c r="G1771" s="6"/>
      <c r="H1771" s="9"/>
      <c r="I1771" s="6"/>
      <c r="J1771" s="10"/>
      <c r="K1771" s="10"/>
    </row>
    <row r="1772" spans="1:11" x14ac:dyDescent="0.3">
      <c r="A1772" s="7"/>
      <c r="B1772" s="6"/>
      <c r="C1772" s="6"/>
      <c r="D1772" s="6"/>
      <c r="E1772" s="8"/>
      <c r="F1772" s="8"/>
      <c r="G1772" s="6"/>
      <c r="H1772" s="9"/>
      <c r="I1772" s="6"/>
      <c r="J1772" s="10"/>
      <c r="K1772" s="10"/>
    </row>
    <row r="1773" spans="1:11" x14ac:dyDescent="0.3">
      <c r="A1773" s="7"/>
      <c r="B1773" s="6"/>
      <c r="C1773" s="6"/>
      <c r="D1773" s="6"/>
      <c r="E1773" s="8"/>
      <c r="F1773" s="8"/>
      <c r="G1773" s="6"/>
      <c r="H1773" s="9"/>
      <c r="I1773" s="6"/>
      <c r="J1773" s="10"/>
      <c r="K1773" s="10"/>
    </row>
    <row r="1774" spans="1:11" x14ac:dyDescent="0.3">
      <c r="A1774" s="7"/>
      <c r="B1774" s="6"/>
      <c r="C1774" s="6"/>
      <c r="D1774" s="6"/>
      <c r="E1774" s="8"/>
      <c r="F1774" s="8"/>
      <c r="G1774" s="6"/>
      <c r="H1774" s="9"/>
      <c r="I1774" s="6"/>
      <c r="J1774" s="10"/>
      <c r="K1774" s="10"/>
    </row>
    <row r="1775" spans="1:11" x14ac:dyDescent="0.3">
      <c r="A1775" s="7"/>
      <c r="B1775" s="6"/>
      <c r="C1775" s="6"/>
      <c r="D1775" s="6"/>
      <c r="E1775" s="8"/>
      <c r="F1775" s="8"/>
      <c r="G1775" s="6"/>
      <c r="H1775" s="9"/>
      <c r="I1775" s="6"/>
      <c r="J1775" s="10"/>
      <c r="K1775" s="10"/>
    </row>
    <row r="1776" spans="1:11" x14ac:dyDescent="0.3">
      <c r="A1776" s="7"/>
      <c r="B1776" s="6"/>
      <c r="C1776" s="6"/>
      <c r="D1776" s="6"/>
      <c r="E1776" s="8"/>
      <c r="F1776" s="8"/>
      <c r="G1776" s="6"/>
      <c r="H1776" s="9"/>
      <c r="I1776" s="6"/>
      <c r="J1776" s="10"/>
      <c r="K1776" s="10"/>
    </row>
    <row r="1777" spans="1:11" x14ac:dyDescent="0.3">
      <c r="A1777" s="7"/>
      <c r="B1777" s="6"/>
      <c r="C1777" s="6"/>
      <c r="D1777" s="6"/>
      <c r="E1777" s="8"/>
      <c r="F1777" s="8"/>
      <c r="G1777" s="6"/>
      <c r="H1777" s="9"/>
      <c r="I1777" s="6"/>
      <c r="J1777" s="10"/>
      <c r="K1777" s="10"/>
    </row>
    <row r="1778" spans="1:11" x14ac:dyDescent="0.3">
      <c r="A1778" s="7"/>
      <c r="B1778" s="6"/>
      <c r="C1778" s="6"/>
      <c r="D1778" s="6"/>
      <c r="E1778" s="8"/>
      <c r="F1778" s="8"/>
      <c r="G1778" s="6"/>
      <c r="H1778" s="9"/>
      <c r="I1778" s="6"/>
      <c r="J1778" s="10"/>
      <c r="K1778" s="10"/>
    </row>
    <row r="1779" spans="1:11" x14ac:dyDescent="0.3">
      <c r="A1779" s="7"/>
      <c r="B1779" s="6"/>
      <c r="C1779" s="6"/>
      <c r="D1779" s="6"/>
      <c r="E1779" s="8"/>
      <c r="F1779" s="8"/>
      <c r="G1779" s="6"/>
      <c r="H1779" s="9"/>
      <c r="I1779" s="6"/>
      <c r="J1779" s="10"/>
      <c r="K1779" s="10"/>
    </row>
    <row r="1780" spans="1:11" x14ac:dyDescent="0.3">
      <c r="A1780" s="7"/>
      <c r="B1780" s="6"/>
      <c r="C1780" s="6"/>
      <c r="D1780" s="6"/>
      <c r="E1780" s="8"/>
      <c r="F1780" s="8"/>
      <c r="G1780" s="6"/>
      <c r="H1780" s="9"/>
      <c r="I1780" s="6"/>
      <c r="J1780" s="10"/>
      <c r="K1780" s="10"/>
    </row>
    <row r="1781" spans="1:11" x14ac:dyDescent="0.3">
      <c r="A1781" s="7"/>
      <c r="B1781" s="6"/>
      <c r="C1781" s="6"/>
      <c r="D1781" s="6"/>
      <c r="E1781" s="8"/>
      <c r="F1781" s="8"/>
      <c r="G1781" s="6"/>
      <c r="H1781" s="9"/>
      <c r="I1781" s="6"/>
      <c r="J1781" s="10"/>
      <c r="K1781" s="10"/>
    </row>
    <row r="1782" spans="1:11" x14ac:dyDescent="0.3">
      <c r="A1782" s="7"/>
      <c r="B1782" s="6"/>
      <c r="C1782" s="6"/>
      <c r="D1782" s="6"/>
      <c r="E1782" s="8"/>
      <c r="F1782" s="8"/>
      <c r="G1782" s="6"/>
      <c r="H1782" s="9"/>
      <c r="I1782" s="6"/>
      <c r="J1782" s="10"/>
      <c r="K1782" s="10"/>
    </row>
    <row r="1783" spans="1:11" x14ac:dyDescent="0.3">
      <c r="A1783" s="7"/>
      <c r="B1783" s="6"/>
      <c r="C1783" s="6"/>
      <c r="D1783" s="6"/>
      <c r="E1783" s="8"/>
      <c r="F1783" s="8"/>
      <c r="G1783" s="6"/>
      <c r="H1783" s="9"/>
      <c r="I1783" s="6"/>
      <c r="J1783" s="10"/>
      <c r="K1783" s="10"/>
    </row>
    <row r="1784" spans="1:11" x14ac:dyDescent="0.3">
      <c r="A1784" s="7"/>
      <c r="B1784" s="6"/>
      <c r="C1784" s="6"/>
      <c r="D1784" s="6"/>
      <c r="E1784" s="8"/>
      <c r="F1784" s="8"/>
      <c r="G1784" s="6"/>
      <c r="H1784" s="9"/>
      <c r="I1784" s="6"/>
      <c r="J1784" s="10"/>
      <c r="K1784" s="10"/>
    </row>
    <row r="1785" spans="1:11" x14ac:dyDescent="0.3">
      <c r="A1785" s="7"/>
      <c r="B1785" s="6"/>
      <c r="C1785" s="6"/>
      <c r="D1785" s="6"/>
      <c r="E1785" s="8"/>
      <c r="F1785" s="8"/>
      <c r="G1785" s="6"/>
      <c r="H1785" s="9"/>
      <c r="I1785" s="6"/>
      <c r="J1785" s="10"/>
      <c r="K1785" s="10"/>
    </row>
    <row r="1786" spans="1:11" x14ac:dyDescent="0.3">
      <c r="A1786" s="7"/>
      <c r="B1786" s="6"/>
      <c r="C1786" s="6"/>
      <c r="D1786" s="6"/>
      <c r="E1786" s="8"/>
      <c r="F1786" s="8"/>
      <c r="G1786" s="6"/>
      <c r="H1786" s="9"/>
      <c r="I1786" s="6"/>
      <c r="J1786" s="10"/>
      <c r="K1786" s="10"/>
    </row>
    <row r="1787" spans="1:11" x14ac:dyDescent="0.3">
      <c r="A1787" s="7"/>
      <c r="B1787" s="6"/>
      <c r="C1787" s="6"/>
      <c r="D1787" s="6"/>
      <c r="E1787" s="8"/>
      <c r="F1787" s="8"/>
      <c r="G1787" s="6"/>
      <c r="H1787" s="9"/>
      <c r="I1787" s="6"/>
      <c r="J1787" s="10"/>
      <c r="K1787" s="10"/>
    </row>
    <row r="1788" spans="1:11" x14ac:dyDescent="0.3">
      <c r="A1788" s="7"/>
      <c r="B1788" s="6"/>
      <c r="C1788" s="6"/>
      <c r="D1788" s="6"/>
      <c r="E1788" s="8"/>
      <c r="F1788" s="8"/>
      <c r="G1788" s="6"/>
      <c r="H1788" s="9"/>
      <c r="I1788" s="6"/>
      <c r="J1788" s="10"/>
      <c r="K1788" s="10"/>
    </row>
    <row r="1789" spans="1:11" x14ac:dyDescent="0.3">
      <c r="A1789" s="7"/>
      <c r="B1789" s="6"/>
      <c r="C1789" s="6"/>
      <c r="D1789" s="6"/>
      <c r="E1789" s="8"/>
      <c r="F1789" s="8"/>
      <c r="G1789" s="6"/>
      <c r="H1789" s="9"/>
      <c r="I1789" s="6"/>
      <c r="J1789" s="10"/>
      <c r="K1789" s="10"/>
    </row>
    <row r="1790" spans="1:11" x14ac:dyDescent="0.3">
      <c r="A1790" s="7"/>
      <c r="B1790" s="6"/>
      <c r="C1790" s="6"/>
      <c r="D1790" s="6"/>
      <c r="E1790" s="8"/>
      <c r="F1790" s="8"/>
      <c r="G1790" s="6"/>
      <c r="H1790" s="9"/>
      <c r="I1790" s="6"/>
      <c r="J1790" s="10"/>
      <c r="K1790" s="10"/>
    </row>
    <row r="1791" spans="1:11" x14ac:dyDescent="0.3">
      <c r="A1791" s="7"/>
      <c r="B1791" s="6"/>
      <c r="C1791" s="6"/>
      <c r="D1791" s="6"/>
      <c r="E1791" s="8"/>
      <c r="F1791" s="8"/>
      <c r="G1791" s="6"/>
      <c r="H1791" s="9"/>
      <c r="I1791" s="6"/>
      <c r="J1791" s="10"/>
      <c r="K1791" s="10"/>
    </row>
    <row r="1792" spans="1:11" x14ac:dyDescent="0.3">
      <c r="A1792" s="7"/>
      <c r="B1792" s="6"/>
      <c r="C1792" s="6"/>
      <c r="D1792" s="6"/>
      <c r="E1792" s="8"/>
      <c r="F1792" s="8"/>
      <c r="G1792" s="6"/>
      <c r="H1792" s="9"/>
      <c r="I1792" s="6"/>
      <c r="J1792" s="10"/>
      <c r="K1792" s="10"/>
    </row>
    <row r="1793" spans="1:11" x14ac:dyDescent="0.3">
      <c r="A1793" s="7"/>
      <c r="B1793" s="6"/>
      <c r="C1793" s="6"/>
      <c r="D1793" s="6"/>
      <c r="E1793" s="8"/>
      <c r="F1793" s="8"/>
      <c r="G1793" s="6"/>
      <c r="H1793" s="9"/>
      <c r="I1793" s="6"/>
      <c r="J1793" s="10"/>
      <c r="K1793" s="10"/>
    </row>
    <row r="1794" spans="1:11" x14ac:dyDescent="0.3">
      <c r="A1794" s="7"/>
      <c r="B1794" s="6"/>
      <c r="C1794" s="6"/>
      <c r="D1794" s="6"/>
      <c r="E1794" s="8"/>
      <c r="F1794" s="8"/>
      <c r="G1794" s="6"/>
      <c r="H1794" s="9"/>
      <c r="I1794" s="6"/>
      <c r="J1794" s="10"/>
      <c r="K1794" s="10"/>
    </row>
    <row r="1795" spans="1:11" x14ac:dyDescent="0.3">
      <c r="A1795" s="7"/>
      <c r="B1795" s="6"/>
      <c r="C1795" s="6"/>
      <c r="D1795" s="6"/>
      <c r="E1795" s="8"/>
      <c r="F1795" s="8"/>
      <c r="G1795" s="6"/>
      <c r="H1795" s="9"/>
      <c r="I1795" s="6"/>
      <c r="J1795" s="10"/>
      <c r="K1795" s="10"/>
    </row>
    <row r="1796" spans="1:11" x14ac:dyDescent="0.3">
      <c r="A1796" s="7"/>
      <c r="B1796" s="6"/>
      <c r="C1796" s="6"/>
      <c r="D1796" s="6"/>
      <c r="E1796" s="8"/>
      <c r="F1796" s="8"/>
      <c r="G1796" s="6"/>
      <c r="H1796" s="9"/>
      <c r="I1796" s="6"/>
      <c r="J1796" s="10"/>
      <c r="K1796" s="10"/>
    </row>
    <row r="1797" spans="1:11" x14ac:dyDescent="0.3">
      <c r="A1797" s="7"/>
      <c r="B1797" s="6"/>
      <c r="C1797" s="6"/>
      <c r="D1797" s="6"/>
      <c r="E1797" s="8"/>
      <c r="F1797" s="8"/>
      <c r="G1797" s="6"/>
      <c r="H1797" s="9"/>
      <c r="I1797" s="6"/>
      <c r="J1797" s="10"/>
      <c r="K1797" s="10"/>
    </row>
    <row r="1798" spans="1:11" x14ac:dyDescent="0.3">
      <c r="A1798" s="7"/>
      <c r="B1798" s="6"/>
      <c r="C1798" s="6"/>
      <c r="D1798" s="6"/>
      <c r="E1798" s="8"/>
      <c r="F1798" s="8"/>
      <c r="G1798" s="6"/>
      <c r="H1798" s="9"/>
      <c r="I1798" s="6"/>
      <c r="J1798" s="10"/>
      <c r="K1798" s="10"/>
    </row>
    <row r="1799" spans="1:11" x14ac:dyDescent="0.3">
      <c r="A1799" s="7"/>
      <c r="B1799" s="6"/>
      <c r="C1799" s="6"/>
      <c r="D1799" s="6"/>
      <c r="E1799" s="8"/>
      <c r="F1799" s="8"/>
      <c r="G1799" s="6"/>
      <c r="H1799" s="9"/>
      <c r="I1799" s="6"/>
      <c r="J1799" s="10"/>
      <c r="K1799" s="10"/>
    </row>
    <row r="1800" spans="1:11" x14ac:dyDescent="0.3">
      <c r="A1800" s="7"/>
      <c r="B1800" s="6"/>
      <c r="C1800" s="6"/>
      <c r="D1800" s="6"/>
      <c r="E1800" s="8"/>
      <c r="F1800" s="8"/>
      <c r="G1800" s="6"/>
      <c r="H1800" s="9"/>
      <c r="I1800" s="6"/>
      <c r="J1800" s="10"/>
      <c r="K1800" s="10"/>
    </row>
    <row r="1801" spans="1:11" x14ac:dyDescent="0.3">
      <c r="A1801" s="7"/>
      <c r="B1801" s="6"/>
      <c r="C1801" s="6"/>
      <c r="D1801" s="6"/>
      <c r="E1801" s="8"/>
      <c r="F1801" s="8"/>
      <c r="G1801" s="6"/>
      <c r="H1801" s="9"/>
      <c r="I1801" s="6"/>
      <c r="J1801" s="10"/>
      <c r="K1801" s="10"/>
    </row>
    <row r="1802" spans="1:11" x14ac:dyDescent="0.3">
      <c r="A1802" s="7"/>
      <c r="B1802" s="6"/>
      <c r="C1802" s="6"/>
      <c r="D1802" s="6"/>
      <c r="E1802" s="8"/>
      <c r="F1802" s="8"/>
      <c r="G1802" s="6"/>
      <c r="H1802" s="9"/>
      <c r="I1802" s="6"/>
      <c r="J1802" s="10"/>
      <c r="K1802" s="10"/>
    </row>
    <row r="1803" spans="1:11" x14ac:dyDescent="0.3">
      <c r="A1803" s="7"/>
      <c r="B1803" s="6"/>
      <c r="C1803" s="6"/>
      <c r="D1803" s="6"/>
      <c r="E1803" s="8"/>
      <c r="F1803" s="8"/>
      <c r="G1803" s="6"/>
      <c r="H1803" s="9"/>
      <c r="I1803" s="6"/>
      <c r="J1803" s="10"/>
      <c r="K1803" s="10"/>
    </row>
    <row r="1804" spans="1:11" x14ac:dyDescent="0.3">
      <c r="A1804" s="7"/>
      <c r="B1804" s="6"/>
      <c r="C1804" s="6"/>
      <c r="D1804" s="6"/>
      <c r="E1804" s="8"/>
      <c r="F1804" s="8"/>
      <c r="G1804" s="6"/>
      <c r="H1804" s="9"/>
      <c r="I1804" s="6"/>
      <c r="J1804" s="10"/>
      <c r="K1804" s="10"/>
    </row>
    <row r="1805" spans="1:11" x14ac:dyDescent="0.3">
      <c r="A1805" s="7"/>
      <c r="B1805" s="6"/>
      <c r="C1805" s="6"/>
      <c r="D1805" s="6"/>
      <c r="E1805" s="8"/>
      <c r="F1805" s="8"/>
      <c r="G1805" s="6"/>
      <c r="H1805" s="9"/>
      <c r="I1805" s="6"/>
      <c r="J1805" s="10"/>
      <c r="K1805" s="10"/>
    </row>
    <row r="1806" spans="1:11" x14ac:dyDescent="0.3">
      <c r="A1806" s="7"/>
      <c r="B1806" s="6"/>
      <c r="C1806" s="6"/>
      <c r="D1806" s="6"/>
      <c r="E1806" s="8"/>
      <c r="F1806" s="8"/>
      <c r="G1806" s="6"/>
      <c r="H1806" s="9"/>
      <c r="I1806" s="6"/>
      <c r="J1806" s="10"/>
      <c r="K1806" s="10"/>
    </row>
    <row r="1807" spans="1:11" x14ac:dyDescent="0.3">
      <c r="A1807" s="7"/>
      <c r="B1807" s="6"/>
      <c r="C1807" s="6"/>
      <c r="D1807" s="6"/>
      <c r="E1807" s="8"/>
      <c r="F1807" s="8"/>
      <c r="G1807" s="6"/>
      <c r="H1807" s="9"/>
      <c r="I1807" s="6"/>
      <c r="J1807" s="10"/>
      <c r="K1807" s="10"/>
    </row>
    <row r="1808" spans="1:11" x14ac:dyDescent="0.3">
      <c r="A1808" s="7"/>
      <c r="B1808" s="6"/>
      <c r="C1808" s="6"/>
      <c r="D1808" s="6"/>
      <c r="E1808" s="8"/>
      <c r="F1808" s="8"/>
      <c r="G1808" s="6"/>
      <c r="H1808" s="9"/>
      <c r="I1808" s="6"/>
      <c r="J1808" s="10"/>
      <c r="K1808" s="10"/>
    </row>
    <row r="1809" spans="1:11" x14ac:dyDescent="0.3">
      <c r="A1809" s="7"/>
      <c r="B1809" s="6"/>
      <c r="C1809" s="6"/>
      <c r="D1809" s="6"/>
      <c r="E1809" s="8"/>
      <c r="F1809" s="8"/>
      <c r="G1809" s="6"/>
      <c r="H1809" s="9"/>
      <c r="I1809" s="6"/>
      <c r="J1809" s="10"/>
      <c r="K1809" s="10"/>
    </row>
    <row r="1810" spans="1:11" x14ac:dyDescent="0.3">
      <c r="A1810" s="7"/>
      <c r="B1810" s="6"/>
      <c r="C1810" s="6"/>
      <c r="D1810" s="6"/>
      <c r="E1810" s="8"/>
      <c r="F1810" s="8"/>
      <c r="G1810" s="6"/>
      <c r="H1810" s="9"/>
      <c r="I1810" s="6"/>
      <c r="J1810" s="10"/>
      <c r="K1810" s="10"/>
    </row>
    <row r="1811" spans="1:11" x14ac:dyDescent="0.3">
      <c r="A1811" s="7"/>
      <c r="B1811" s="6"/>
      <c r="C1811" s="6"/>
      <c r="D1811" s="6"/>
      <c r="E1811" s="8"/>
      <c r="F1811" s="8"/>
      <c r="G1811" s="6"/>
      <c r="H1811" s="9"/>
      <c r="I1811" s="6"/>
      <c r="J1811" s="10"/>
      <c r="K1811" s="10"/>
    </row>
    <row r="1812" spans="1:11" x14ac:dyDescent="0.3">
      <c r="A1812" s="7"/>
      <c r="B1812" s="6"/>
      <c r="C1812" s="6"/>
      <c r="D1812" s="6"/>
      <c r="E1812" s="8"/>
      <c r="F1812" s="8"/>
      <c r="G1812" s="6"/>
      <c r="H1812" s="9"/>
      <c r="I1812" s="6"/>
      <c r="J1812" s="10"/>
      <c r="K1812" s="10"/>
    </row>
    <row r="1813" spans="1:11" x14ac:dyDescent="0.3">
      <c r="A1813" s="7"/>
      <c r="B1813" s="6"/>
      <c r="C1813" s="6"/>
      <c r="D1813" s="6"/>
      <c r="E1813" s="8"/>
      <c r="F1813" s="8"/>
      <c r="G1813" s="6"/>
      <c r="H1813" s="9"/>
      <c r="I1813" s="6"/>
      <c r="J1813" s="10"/>
      <c r="K1813" s="10"/>
    </row>
    <row r="1814" spans="1:11" x14ac:dyDescent="0.3">
      <c r="A1814" s="7"/>
      <c r="B1814" s="6"/>
      <c r="C1814" s="6"/>
      <c r="D1814" s="6"/>
      <c r="E1814" s="8"/>
      <c r="F1814" s="8"/>
      <c r="G1814" s="6"/>
      <c r="H1814" s="9"/>
      <c r="I1814" s="6"/>
      <c r="J1814" s="10"/>
      <c r="K1814" s="10"/>
    </row>
    <row r="1815" spans="1:11" x14ac:dyDescent="0.3">
      <c r="A1815" s="7"/>
      <c r="B1815" s="6"/>
      <c r="C1815" s="6"/>
      <c r="D1815" s="6"/>
      <c r="E1815" s="8"/>
      <c r="F1815" s="8"/>
      <c r="G1815" s="6"/>
      <c r="H1815" s="9"/>
      <c r="I1815" s="6"/>
      <c r="J1815" s="10"/>
      <c r="K1815" s="10"/>
    </row>
    <row r="1816" spans="1:11" x14ac:dyDescent="0.3">
      <c r="A1816" s="7"/>
      <c r="B1816" s="6"/>
      <c r="C1816" s="6"/>
      <c r="D1816" s="6"/>
      <c r="E1816" s="8"/>
      <c r="F1816" s="8"/>
      <c r="G1816" s="6"/>
      <c r="H1816" s="9"/>
      <c r="I1816" s="6"/>
      <c r="J1816" s="10"/>
      <c r="K1816" s="10"/>
    </row>
    <row r="1817" spans="1:11" x14ac:dyDescent="0.3">
      <c r="A1817" s="7"/>
      <c r="B1817" s="6"/>
      <c r="C1817" s="6"/>
      <c r="D1817" s="6"/>
      <c r="E1817" s="8"/>
      <c r="F1817" s="8"/>
      <c r="G1817" s="6"/>
      <c r="H1817" s="9"/>
      <c r="I1817" s="6"/>
      <c r="J1817" s="10"/>
      <c r="K1817" s="10"/>
    </row>
    <row r="1818" spans="1:11" x14ac:dyDescent="0.3">
      <c r="A1818" s="7"/>
      <c r="B1818" s="6"/>
      <c r="C1818" s="6"/>
      <c r="D1818" s="6"/>
      <c r="E1818" s="8"/>
      <c r="F1818" s="8"/>
      <c r="G1818" s="6"/>
      <c r="H1818" s="9"/>
      <c r="I1818" s="6"/>
      <c r="J1818" s="10"/>
      <c r="K1818" s="10"/>
    </row>
    <row r="1819" spans="1:11" x14ac:dyDescent="0.3">
      <c r="A1819" s="7"/>
      <c r="B1819" s="6"/>
      <c r="C1819" s="6"/>
      <c r="D1819" s="6"/>
      <c r="E1819" s="8"/>
      <c r="F1819" s="8"/>
      <c r="G1819" s="6"/>
      <c r="H1819" s="9"/>
      <c r="I1819" s="6"/>
      <c r="J1819" s="10"/>
      <c r="K1819" s="10"/>
    </row>
    <row r="1820" spans="1:11" x14ac:dyDescent="0.3">
      <c r="A1820" s="7"/>
      <c r="B1820" s="6"/>
      <c r="C1820" s="6"/>
      <c r="D1820" s="6"/>
      <c r="E1820" s="8"/>
      <c r="F1820" s="8"/>
      <c r="G1820" s="6"/>
      <c r="H1820" s="9"/>
      <c r="I1820" s="6"/>
      <c r="J1820" s="10"/>
      <c r="K1820" s="10"/>
    </row>
    <row r="1821" spans="1:11" x14ac:dyDescent="0.3">
      <c r="A1821" s="7"/>
      <c r="B1821" s="6"/>
      <c r="C1821" s="6"/>
      <c r="D1821" s="6"/>
      <c r="E1821" s="8"/>
      <c r="F1821" s="8"/>
      <c r="G1821" s="6"/>
      <c r="H1821" s="9"/>
      <c r="I1821" s="6"/>
      <c r="J1821" s="10"/>
      <c r="K1821" s="10"/>
    </row>
    <row r="1822" spans="1:11" x14ac:dyDescent="0.3">
      <c r="A1822" s="7"/>
      <c r="B1822" s="6"/>
      <c r="C1822" s="6"/>
      <c r="D1822" s="6"/>
      <c r="E1822" s="8"/>
      <c r="F1822" s="8"/>
      <c r="G1822" s="6"/>
      <c r="H1822" s="9"/>
      <c r="I1822" s="6"/>
      <c r="J1822" s="10"/>
      <c r="K1822" s="10"/>
    </row>
    <row r="1823" spans="1:11" x14ac:dyDescent="0.3">
      <c r="A1823" s="7"/>
      <c r="B1823" s="6"/>
      <c r="C1823" s="6"/>
      <c r="D1823" s="6"/>
      <c r="E1823" s="8"/>
      <c r="F1823" s="8"/>
      <c r="G1823" s="6"/>
      <c r="H1823" s="9"/>
      <c r="I1823" s="6"/>
      <c r="J1823" s="10"/>
      <c r="K1823" s="10"/>
    </row>
    <row r="1824" spans="1:11" x14ac:dyDescent="0.3">
      <c r="A1824" s="7"/>
      <c r="B1824" s="6"/>
      <c r="C1824" s="6"/>
      <c r="D1824" s="6"/>
      <c r="E1824" s="8"/>
      <c r="F1824" s="8"/>
      <c r="G1824" s="6"/>
      <c r="H1824" s="9"/>
      <c r="I1824" s="6"/>
      <c r="J1824" s="10"/>
      <c r="K1824" s="10"/>
    </row>
    <row r="1825" spans="1:11" x14ac:dyDescent="0.3">
      <c r="A1825" s="7"/>
      <c r="B1825" s="6"/>
      <c r="C1825" s="6"/>
      <c r="D1825" s="6"/>
      <c r="E1825" s="8"/>
      <c r="F1825" s="8"/>
      <c r="G1825" s="6"/>
      <c r="H1825" s="9"/>
      <c r="I1825" s="6"/>
      <c r="J1825" s="10"/>
      <c r="K1825" s="10"/>
    </row>
    <row r="1826" spans="1:11" x14ac:dyDescent="0.3">
      <c r="A1826" s="7"/>
      <c r="B1826" s="6"/>
      <c r="C1826" s="6"/>
      <c r="D1826" s="6"/>
      <c r="E1826" s="8"/>
      <c r="F1826" s="8"/>
      <c r="G1826" s="6"/>
      <c r="H1826" s="9"/>
      <c r="I1826" s="6"/>
      <c r="J1826" s="10"/>
      <c r="K1826" s="10"/>
    </row>
    <row r="1827" spans="1:11" x14ac:dyDescent="0.3">
      <c r="A1827" s="7"/>
      <c r="B1827" s="6"/>
      <c r="C1827" s="6"/>
      <c r="D1827" s="6"/>
      <c r="E1827" s="8"/>
      <c r="F1827" s="8"/>
      <c r="G1827" s="6"/>
      <c r="H1827" s="9"/>
      <c r="I1827" s="6"/>
      <c r="J1827" s="10"/>
      <c r="K1827" s="10"/>
    </row>
    <row r="1828" spans="1:11" x14ac:dyDescent="0.3">
      <c r="A1828" s="7"/>
      <c r="B1828" s="6"/>
      <c r="C1828" s="6"/>
      <c r="D1828" s="6"/>
      <c r="E1828" s="8"/>
      <c r="F1828" s="8"/>
      <c r="G1828" s="6"/>
      <c r="H1828" s="9"/>
      <c r="I1828" s="6"/>
      <c r="J1828" s="10"/>
      <c r="K1828" s="10"/>
    </row>
    <row r="1829" spans="1:11" x14ac:dyDescent="0.3">
      <c r="A1829" s="7"/>
      <c r="B1829" s="6"/>
      <c r="C1829" s="6"/>
      <c r="D1829" s="6"/>
      <c r="E1829" s="8"/>
      <c r="F1829" s="8"/>
      <c r="G1829" s="6"/>
      <c r="H1829" s="9"/>
      <c r="I1829" s="6"/>
      <c r="J1829" s="10"/>
      <c r="K1829" s="10"/>
    </row>
    <row r="1830" spans="1:11" x14ac:dyDescent="0.3">
      <c r="A1830" s="7"/>
      <c r="B1830" s="6"/>
      <c r="C1830" s="6"/>
      <c r="D1830" s="6"/>
      <c r="E1830" s="8"/>
      <c r="F1830" s="8"/>
      <c r="G1830" s="6"/>
      <c r="H1830" s="9"/>
      <c r="I1830" s="6"/>
      <c r="J1830" s="10"/>
      <c r="K1830" s="10"/>
    </row>
    <row r="1831" spans="1:11" x14ac:dyDescent="0.3">
      <c r="A1831" s="7"/>
      <c r="B1831" s="6"/>
      <c r="C1831" s="6"/>
      <c r="D1831" s="6"/>
      <c r="E1831" s="8"/>
      <c r="F1831" s="8"/>
      <c r="G1831" s="6"/>
      <c r="H1831" s="9"/>
      <c r="I1831" s="6"/>
      <c r="J1831" s="10"/>
      <c r="K1831" s="10"/>
    </row>
    <row r="1832" spans="1:11" x14ac:dyDescent="0.3">
      <c r="A1832" s="7"/>
      <c r="B1832" s="6"/>
      <c r="C1832" s="6"/>
      <c r="D1832" s="6"/>
      <c r="E1832" s="8"/>
      <c r="F1832" s="8"/>
      <c r="G1832" s="6"/>
      <c r="H1832" s="9"/>
      <c r="I1832" s="6"/>
      <c r="J1832" s="10"/>
      <c r="K1832" s="10"/>
    </row>
    <row r="1833" spans="1:11" x14ac:dyDescent="0.3">
      <c r="A1833" s="7"/>
      <c r="B1833" s="6"/>
      <c r="C1833" s="6"/>
      <c r="D1833" s="6"/>
      <c r="E1833" s="8"/>
      <c r="F1833" s="8"/>
      <c r="G1833" s="6"/>
      <c r="H1833" s="9"/>
      <c r="I1833" s="6"/>
      <c r="J1833" s="10"/>
      <c r="K1833" s="10"/>
    </row>
    <row r="1834" spans="1:11" x14ac:dyDescent="0.3">
      <c r="A1834" s="7"/>
      <c r="B1834" s="6"/>
      <c r="C1834" s="6"/>
      <c r="D1834" s="6"/>
      <c r="E1834" s="8"/>
      <c r="F1834" s="8"/>
      <c r="G1834" s="6"/>
      <c r="H1834" s="9"/>
      <c r="I1834" s="6"/>
      <c r="J1834" s="10"/>
      <c r="K1834" s="10"/>
    </row>
    <row r="1835" spans="1:11" x14ac:dyDescent="0.3">
      <c r="A1835" s="7"/>
      <c r="B1835" s="6"/>
      <c r="C1835" s="6"/>
      <c r="D1835" s="6"/>
      <c r="E1835" s="8"/>
      <c r="F1835" s="8"/>
      <c r="G1835" s="6"/>
      <c r="H1835" s="9"/>
      <c r="I1835" s="6"/>
      <c r="J1835" s="10"/>
      <c r="K1835" s="10"/>
    </row>
    <row r="1836" spans="1:11" x14ac:dyDescent="0.3">
      <c r="A1836" s="7"/>
      <c r="B1836" s="6"/>
      <c r="C1836" s="6"/>
      <c r="D1836" s="6"/>
      <c r="E1836" s="8"/>
      <c r="F1836" s="8"/>
      <c r="G1836" s="6"/>
      <c r="H1836" s="9"/>
      <c r="I1836" s="6"/>
      <c r="J1836" s="10"/>
      <c r="K1836" s="10"/>
    </row>
    <row r="1837" spans="1:11" x14ac:dyDescent="0.3">
      <c r="A1837" s="7"/>
      <c r="B1837" s="6"/>
      <c r="C1837" s="6"/>
      <c r="D1837" s="6"/>
      <c r="E1837" s="8"/>
      <c r="F1837" s="8"/>
      <c r="G1837" s="6"/>
      <c r="H1837" s="9"/>
      <c r="I1837" s="6"/>
      <c r="J1837" s="10"/>
      <c r="K1837" s="10"/>
    </row>
    <row r="1838" spans="1:11" x14ac:dyDescent="0.3">
      <c r="A1838" s="7"/>
      <c r="B1838" s="6"/>
      <c r="C1838" s="6"/>
      <c r="D1838" s="6"/>
      <c r="E1838" s="8"/>
      <c r="F1838" s="8"/>
      <c r="G1838" s="6"/>
      <c r="H1838" s="9"/>
      <c r="I1838" s="6"/>
      <c r="J1838" s="10"/>
      <c r="K1838" s="10"/>
    </row>
    <row r="1839" spans="1:11" x14ac:dyDescent="0.3">
      <c r="A1839" s="7"/>
      <c r="B1839" s="6"/>
      <c r="C1839" s="6"/>
      <c r="D1839" s="6"/>
      <c r="E1839" s="8"/>
      <c r="F1839" s="8"/>
      <c r="G1839" s="6"/>
      <c r="H1839" s="9"/>
      <c r="I1839" s="6"/>
      <c r="J1839" s="10"/>
      <c r="K1839" s="10"/>
    </row>
    <row r="1840" spans="1:11" x14ac:dyDescent="0.3">
      <c r="A1840" s="7"/>
      <c r="B1840" s="6"/>
      <c r="C1840" s="6"/>
      <c r="D1840" s="6"/>
      <c r="E1840" s="8"/>
      <c r="F1840" s="8"/>
      <c r="G1840" s="6"/>
      <c r="H1840" s="9"/>
      <c r="I1840" s="6"/>
      <c r="J1840" s="10"/>
      <c r="K1840" s="10"/>
    </row>
    <row r="1841" spans="1:11" x14ac:dyDescent="0.3">
      <c r="A1841" s="7"/>
      <c r="B1841" s="6"/>
      <c r="C1841" s="6"/>
      <c r="D1841" s="6"/>
      <c r="E1841" s="8"/>
      <c r="F1841" s="8"/>
      <c r="G1841" s="6"/>
      <c r="H1841" s="9"/>
      <c r="I1841" s="6"/>
      <c r="J1841" s="10"/>
      <c r="K1841" s="10"/>
    </row>
    <row r="1842" spans="1:11" x14ac:dyDescent="0.3">
      <c r="A1842" s="7"/>
      <c r="B1842" s="6"/>
      <c r="C1842" s="6"/>
      <c r="D1842" s="6"/>
      <c r="E1842" s="8"/>
      <c r="F1842" s="8"/>
      <c r="G1842" s="6"/>
      <c r="H1842" s="9"/>
      <c r="I1842" s="6"/>
      <c r="J1842" s="10"/>
      <c r="K1842" s="10"/>
    </row>
    <row r="1843" spans="1:11" x14ac:dyDescent="0.3">
      <c r="A1843" s="7"/>
      <c r="B1843" s="6"/>
      <c r="C1843" s="6"/>
      <c r="D1843" s="6"/>
      <c r="E1843" s="8"/>
      <c r="F1843" s="8"/>
      <c r="G1843" s="6"/>
      <c r="H1843" s="9"/>
      <c r="I1843" s="6"/>
      <c r="J1843" s="10"/>
      <c r="K1843" s="10"/>
    </row>
    <row r="1844" spans="1:11" x14ac:dyDescent="0.3">
      <c r="A1844" s="7"/>
      <c r="B1844" s="6"/>
      <c r="C1844" s="6"/>
      <c r="D1844" s="6"/>
      <c r="E1844" s="8"/>
      <c r="F1844" s="8"/>
      <c r="G1844" s="6"/>
      <c r="H1844" s="9"/>
      <c r="I1844" s="6"/>
      <c r="J1844" s="10"/>
      <c r="K1844" s="10"/>
    </row>
    <row r="1845" spans="1:11" x14ac:dyDescent="0.3">
      <c r="A1845" s="7"/>
      <c r="B1845" s="6"/>
      <c r="C1845" s="6"/>
      <c r="D1845" s="6"/>
      <c r="E1845" s="8"/>
      <c r="F1845" s="8"/>
      <c r="G1845" s="6"/>
      <c r="H1845" s="9"/>
      <c r="I1845" s="6"/>
      <c r="J1845" s="10"/>
      <c r="K1845" s="10"/>
    </row>
    <row r="1846" spans="1:11" x14ac:dyDescent="0.3">
      <c r="A1846" s="7"/>
      <c r="B1846" s="6"/>
      <c r="C1846" s="6"/>
      <c r="D1846" s="6"/>
      <c r="E1846" s="8"/>
      <c r="F1846" s="8"/>
      <c r="G1846" s="6"/>
      <c r="H1846" s="9"/>
      <c r="I1846" s="6"/>
      <c r="J1846" s="10"/>
      <c r="K1846" s="10"/>
    </row>
    <row r="1847" spans="1:11" x14ac:dyDescent="0.3">
      <c r="A1847" s="7"/>
      <c r="B1847" s="6"/>
      <c r="C1847" s="6"/>
      <c r="D1847" s="6"/>
      <c r="E1847" s="8"/>
      <c r="F1847" s="8"/>
      <c r="G1847" s="6"/>
      <c r="H1847" s="9"/>
      <c r="I1847" s="6"/>
      <c r="J1847" s="10"/>
      <c r="K1847" s="10"/>
    </row>
    <row r="1848" spans="1:11" x14ac:dyDescent="0.3">
      <c r="A1848" s="7"/>
      <c r="B1848" s="6"/>
      <c r="C1848" s="6"/>
      <c r="D1848" s="6"/>
      <c r="E1848" s="8"/>
      <c r="F1848" s="8"/>
      <c r="G1848" s="6"/>
      <c r="H1848" s="9"/>
      <c r="I1848" s="6"/>
      <c r="J1848" s="10"/>
      <c r="K1848" s="10"/>
    </row>
    <row r="1849" spans="1:11" x14ac:dyDescent="0.3">
      <c r="A1849" s="7"/>
      <c r="B1849" s="6"/>
      <c r="C1849" s="6"/>
      <c r="D1849" s="6"/>
      <c r="E1849" s="8"/>
      <c r="F1849" s="8"/>
      <c r="G1849" s="6"/>
      <c r="H1849" s="9"/>
      <c r="I1849" s="6"/>
      <c r="J1849" s="10"/>
      <c r="K1849" s="10"/>
    </row>
    <row r="1850" spans="1:11" x14ac:dyDescent="0.3">
      <c r="A1850" s="7"/>
      <c r="B1850" s="6"/>
      <c r="C1850" s="6"/>
      <c r="D1850" s="6"/>
      <c r="E1850" s="8"/>
      <c r="F1850" s="8"/>
      <c r="G1850" s="6"/>
      <c r="H1850" s="9"/>
      <c r="I1850" s="6"/>
      <c r="J1850" s="10"/>
      <c r="K1850" s="10"/>
    </row>
    <row r="1851" spans="1:11" x14ac:dyDescent="0.3">
      <c r="A1851" s="7"/>
      <c r="B1851" s="6"/>
      <c r="C1851" s="6"/>
      <c r="D1851" s="6"/>
      <c r="E1851" s="8"/>
      <c r="F1851" s="8"/>
      <c r="G1851" s="6"/>
      <c r="H1851" s="9"/>
      <c r="I1851" s="6"/>
      <c r="J1851" s="10"/>
      <c r="K1851" s="10"/>
    </row>
    <row r="1852" spans="1:11" x14ac:dyDescent="0.3">
      <c r="A1852" s="7"/>
      <c r="B1852" s="6"/>
      <c r="C1852" s="6"/>
      <c r="D1852" s="6"/>
      <c r="E1852" s="8"/>
      <c r="F1852" s="8"/>
      <c r="G1852" s="6"/>
      <c r="H1852" s="9"/>
      <c r="I1852" s="6"/>
      <c r="J1852" s="10"/>
      <c r="K1852" s="10"/>
    </row>
    <row r="1853" spans="1:11" x14ac:dyDescent="0.3">
      <c r="A1853" s="7"/>
      <c r="B1853" s="6"/>
      <c r="C1853" s="6"/>
      <c r="D1853" s="6"/>
      <c r="E1853" s="8"/>
      <c r="F1853" s="8"/>
      <c r="G1853" s="6"/>
      <c r="H1853" s="9"/>
      <c r="I1853" s="6"/>
      <c r="J1853" s="10"/>
      <c r="K1853" s="10"/>
    </row>
    <row r="1854" spans="1:11" x14ac:dyDescent="0.3">
      <c r="A1854" s="7"/>
      <c r="B1854" s="6"/>
      <c r="C1854" s="6"/>
      <c r="D1854" s="6"/>
      <c r="E1854" s="8"/>
      <c r="F1854" s="8"/>
      <c r="G1854" s="6"/>
      <c r="H1854" s="9"/>
      <c r="I1854" s="6"/>
      <c r="J1854" s="10"/>
      <c r="K1854" s="10"/>
    </row>
    <row r="1855" spans="1:11" x14ac:dyDescent="0.3">
      <c r="A1855" s="7"/>
      <c r="B1855" s="6"/>
      <c r="C1855" s="6"/>
      <c r="D1855" s="6"/>
      <c r="E1855" s="8"/>
      <c r="F1855" s="8"/>
      <c r="G1855" s="6"/>
      <c r="H1855" s="9"/>
      <c r="I1855" s="6"/>
      <c r="J1855" s="10"/>
      <c r="K1855" s="10"/>
    </row>
    <row r="1856" spans="1:11" x14ac:dyDescent="0.3">
      <c r="A1856" s="7"/>
      <c r="B1856" s="6"/>
      <c r="C1856" s="6"/>
      <c r="D1856" s="6"/>
      <c r="E1856" s="8"/>
      <c r="F1856" s="8"/>
      <c r="G1856" s="6"/>
      <c r="H1856" s="9"/>
      <c r="I1856" s="6"/>
      <c r="J1856" s="10"/>
      <c r="K1856" s="10"/>
    </row>
    <row r="1857" spans="1:11" x14ac:dyDescent="0.3">
      <c r="A1857" s="7"/>
      <c r="B1857" s="6"/>
      <c r="C1857" s="6"/>
      <c r="D1857" s="6"/>
      <c r="E1857" s="8"/>
      <c r="F1857" s="8"/>
      <c r="G1857" s="6"/>
      <c r="H1857" s="9"/>
      <c r="I1857" s="6"/>
      <c r="J1857" s="10"/>
      <c r="K1857" s="10"/>
    </row>
    <row r="1858" spans="1:11" x14ac:dyDescent="0.3">
      <c r="A1858" s="7"/>
      <c r="B1858" s="6"/>
      <c r="C1858" s="6"/>
      <c r="D1858" s="6"/>
      <c r="E1858" s="8"/>
      <c r="F1858" s="8"/>
      <c r="G1858" s="6"/>
      <c r="H1858" s="9"/>
      <c r="I1858" s="6"/>
      <c r="J1858" s="10"/>
      <c r="K1858" s="10"/>
    </row>
    <row r="1859" spans="1:11" x14ac:dyDescent="0.3">
      <c r="A1859" s="7"/>
      <c r="B1859" s="6"/>
      <c r="C1859" s="6"/>
      <c r="D1859" s="6"/>
      <c r="E1859" s="8"/>
      <c r="F1859" s="8"/>
      <c r="G1859" s="6"/>
      <c r="H1859" s="9"/>
      <c r="I1859" s="6"/>
      <c r="J1859" s="10"/>
      <c r="K1859" s="10"/>
    </row>
    <row r="1860" spans="1:11" x14ac:dyDescent="0.3">
      <c r="A1860" s="7"/>
      <c r="B1860" s="6"/>
      <c r="C1860" s="6"/>
      <c r="D1860" s="6"/>
      <c r="E1860" s="8"/>
      <c r="F1860" s="8"/>
      <c r="G1860" s="6"/>
      <c r="H1860" s="9"/>
      <c r="I1860" s="6"/>
      <c r="J1860" s="10"/>
      <c r="K1860" s="10"/>
    </row>
    <row r="1861" spans="1:11" x14ac:dyDescent="0.3">
      <c r="A1861" s="7"/>
      <c r="B1861" s="6"/>
      <c r="C1861" s="6"/>
      <c r="D1861" s="6"/>
      <c r="E1861" s="8"/>
      <c r="F1861" s="8"/>
      <c r="G1861" s="6"/>
      <c r="H1861" s="9"/>
      <c r="I1861" s="6"/>
      <c r="J1861" s="10"/>
      <c r="K1861" s="10"/>
    </row>
    <row r="1862" spans="1:11" x14ac:dyDescent="0.3">
      <c r="A1862" s="7"/>
      <c r="B1862" s="6"/>
      <c r="C1862" s="6"/>
      <c r="D1862" s="6"/>
      <c r="E1862" s="8"/>
      <c r="F1862" s="8"/>
      <c r="G1862" s="6"/>
      <c r="H1862" s="9"/>
      <c r="I1862" s="6"/>
      <c r="J1862" s="10"/>
      <c r="K1862" s="10"/>
    </row>
    <row r="1863" spans="1:11" x14ac:dyDescent="0.3">
      <c r="A1863" s="7"/>
      <c r="B1863" s="6"/>
      <c r="C1863" s="6"/>
      <c r="D1863" s="6"/>
      <c r="E1863" s="8"/>
      <c r="F1863" s="8"/>
      <c r="G1863" s="6"/>
      <c r="H1863" s="9"/>
      <c r="I1863" s="6"/>
      <c r="J1863" s="10"/>
      <c r="K1863" s="10"/>
    </row>
    <row r="1864" spans="1:11" x14ac:dyDescent="0.3">
      <c r="A1864" s="7"/>
      <c r="B1864" s="6"/>
      <c r="C1864" s="6"/>
      <c r="D1864" s="6"/>
      <c r="E1864" s="8"/>
      <c r="F1864" s="8"/>
      <c r="G1864" s="6"/>
      <c r="H1864" s="9"/>
      <c r="I1864" s="6"/>
      <c r="J1864" s="10"/>
      <c r="K1864" s="10"/>
    </row>
    <row r="1865" spans="1:11" x14ac:dyDescent="0.3">
      <c r="A1865" s="7"/>
      <c r="B1865" s="6"/>
      <c r="C1865" s="6"/>
      <c r="D1865" s="6"/>
      <c r="E1865" s="8"/>
      <c r="F1865" s="8"/>
      <c r="G1865" s="6"/>
      <c r="H1865" s="9"/>
      <c r="I1865" s="6"/>
      <c r="J1865" s="10"/>
      <c r="K1865" s="10"/>
    </row>
    <row r="1866" spans="1:11" x14ac:dyDescent="0.3">
      <c r="A1866" s="7"/>
      <c r="B1866" s="6"/>
      <c r="C1866" s="6"/>
      <c r="D1866" s="6"/>
      <c r="E1866" s="8"/>
      <c r="F1866" s="8"/>
      <c r="G1866" s="6"/>
      <c r="H1866" s="9"/>
      <c r="I1866" s="6"/>
      <c r="J1866" s="10"/>
      <c r="K1866" s="10"/>
    </row>
    <row r="1867" spans="1:11" x14ac:dyDescent="0.3">
      <c r="A1867" s="7"/>
      <c r="B1867" s="6"/>
      <c r="C1867" s="6"/>
      <c r="D1867" s="6"/>
      <c r="E1867" s="8"/>
      <c r="F1867" s="8"/>
      <c r="G1867" s="6"/>
      <c r="H1867" s="9"/>
      <c r="I1867" s="6"/>
      <c r="J1867" s="10"/>
      <c r="K1867" s="10"/>
    </row>
    <row r="1868" spans="1:11" x14ac:dyDescent="0.3">
      <c r="A1868" s="7"/>
      <c r="B1868" s="6"/>
      <c r="C1868" s="6"/>
      <c r="D1868" s="6"/>
      <c r="E1868" s="8"/>
      <c r="F1868" s="8"/>
      <c r="G1868" s="6"/>
      <c r="H1868" s="9"/>
      <c r="I1868" s="6"/>
      <c r="J1868" s="10"/>
      <c r="K1868" s="10"/>
    </row>
    <row r="1869" spans="1:11" x14ac:dyDescent="0.3">
      <c r="A1869" s="7"/>
      <c r="B1869" s="6"/>
      <c r="C1869" s="6"/>
      <c r="D1869" s="6"/>
      <c r="E1869" s="8"/>
      <c r="F1869" s="8"/>
      <c r="G1869" s="6"/>
      <c r="H1869" s="9"/>
      <c r="I1869" s="6"/>
      <c r="J1869" s="10"/>
      <c r="K1869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N28"/>
  <sheetViews>
    <sheetView workbookViewId="0">
      <selection activeCell="M8" sqref="M8"/>
    </sheetView>
  </sheetViews>
  <sheetFormatPr defaultRowHeight="14.4" x14ac:dyDescent="0.3"/>
  <cols>
    <col min="1" max="1" width="21.5546875" bestFit="1" customWidth="1"/>
    <col min="7" max="10" width="11.5546875" bestFit="1" customWidth="1"/>
    <col min="14" max="14" width="17.21875" bestFit="1" customWidth="1"/>
  </cols>
  <sheetData>
    <row r="1" spans="1:14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42</v>
      </c>
      <c r="I1" s="22" t="s">
        <v>43</v>
      </c>
      <c r="J1" s="22" t="s">
        <v>44</v>
      </c>
      <c r="K1" s="22" t="s">
        <v>25</v>
      </c>
      <c r="L1" s="22" t="s">
        <v>26</v>
      </c>
      <c r="M1" s="22" t="s">
        <v>27</v>
      </c>
      <c r="N1" s="22" t="s">
        <v>28</v>
      </c>
    </row>
    <row r="2" spans="1:14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5">
        <v>660</v>
      </c>
      <c r="I2" s="25">
        <v>660</v>
      </c>
      <c r="J2" s="25">
        <v>660</v>
      </c>
      <c r="K2" s="24">
        <f t="shared" ref="K2:K28" si="0">AVERAGE(B2:D2)</f>
        <v>576.66666666666663</v>
      </c>
      <c r="L2" s="24">
        <f t="shared" ref="L2:L28" si="1">MAX(B2:D2)</f>
        <v>660</v>
      </c>
      <c r="M2" s="26">
        <v>0</v>
      </c>
      <c r="N2" s="25">
        <v>0</v>
      </c>
    </row>
    <row r="3" spans="1:14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5">
        <v>125</v>
      </c>
      <c r="I3" s="25">
        <v>125</v>
      </c>
      <c r="J3" s="25">
        <v>125</v>
      </c>
      <c r="K3" s="24">
        <f t="shared" si="0"/>
        <v>125</v>
      </c>
      <c r="L3" s="24">
        <f t="shared" si="1"/>
        <v>125</v>
      </c>
      <c r="M3" s="26">
        <v>53.166666666666664</v>
      </c>
      <c r="N3" s="25">
        <v>209</v>
      </c>
    </row>
    <row r="4" spans="1:14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5">
        <v>9510</v>
      </c>
      <c r="I4" s="25">
        <v>9510</v>
      </c>
      <c r="J4" s="25">
        <v>9510</v>
      </c>
      <c r="K4" s="24">
        <f t="shared" si="0"/>
        <v>8676.6666666666661</v>
      </c>
      <c r="L4" s="24">
        <f t="shared" si="1"/>
        <v>9510</v>
      </c>
      <c r="M4" s="26">
        <v>7759.0833333333303</v>
      </c>
      <c r="N4" s="25">
        <v>11340</v>
      </c>
    </row>
    <row r="5" spans="1:14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5">
        <v>1660</v>
      </c>
      <c r="I5" s="25">
        <v>1660</v>
      </c>
      <c r="J5" s="25">
        <v>1660</v>
      </c>
      <c r="K5" s="24">
        <f t="shared" si="0"/>
        <v>1343.3333333333333</v>
      </c>
      <c r="L5" s="24">
        <f t="shared" si="1"/>
        <v>1660</v>
      </c>
      <c r="M5" s="26">
        <v>1251.9166666666667</v>
      </c>
      <c r="N5" s="25">
        <v>2513</v>
      </c>
    </row>
    <row r="6" spans="1:14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5">
        <v>660</v>
      </c>
      <c r="I6" s="25">
        <v>660</v>
      </c>
      <c r="J6" s="25">
        <v>660</v>
      </c>
      <c r="K6" s="24">
        <f t="shared" si="0"/>
        <v>593.33333333333337</v>
      </c>
      <c r="L6" s="24">
        <f t="shared" si="1"/>
        <v>660</v>
      </c>
      <c r="M6" s="26">
        <v>612.91666666666663</v>
      </c>
      <c r="N6" s="25">
        <v>994</v>
      </c>
    </row>
    <row r="7" spans="1:14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5">
        <v>250</v>
      </c>
      <c r="I7" s="25">
        <v>250</v>
      </c>
      <c r="J7" s="25">
        <v>250</v>
      </c>
      <c r="K7" s="24">
        <f t="shared" si="0"/>
        <v>183.33333333333334</v>
      </c>
      <c r="L7" s="24">
        <f t="shared" si="1"/>
        <v>250</v>
      </c>
      <c r="M7" s="26">
        <v>236.33333333333334</v>
      </c>
      <c r="N7" s="25">
        <v>1048</v>
      </c>
    </row>
    <row r="8" spans="1:14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5">
        <v>510</v>
      </c>
      <c r="I8" s="25">
        <v>510</v>
      </c>
      <c r="J8" s="25">
        <v>510</v>
      </c>
      <c r="K8" s="24">
        <f t="shared" si="0"/>
        <v>376.66666666666669</v>
      </c>
      <c r="L8" s="24">
        <f t="shared" si="1"/>
        <v>510</v>
      </c>
      <c r="M8" s="26">
        <v>677.41666666666663</v>
      </c>
      <c r="N8" s="25">
        <v>3582</v>
      </c>
    </row>
    <row r="9" spans="1:14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5">
        <v>75</v>
      </c>
      <c r="I9" s="25">
        <v>75</v>
      </c>
      <c r="J9" s="25">
        <v>75</v>
      </c>
      <c r="K9" s="24">
        <f t="shared" si="0"/>
        <v>68.333333333333329</v>
      </c>
      <c r="L9" s="24">
        <f t="shared" si="1"/>
        <v>75</v>
      </c>
      <c r="M9" s="26">
        <v>39.916666666666664</v>
      </c>
      <c r="N9" s="25">
        <v>54</v>
      </c>
    </row>
    <row r="10" spans="1:14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5">
        <v>2720</v>
      </c>
      <c r="I10" s="25">
        <v>2720</v>
      </c>
      <c r="J10" s="25">
        <v>2720</v>
      </c>
      <c r="K10" s="24">
        <f t="shared" si="0"/>
        <v>2480</v>
      </c>
      <c r="L10" s="24">
        <f t="shared" si="1"/>
        <v>2720</v>
      </c>
      <c r="M10" s="26">
        <v>2112.25</v>
      </c>
      <c r="N10" s="25">
        <v>3278</v>
      </c>
    </row>
    <row r="11" spans="1:14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5">
        <v>1045</v>
      </c>
      <c r="I11" s="25">
        <v>1045</v>
      </c>
      <c r="J11" s="25">
        <v>1045</v>
      </c>
      <c r="K11" s="24">
        <f t="shared" si="0"/>
        <v>938.33333333333337</v>
      </c>
      <c r="L11" s="24">
        <f t="shared" si="1"/>
        <v>1045</v>
      </c>
      <c r="M11" s="26">
        <v>817.58333333333337</v>
      </c>
      <c r="N11" s="25">
        <v>2636</v>
      </c>
    </row>
    <row r="12" spans="1:14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5">
        <v>123</v>
      </c>
      <c r="I12" s="25">
        <v>123</v>
      </c>
      <c r="J12" s="25">
        <v>123</v>
      </c>
      <c r="K12" s="24">
        <f t="shared" si="0"/>
        <v>113</v>
      </c>
      <c r="L12" s="24">
        <f t="shared" si="1"/>
        <v>123</v>
      </c>
      <c r="M12" s="26">
        <v>108.25</v>
      </c>
      <c r="N12" s="25">
        <v>185</v>
      </c>
    </row>
    <row r="13" spans="1:14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5">
        <v>180</v>
      </c>
      <c r="I13" s="25">
        <v>180</v>
      </c>
      <c r="J13" s="25">
        <v>180</v>
      </c>
      <c r="K13" s="24">
        <f t="shared" si="0"/>
        <v>175</v>
      </c>
      <c r="L13" s="24">
        <f t="shared" si="1"/>
        <v>210</v>
      </c>
      <c r="M13" s="26">
        <v>174.33333333333334</v>
      </c>
      <c r="N13" s="25">
        <v>396</v>
      </c>
    </row>
    <row r="14" spans="1:14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5">
        <v>100</v>
      </c>
      <c r="I14" s="25">
        <v>100</v>
      </c>
      <c r="J14" s="25">
        <v>100</v>
      </c>
      <c r="K14" s="24">
        <f t="shared" si="0"/>
        <v>86.666666666666671</v>
      </c>
      <c r="L14" s="24">
        <f t="shared" si="1"/>
        <v>100</v>
      </c>
      <c r="M14" s="26">
        <v>93.916666666666671</v>
      </c>
      <c r="N14" s="25">
        <v>206</v>
      </c>
    </row>
    <row r="15" spans="1:14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5">
        <v>145</v>
      </c>
      <c r="I15" s="25">
        <v>145</v>
      </c>
      <c r="J15" s="25">
        <v>145</v>
      </c>
      <c r="K15" s="24">
        <f t="shared" si="0"/>
        <v>111.66666666666667</v>
      </c>
      <c r="L15" s="24">
        <f t="shared" si="1"/>
        <v>145</v>
      </c>
      <c r="M15" s="26">
        <v>128.58333333333334</v>
      </c>
      <c r="N15" s="25">
        <v>252</v>
      </c>
    </row>
    <row r="16" spans="1:14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5">
        <v>175</v>
      </c>
      <c r="I16" s="25">
        <v>175</v>
      </c>
      <c r="J16" s="25">
        <v>175</v>
      </c>
      <c r="K16" s="24">
        <f t="shared" si="0"/>
        <v>171.66666666666666</v>
      </c>
      <c r="L16" s="24">
        <f t="shared" si="1"/>
        <v>175</v>
      </c>
      <c r="M16" s="26">
        <v>200.25</v>
      </c>
      <c r="N16" s="25">
        <v>337</v>
      </c>
    </row>
    <row r="17" spans="1:14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5">
        <v>50</v>
      </c>
      <c r="I17" s="25">
        <v>50</v>
      </c>
      <c r="J17" s="25">
        <v>50</v>
      </c>
      <c r="K17" s="24">
        <f t="shared" si="0"/>
        <v>80</v>
      </c>
      <c r="L17" s="24">
        <f t="shared" si="1"/>
        <v>140</v>
      </c>
      <c r="M17" s="26">
        <v>95</v>
      </c>
      <c r="N17" s="25">
        <v>157</v>
      </c>
    </row>
    <row r="18" spans="1:14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5">
        <v>400</v>
      </c>
      <c r="I18" s="25">
        <v>400</v>
      </c>
      <c r="J18" s="25">
        <v>400</v>
      </c>
      <c r="K18" s="24">
        <f t="shared" si="0"/>
        <v>283.33333333333331</v>
      </c>
      <c r="L18" s="24">
        <f t="shared" si="1"/>
        <v>400</v>
      </c>
      <c r="M18" s="26">
        <v>0</v>
      </c>
      <c r="N18" s="25">
        <v>0</v>
      </c>
    </row>
    <row r="19" spans="1:14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5">
        <v>1050</v>
      </c>
      <c r="I19" s="25">
        <v>1050</v>
      </c>
      <c r="J19" s="25">
        <v>1050</v>
      </c>
      <c r="K19" s="24">
        <f t="shared" si="0"/>
        <v>846.66666666666663</v>
      </c>
      <c r="L19" s="24">
        <f t="shared" si="1"/>
        <v>1050</v>
      </c>
      <c r="M19" s="26">
        <v>984.83333333333337</v>
      </c>
      <c r="N19" s="25">
        <v>1854</v>
      </c>
    </row>
    <row r="20" spans="1:14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5">
        <v>235</v>
      </c>
      <c r="I20" s="25">
        <v>235</v>
      </c>
      <c r="J20" s="25">
        <v>235</v>
      </c>
      <c r="K20" s="24">
        <f t="shared" si="0"/>
        <v>181.66666666666666</v>
      </c>
      <c r="L20" s="24">
        <f t="shared" si="1"/>
        <v>235</v>
      </c>
      <c r="M20" s="26">
        <v>0</v>
      </c>
      <c r="N20" s="25">
        <v>0</v>
      </c>
    </row>
    <row r="21" spans="1:14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5">
        <v>365</v>
      </c>
      <c r="I21" s="25">
        <v>365</v>
      </c>
      <c r="J21" s="25">
        <v>365</v>
      </c>
      <c r="K21" s="24">
        <f t="shared" si="0"/>
        <v>285</v>
      </c>
      <c r="L21" s="24">
        <f t="shared" si="1"/>
        <v>365</v>
      </c>
      <c r="M21" s="26">
        <v>0</v>
      </c>
      <c r="N21" s="25">
        <v>0</v>
      </c>
    </row>
    <row r="22" spans="1:14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5">
        <v>140</v>
      </c>
      <c r="I22" s="25">
        <v>140</v>
      </c>
      <c r="J22" s="25">
        <v>140</v>
      </c>
      <c r="K22" s="24">
        <f t="shared" si="0"/>
        <v>131.66666666666666</v>
      </c>
      <c r="L22" s="24">
        <f t="shared" si="1"/>
        <v>140</v>
      </c>
      <c r="M22" s="26">
        <v>114.08333333333333</v>
      </c>
      <c r="N22" s="25">
        <v>163</v>
      </c>
    </row>
    <row r="23" spans="1:14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5">
        <v>235</v>
      </c>
      <c r="I23" s="25">
        <v>235</v>
      </c>
      <c r="J23" s="25">
        <v>235</v>
      </c>
      <c r="K23" s="24">
        <f t="shared" si="0"/>
        <v>238.33333333333334</v>
      </c>
      <c r="L23" s="24">
        <f t="shared" si="1"/>
        <v>280</v>
      </c>
      <c r="M23" s="26">
        <v>229.58333333333334</v>
      </c>
      <c r="N23" s="25">
        <v>427</v>
      </c>
    </row>
    <row r="24" spans="1:14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5">
        <v>530</v>
      </c>
      <c r="I24" s="25">
        <v>530</v>
      </c>
      <c r="J24" s="25">
        <v>530</v>
      </c>
      <c r="K24" s="24">
        <f t="shared" si="0"/>
        <v>530</v>
      </c>
      <c r="L24" s="24">
        <f t="shared" si="1"/>
        <v>530</v>
      </c>
      <c r="M24" s="26">
        <v>148.16666666666666</v>
      </c>
      <c r="N24" s="25">
        <v>773</v>
      </c>
    </row>
    <row r="25" spans="1:14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5">
        <v>120</v>
      </c>
      <c r="I25" s="25">
        <v>120</v>
      </c>
      <c r="J25" s="25">
        <v>120</v>
      </c>
      <c r="K25" s="24">
        <f t="shared" si="0"/>
        <v>86.666666666666671</v>
      </c>
      <c r="L25" s="24">
        <f t="shared" si="1"/>
        <v>120</v>
      </c>
      <c r="M25" s="26">
        <v>28.916666666666668</v>
      </c>
      <c r="N25" s="25">
        <v>265</v>
      </c>
    </row>
    <row r="26" spans="1:14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5">
        <v>0</v>
      </c>
      <c r="I26" s="25">
        <v>0</v>
      </c>
      <c r="J26" s="25">
        <v>0</v>
      </c>
      <c r="K26" s="24">
        <f t="shared" si="0"/>
        <v>0</v>
      </c>
      <c r="L26" s="24">
        <f t="shared" si="1"/>
        <v>0</v>
      </c>
      <c r="M26" s="26">
        <v>0</v>
      </c>
      <c r="N26" s="25">
        <v>0</v>
      </c>
    </row>
    <row r="27" spans="1:14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5">
        <v>45</v>
      </c>
      <c r="I27" s="25">
        <v>45</v>
      </c>
      <c r="J27" s="25">
        <v>45</v>
      </c>
      <c r="K27" s="24">
        <f t="shared" si="0"/>
        <v>45</v>
      </c>
      <c r="L27" s="24">
        <f t="shared" si="1"/>
        <v>45</v>
      </c>
      <c r="M27" s="26">
        <v>0</v>
      </c>
      <c r="N27" s="25">
        <v>0</v>
      </c>
    </row>
    <row r="28" spans="1:14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5">
        <v>490</v>
      </c>
      <c r="I28" s="25">
        <v>490</v>
      </c>
      <c r="J28" s="25">
        <v>490</v>
      </c>
      <c r="K28" s="24">
        <f t="shared" si="0"/>
        <v>423.33333333333331</v>
      </c>
      <c r="L28" s="24">
        <f t="shared" si="1"/>
        <v>490</v>
      </c>
      <c r="M28" s="26">
        <v>0</v>
      </c>
      <c r="N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K2:L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L17" sqref="L17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160</v>
      </c>
      <c r="J2" s="24">
        <f>SUM(B2:I2)</f>
        <v>9558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3842</v>
      </c>
      <c r="J3" s="24">
        <f t="shared" ref="J3:J8" si="0">SUM(B3:I3)</f>
        <v>75968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34</v>
      </c>
      <c r="J4" s="24">
        <f t="shared" si="0"/>
        <v>1882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f>101+354+149+116+4+8+159</f>
        <v>891</v>
      </c>
      <c r="J5" s="24">
        <f t="shared" si="0"/>
        <v>24219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f>136+62+45</f>
        <v>243</v>
      </c>
      <c r="J6" s="24">
        <f t="shared" si="0"/>
        <v>6462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2789</v>
      </c>
      <c r="J7" s="24">
        <f t="shared" si="0"/>
        <v>16414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14</v>
      </c>
      <c r="J8" s="24">
        <f t="shared" si="0"/>
        <v>2249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2026-10-16T13:51:33Z</dcterms:modified>
</cp:coreProperties>
</file>