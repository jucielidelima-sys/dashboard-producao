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1128372F-E1C8-4DA6-A098-EEC196390CEC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LANC.!$A$1:$K$1837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30" i="1" l="1"/>
  <c r="B1831" i="1"/>
  <c r="B1832" i="1"/>
  <c r="B1833" i="1"/>
  <c r="B1834" i="1"/>
  <c r="B1835" i="1"/>
  <c r="B1836" i="1"/>
  <c r="B1837" i="1"/>
  <c r="I1830" i="1"/>
  <c r="I1831" i="1"/>
  <c r="I1832" i="1"/>
  <c r="I1833" i="1"/>
  <c r="I1834" i="1"/>
  <c r="I1835" i="1"/>
  <c r="I1836" i="1"/>
  <c r="I1837" i="1"/>
  <c r="J1830" i="1"/>
  <c r="J1831" i="1"/>
  <c r="J1832" i="1"/>
  <c r="J1833" i="1"/>
  <c r="J1834" i="1"/>
  <c r="J1835" i="1"/>
  <c r="J1836" i="1"/>
  <c r="J1837" i="1"/>
  <c r="K1830" i="1"/>
  <c r="K1831" i="1"/>
  <c r="K1832" i="1"/>
  <c r="K1833" i="1"/>
  <c r="K1834" i="1"/>
  <c r="K1835" i="1"/>
  <c r="K1836" i="1"/>
  <c r="K1837" i="1"/>
  <c r="B1829" i="1"/>
  <c r="I1829" i="1"/>
  <c r="J1829" i="1"/>
  <c r="K1829" i="1"/>
  <c r="B1821" i="1"/>
  <c r="B1822" i="1"/>
  <c r="B1823" i="1"/>
  <c r="B1824" i="1"/>
  <c r="B1825" i="1"/>
  <c r="B1826" i="1"/>
  <c r="B1827" i="1"/>
  <c r="B1828" i="1"/>
  <c r="I1821" i="1"/>
  <c r="I1822" i="1"/>
  <c r="I1823" i="1"/>
  <c r="I1824" i="1"/>
  <c r="I1825" i="1"/>
  <c r="I1826" i="1"/>
  <c r="I1827" i="1"/>
  <c r="I1828" i="1"/>
  <c r="J1821" i="1"/>
  <c r="J1822" i="1"/>
  <c r="J1823" i="1"/>
  <c r="J1824" i="1"/>
  <c r="J1825" i="1"/>
  <c r="J1826" i="1"/>
  <c r="J1827" i="1"/>
  <c r="J1828" i="1"/>
  <c r="K1821" i="1"/>
  <c r="K1822" i="1"/>
  <c r="K1823" i="1"/>
  <c r="K1824" i="1"/>
  <c r="K1825" i="1"/>
  <c r="K1826" i="1"/>
  <c r="K1827" i="1"/>
  <c r="K1828" i="1"/>
  <c r="B1820" i="1"/>
  <c r="I1820" i="1"/>
  <c r="J1820" i="1"/>
  <c r="K1820" i="1"/>
  <c r="B1812" i="1"/>
  <c r="B1813" i="1"/>
  <c r="B1814" i="1"/>
  <c r="B1815" i="1"/>
  <c r="B1816" i="1"/>
  <c r="B1817" i="1"/>
  <c r="B1818" i="1"/>
  <c r="B1819" i="1"/>
  <c r="I1812" i="1"/>
  <c r="I1813" i="1"/>
  <c r="I1814" i="1"/>
  <c r="I1815" i="1"/>
  <c r="I1816" i="1"/>
  <c r="I1817" i="1"/>
  <c r="I1818" i="1"/>
  <c r="I1819" i="1"/>
  <c r="J1812" i="1"/>
  <c r="J1813" i="1"/>
  <c r="J1814" i="1"/>
  <c r="J1815" i="1"/>
  <c r="J1816" i="1"/>
  <c r="J1817" i="1"/>
  <c r="J1818" i="1"/>
  <c r="J1819" i="1"/>
  <c r="K1812" i="1"/>
  <c r="K1813" i="1"/>
  <c r="K1814" i="1"/>
  <c r="K1815" i="1"/>
  <c r="K1816" i="1"/>
  <c r="K1817" i="1"/>
  <c r="K1818" i="1"/>
  <c r="K1819" i="1"/>
  <c r="B1811" i="1"/>
  <c r="I1811" i="1"/>
  <c r="J1811" i="1"/>
  <c r="K1811" i="1"/>
  <c r="B1803" i="1"/>
  <c r="B1804" i="1"/>
  <c r="B1805" i="1"/>
  <c r="B1806" i="1"/>
  <c r="B1807" i="1"/>
  <c r="B1808" i="1"/>
  <c r="B1809" i="1"/>
  <c r="B1810" i="1"/>
  <c r="I1803" i="1"/>
  <c r="I1804" i="1"/>
  <c r="I1805" i="1"/>
  <c r="I1806" i="1"/>
  <c r="I1807" i="1"/>
  <c r="I1808" i="1"/>
  <c r="I1809" i="1"/>
  <c r="I1810" i="1"/>
  <c r="J1803" i="1"/>
  <c r="J1804" i="1"/>
  <c r="J1805" i="1"/>
  <c r="J1806" i="1"/>
  <c r="J1807" i="1"/>
  <c r="J1808" i="1"/>
  <c r="J1809" i="1"/>
  <c r="J1810" i="1"/>
  <c r="K1803" i="1"/>
  <c r="K1804" i="1"/>
  <c r="K1805" i="1"/>
  <c r="K1806" i="1"/>
  <c r="K1807" i="1"/>
  <c r="K1808" i="1"/>
  <c r="K1809" i="1"/>
  <c r="K1810" i="1"/>
  <c r="B1802" i="1"/>
  <c r="I1802" i="1"/>
  <c r="J1802" i="1"/>
  <c r="K1802" i="1"/>
  <c r="B1794" i="1"/>
  <c r="B1795" i="1"/>
  <c r="B1796" i="1"/>
  <c r="B1797" i="1"/>
  <c r="B1798" i="1"/>
  <c r="B1799" i="1"/>
  <c r="B1800" i="1"/>
  <c r="B1801" i="1"/>
  <c r="I1794" i="1"/>
  <c r="I1795" i="1"/>
  <c r="I1796" i="1"/>
  <c r="I1797" i="1"/>
  <c r="I1798" i="1"/>
  <c r="I1799" i="1"/>
  <c r="I1800" i="1"/>
  <c r="I1801" i="1"/>
  <c r="J1794" i="1"/>
  <c r="J1795" i="1"/>
  <c r="J1796" i="1"/>
  <c r="J1797" i="1"/>
  <c r="J1798" i="1"/>
  <c r="J1799" i="1"/>
  <c r="J1800" i="1"/>
  <c r="J1801" i="1"/>
  <c r="K1794" i="1"/>
  <c r="K1795" i="1"/>
  <c r="K1796" i="1"/>
  <c r="K1797" i="1"/>
  <c r="K1798" i="1"/>
  <c r="K1799" i="1"/>
  <c r="K1800" i="1"/>
  <c r="K1801" i="1"/>
  <c r="B1793" i="1"/>
  <c r="I1793" i="1"/>
  <c r="J1793" i="1"/>
  <c r="K1793" i="1"/>
  <c r="B1785" i="1"/>
  <c r="B1786" i="1"/>
  <c r="B1787" i="1"/>
  <c r="B1788" i="1"/>
  <c r="B1789" i="1"/>
  <c r="B1790" i="1"/>
  <c r="B1791" i="1"/>
  <c r="B1792" i="1"/>
  <c r="I1785" i="1"/>
  <c r="I1786" i="1"/>
  <c r="I1787" i="1"/>
  <c r="I1788" i="1"/>
  <c r="I1789" i="1"/>
  <c r="I1790" i="1"/>
  <c r="I1791" i="1"/>
  <c r="I1792" i="1"/>
  <c r="J1785" i="1"/>
  <c r="J1786" i="1"/>
  <c r="J1787" i="1"/>
  <c r="J1788" i="1"/>
  <c r="J1789" i="1"/>
  <c r="J1790" i="1"/>
  <c r="J1791" i="1"/>
  <c r="J1792" i="1"/>
  <c r="K1785" i="1"/>
  <c r="K1786" i="1"/>
  <c r="K1787" i="1"/>
  <c r="K1788" i="1"/>
  <c r="K1789" i="1"/>
  <c r="K1790" i="1"/>
  <c r="K1791" i="1"/>
  <c r="K1792" i="1"/>
  <c r="B1784" i="1"/>
  <c r="I1784" i="1"/>
  <c r="J1784" i="1"/>
  <c r="K1784" i="1"/>
  <c r="B1776" i="1"/>
  <c r="B1777" i="1"/>
  <c r="B1778" i="1"/>
  <c r="B1779" i="1"/>
  <c r="B1780" i="1"/>
  <c r="B1781" i="1"/>
  <c r="B1782" i="1"/>
  <c r="B1783" i="1"/>
  <c r="I1776" i="1"/>
  <c r="I1777" i="1"/>
  <c r="I1778" i="1"/>
  <c r="I1779" i="1"/>
  <c r="I1780" i="1"/>
  <c r="I1781" i="1"/>
  <c r="I1782" i="1"/>
  <c r="I1783" i="1"/>
  <c r="J1776" i="1"/>
  <c r="J1777" i="1"/>
  <c r="J1778" i="1"/>
  <c r="J1779" i="1"/>
  <c r="J1780" i="1"/>
  <c r="J1781" i="1"/>
  <c r="J1782" i="1"/>
  <c r="J1783" i="1"/>
  <c r="K1776" i="1"/>
  <c r="K1777" i="1"/>
  <c r="K1778" i="1"/>
  <c r="K1779" i="1"/>
  <c r="K1780" i="1"/>
  <c r="K1781" i="1"/>
  <c r="K1782" i="1"/>
  <c r="K1783" i="1"/>
  <c r="B1775" i="1"/>
  <c r="I1775" i="1"/>
  <c r="J1775" i="1"/>
  <c r="K1775" i="1"/>
  <c r="B1767" i="1"/>
  <c r="B1768" i="1"/>
  <c r="B1769" i="1"/>
  <c r="B1770" i="1"/>
  <c r="B1771" i="1"/>
  <c r="B1772" i="1"/>
  <c r="B1773" i="1"/>
  <c r="B1774" i="1"/>
  <c r="I1767" i="1"/>
  <c r="I1768" i="1"/>
  <c r="I1769" i="1"/>
  <c r="I1770" i="1"/>
  <c r="I1771" i="1"/>
  <c r="I1772" i="1"/>
  <c r="I1773" i="1"/>
  <c r="I1774" i="1"/>
  <c r="J1767" i="1"/>
  <c r="J1768" i="1"/>
  <c r="J1769" i="1"/>
  <c r="J1770" i="1"/>
  <c r="J1771" i="1"/>
  <c r="J1772" i="1"/>
  <c r="J1773" i="1"/>
  <c r="J1774" i="1"/>
  <c r="K1767" i="1"/>
  <c r="K1768" i="1"/>
  <c r="K1769" i="1"/>
  <c r="K1770" i="1"/>
  <c r="K1771" i="1"/>
  <c r="K1772" i="1"/>
  <c r="K1773" i="1"/>
  <c r="K1774" i="1"/>
  <c r="B1766" i="1"/>
  <c r="I1766" i="1"/>
  <c r="J1766" i="1"/>
  <c r="K1766" i="1"/>
  <c r="B1758" i="1"/>
  <c r="B1759" i="1"/>
  <c r="B1760" i="1"/>
  <c r="B1761" i="1"/>
  <c r="B1762" i="1"/>
  <c r="B1763" i="1"/>
  <c r="B1764" i="1"/>
  <c r="B1765" i="1"/>
  <c r="I1758" i="1"/>
  <c r="I1759" i="1"/>
  <c r="I1760" i="1"/>
  <c r="I1761" i="1"/>
  <c r="I1762" i="1"/>
  <c r="I1763" i="1"/>
  <c r="I1764" i="1"/>
  <c r="I1765" i="1"/>
  <c r="J1758" i="1"/>
  <c r="J1759" i="1"/>
  <c r="J1760" i="1"/>
  <c r="J1761" i="1"/>
  <c r="J1762" i="1"/>
  <c r="J1763" i="1"/>
  <c r="J1764" i="1"/>
  <c r="J1765" i="1"/>
  <c r="K1758" i="1"/>
  <c r="K1759" i="1"/>
  <c r="K1760" i="1"/>
  <c r="K1761" i="1"/>
  <c r="K1762" i="1"/>
  <c r="K1763" i="1"/>
  <c r="K1764" i="1"/>
  <c r="K1765" i="1"/>
  <c r="B1757" i="1"/>
  <c r="I1757" i="1"/>
  <c r="J1757" i="1"/>
  <c r="K1757" i="1"/>
  <c r="B1749" i="1"/>
  <c r="B1750" i="1"/>
  <c r="B1751" i="1"/>
  <c r="B1752" i="1"/>
  <c r="B1753" i="1"/>
  <c r="B1754" i="1"/>
  <c r="B1755" i="1"/>
  <c r="B1756" i="1"/>
  <c r="I1749" i="1"/>
  <c r="I1750" i="1"/>
  <c r="I1751" i="1"/>
  <c r="I1752" i="1"/>
  <c r="I1753" i="1"/>
  <c r="I1754" i="1"/>
  <c r="I1755" i="1"/>
  <c r="I1756" i="1"/>
  <c r="J1749" i="1"/>
  <c r="J1750" i="1"/>
  <c r="J1751" i="1"/>
  <c r="J1752" i="1"/>
  <c r="J1753" i="1"/>
  <c r="J1754" i="1"/>
  <c r="J1755" i="1"/>
  <c r="J1756" i="1"/>
  <c r="K1749" i="1"/>
  <c r="K1750" i="1"/>
  <c r="K1751" i="1"/>
  <c r="K1752" i="1"/>
  <c r="K1753" i="1"/>
  <c r="K1754" i="1"/>
  <c r="K1755" i="1"/>
  <c r="K1756" i="1"/>
  <c r="B1748" i="1"/>
  <c r="I1748" i="1"/>
  <c r="J1748" i="1"/>
  <c r="K1748" i="1"/>
  <c r="B1740" i="1"/>
  <c r="B1741" i="1"/>
  <c r="B1742" i="1"/>
  <c r="B1743" i="1"/>
  <c r="B1744" i="1"/>
  <c r="B1745" i="1"/>
  <c r="B1746" i="1"/>
  <c r="B1747" i="1"/>
  <c r="I1740" i="1"/>
  <c r="I1741" i="1"/>
  <c r="I1742" i="1"/>
  <c r="I1743" i="1"/>
  <c r="I1744" i="1"/>
  <c r="I1745" i="1"/>
  <c r="I1746" i="1"/>
  <c r="I1747" i="1"/>
  <c r="J1740" i="1"/>
  <c r="J1741" i="1"/>
  <c r="J1742" i="1"/>
  <c r="J1743" i="1"/>
  <c r="J1744" i="1"/>
  <c r="J1745" i="1"/>
  <c r="J1746" i="1"/>
  <c r="J1747" i="1"/>
  <c r="K1740" i="1"/>
  <c r="K1741" i="1"/>
  <c r="K1742" i="1"/>
  <c r="K1743" i="1"/>
  <c r="K1744" i="1"/>
  <c r="K1745" i="1"/>
  <c r="K1746" i="1"/>
  <c r="K1747" i="1"/>
  <c r="B1739" i="1"/>
  <c r="I1739" i="1"/>
  <c r="J1739" i="1"/>
  <c r="K1739" i="1"/>
  <c r="B1731" i="1"/>
  <c r="B1732" i="1"/>
  <c r="B1733" i="1"/>
  <c r="B1734" i="1"/>
  <c r="B1735" i="1"/>
  <c r="B1736" i="1"/>
  <c r="B1737" i="1"/>
  <c r="B1738" i="1"/>
  <c r="I1731" i="1"/>
  <c r="I1732" i="1"/>
  <c r="I1733" i="1"/>
  <c r="I1734" i="1"/>
  <c r="I1735" i="1"/>
  <c r="I1736" i="1"/>
  <c r="I1737" i="1"/>
  <c r="I1738" i="1"/>
  <c r="J1731" i="1"/>
  <c r="J1732" i="1"/>
  <c r="J1733" i="1"/>
  <c r="J1734" i="1"/>
  <c r="J1735" i="1"/>
  <c r="J1736" i="1"/>
  <c r="J1737" i="1"/>
  <c r="J1738" i="1"/>
  <c r="K1731" i="1"/>
  <c r="K1732" i="1"/>
  <c r="K1733" i="1"/>
  <c r="K1734" i="1"/>
  <c r="K1735" i="1"/>
  <c r="K1736" i="1"/>
  <c r="K1737" i="1"/>
  <c r="K1738" i="1"/>
  <c r="B1730" i="1"/>
  <c r="I1730" i="1"/>
  <c r="J1730" i="1"/>
  <c r="K1730" i="1"/>
  <c r="B1722" i="1"/>
  <c r="B1723" i="1"/>
  <c r="B1724" i="1"/>
  <c r="B1725" i="1"/>
  <c r="B1726" i="1"/>
  <c r="B1727" i="1"/>
  <c r="B1728" i="1"/>
  <c r="B1729" i="1"/>
  <c r="I1722" i="1"/>
  <c r="I1723" i="1"/>
  <c r="I1724" i="1"/>
  <c r="I1725" i="1"/>
  <c r="I1726" i="1"/>
  <c r="I1727" i="1"/>
  <c r="I1728" i="1"/>
  <c r="I1729" i="1"/>
  <c r="J1722" i="1"/>
  <c r="J1723" i="1"/>
  <c r="J1724" i="1"/>
  <c r="J1725" i="1"/>
  <c r="J1726" i="1"/>
  <c r="J1727" i="1"/>
  <c r="J1728" i="1"/>
  <c r="J1729" i="1"/>
  <c r="K1722" i="1"/>
  <c r="K1723" i="1"/>
  <c r="K1724" i="1"/>
  <c r="K1725" i="1"/>
  <c r="K1726" i="1"/>
  <c r="K1727" i="1"/>
  <c r="K1728" i="1"/>
  <c r="K1729" i="1"/>
  <c r="B1721" i="1"/>
  <c r="I1721" i="1"/>
  <c r="J1721" i="1"/>
  <c r="K1721" i="1"/>
  <c r="B1713" i="1"/>
  <c r="B1714" i="1"/>
  <c r="B1715" i="1"/>
  <c r="B1716" i="1"/>
  <c r="B1717" i="1"/>
  <c r="B1718" i="1"/>
  <c r="B1719" i="1"/>
  <c r="B1720" i="1"/>
  <c r="I1713" i="1"/>
  <c r="I1714" i="1"/>
  <c r="I1715" i="1"/>
  <c r="I1716" i="1"/>
  <c r="I1717" i="1"/>
  <c r="I1718" i="1"/>
  <c r="I1719" i="1"/>
  <c r="I1720" i="1"/>
  <c r="J1713" i="1"/>
  <c r="J1714" i="1"/>
  <c r="J1715" i="1"/>
  <c r="J1716" i="1"/>
  <c r="J1717" i="1"/>
  <c r="J1718" i="1"/>
  <c r="J1719" i="1"/>
  <c r="J1720" i="1"/>
  <c r="K1713" i="1"/>
  <c r="K1714" i="1"/>
  <c r="K1715" i="1"/>
  <c r="K1716" i="1"/>
  <c r="K1717" i="1"/>
  <c r="K1718" i="1"/>
  <c r="K1719" i="1"/>
  <c r="K1720" i="1"/>
  <c r="B1712" i="1"/>
  <c r="I1712" i="1"/>
  <c r="J1712" i="1"/>
  <c r="K1712" i="1"/>
  <c r="B1704" i="1"/>
  <c r="B1705" i="1"/>
  <c r="B1706" i="1"/>
  <c r="B1707" i="1"/>
  <c r="B1708" i="1"/>
  <c r="B1709" i="1"/>
  <c r="B1710" i="1"/>
  <c r="B1711" i="1"/>
  <c r="I1704" i="1"/>
  <c r="I1705" i="1"/>
  <c r="I1706" i="1"/>
  <c r="I1707" i="1"/>
  <c r="I1708" i="1"/>
  <c r="I1709" i="1"/>
  <c r="I1710" i="1"/>
  <c r="I1711" i="1"/>
  <c r="J1704" i="1"/>
  <c r="J1705" i="1"/>
  <c r="J1706" i="1"/>
  <c r="J1707" i="1"/>
  <c r="J1708" i="1"/>
  <c r="J1709" i="1"/>
  <c r="J1710" i="1"/>
  <c r="J1711" i="1"/>
  <c r="K1704" i="1"/>
  <c r="K1705" i="1"/>
  <c r="K1706" i="1"/>
  <c r="K1707" i="1"/>
  <c r="K1708" i="1"/>
  <c r="K1709" i="1"/>
  <c r="K1710" i="1"/>
  <c r="K1711" i="1"/>
  <c r="B1703" i="1"/>
  <c r="I1703" i="1"/>
  <c r="J1703" i="1"/>
  <c r="K1703" i="1"/>
  <c r="B1695" i="1"/>
  <c r="B1696" i="1"/>
  <c r="B1697" i="1"/>
  <c r="B1698" i="1"/>
  <c r="B1699" i="1"/>
  <c r="B1700" i="1"/>
  <c r="B1701" i="1"/>
  <c r="B1702" i="1"/>
  <c r="I1695" i="1"/>
  <c r="I1696" i="1"/>
  <c r="I1697" i="1"/>
  <c r="I1698" i="1"/>
  <c r="I1699" i="1"/>
  <c r="I1700" i="1"/>
  <c r="I1701" i="1"/>
  <c r="I1702" i="1"/>
  <c r="J1695" i="1"/>
  <c r="J1696" i="1"/>
  <c r="J1697" i="1"/>
  <c r="J1698" i="1"/>
  <c r="J1699" i="1"/>
  <c r="J1700" i="1"/>
  <c r="J1701" i="1"/>
  <c r="J1702" i="1"/>
  <c r="K1695" i="1"/>
  <c r="K1696" i="1"/>
  <c r="K1697" i="1"/>
  <c r="K1698" i="1"/>
  <c r="K1699" i="1"/>
  <c r="K1700" i="1"/>
  <c r="K1701" i="1"/>
  <c r="K1702" i="1"/>
  <c r="B1694" i="1"/>
  <c r="I1694" i="1"/>
  <c r="J1694" i="1"/>
  <c r="K1694" i="1"/>
  <c r="B1686" i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<sst xmlns="http://schemas.openxmlformats.org/spreadsheetml/2006/main" count="3742" uniqueCount="46">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</sst>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837" totalsRowShown="0" headerRowDxfId="13" dataDxfId="12" tableBorderDxfId="11">
  <autoFilter ref="A1:K183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941"/>
  <sheetViews>
    <sheetView showGridLines="0" tabSelected="1" zoomScale="90" zoomScaleNormal="90" zoomScaleSheetLayoutView="70" workbookViewId="0">
      <pane ySplit="1" topLeftCell="A1813" activePane="bottomLeft" state="frozen"/>
      <selection pane="bottomLeft" activeCell="H1838" sqref="H1838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28">
        <v>46295</v>
      </c>
      <c r="B1658" s="29" t="str">
        <f>UPPER(TEXT(A1658,"MMMM"))</f>
        <v>SETEMBRO</v>
      </c>
      <c r="C1658" s="6" t="s">
        <v>15</v>
      </c>
      <c r="D1658" s="12" t="s">
        <v>12</v>
      </c>
      <c r="E1658" s="30"/>
      <c r="F1658" s="30"/>
      <c r="G1658" s="29"/>
      <c r="H1658" s="31"/>
      <c r="I1658" s="29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28">
        <v>46295</v>
      </c>
      <c r="B1659" s="29" t="str">
        <f t="shared" ref="B1659:B1666" si="183">UPPER(TEXT(A1659,"MMMM"))</f>
        <v>SETEMBRO</v>
      </c>
      <c r="C1659" s="12" t="s">
        <v>16</v>
      </c>
      <c r="D1659" s="12" t="s">
        <v>12</v>
      </c>
      <c r="E1659" s="30">
        <v>238</v>
      </c>
      <c r="F1659" s="30">
        <v>26</v>
      </c>
      <c r="G1659" s="29">
        <v>7</v>
      </c>
      <c r="H1659" s="31">
        <v>7</v>
      </c>
      <c r="I1659" s="29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28">
        <v>46295</v>
      </c>
      <c r="B1660" s="29" t="str">
        <f t="shared" si="183"/>
        <v>SETEMBRO</v>
      </c>
      <c r="C1660" s="12" t="s">
        <v>17</v>
      </c>
      <c r="D1660" s="12" t="s">
        <v>12</v>
      </c>
      <c r="E1660" s="30">
        <v>352</v>
      </c>
      <c r="F1660" s="30">
        <v>407</v>
      </c>
      <c r="G1660" s="29">
        <v>16</v>
      </c>
      <c r="H1660" s="31">
        <v>16</v>
      </c>
      <c r="I1660" s="29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28">
        <v>46295</v>
      </c>
      <c r="B1661" s="29" t="str">
        <f t="shared" si="183"/>
        <v>SETEMBRO</v>
      </c>
      <c r="C1661" s="12" t="s">
        <v>18</v>
      </c>
      <c r="D1661" s="12" t="s">
        <v>12</v>
      </c>
      <c r="E1661" s="30"/>
      <c r="F1661" s="30"/>
      <c r="G1661" s="29"/>
      <c r="H1661" s="31"/>
      <c r="I1661" s="29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28">
        <v>46295</v>
      </c>
      <c r="B1662" s="29" t="str">
        <f t="shared" si="183"/>
        <v>SETEMBRO</v>
      </c>
      <c r="C1662" s="12" t="s">
        <v>19</v>
      </c>
      <c r="D1662" s="12" t="s">
        <v>12</v>
      </c>
      <c r="E1662" s="30"/>
      <c r="F1662" s="30"/>
      <c r="G1662" s="29"/>
      <c r="H1662" s="31"/>
      <c r="I1662" s="29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28">
        <v>46295</v>
      </c>
      <c r="B1663" s="29" t="str">
        <f t="shared" si="183"/>
        <v>SETEMBRO</v>
      </c>
      <c r="C1663" s="12" t="s">
        <v>20</v>
      </c>
      <c r="D1663" s="12" t="s">
        <v>12</v>
      </c>
      <c r="E1663" s="30">
        <v>590</v>
      </c>
      <c r="F1663" s="30">
        <v>433</v>
      </c>
      <c r="G1663" s="29">
        <v>100</v>
      </c>
      <c r="H1663" s="31">
        <v>100</v>
      </c>
      <c r="I1663" s="29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28">
        <v>46295</v>
      </c>
      <c r="B1664" s="29" t="str">
        <f t="shared" si="183"/>
        <v>SETEMBRO</v>
      </c>
      <c r="C1664" s="12" t="s">
        <v>11</v>
      </c>
      <c r="D1664" s="12" t="s">
        <v>12</v>
      </c>
      <c r="E1664" s="30">
        <v>860</v>
      </c>
      <c r="F1664" s="30">
        <v>900</v>
      </c>
      <c r="G1664" s="29">
        <v>43</v>
      </c>
      <c r="H1664" s="31">
        <v>43</v>
      </c>
      <c r="I1664" s="29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28">
        <v>46295</v>
      </c>
      <c r="B1665" s="29" t="str">
        <f t="shared" si="183"/>
        <v>SETEMBRO</v>
      </c>
      <c r="C1665" s="12" t="s">
        <v>32</v>
      </c>
      <c r="D1665" s="12" t="s">
        <v>12</v>
      </c>
      <c r="E1665" s="30">
        <v>99</v>
      </c>
      <c r="F1665" s="30">
        <v>108</v>
      </c>
      <c r="G1665" s="29">
        <v>9</v>
      </c>
      <c r="H1665" s="31">
        <v>9</v>
      </c>
      <c r="I1665" s="29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28">
        <v>46295</v>
      </c>
      <c r="B1666" s="29" t="str">
        <f t="shared" si="183"/>
        <v>SETEMBRO</v>
      </c>
      <c r="C1666" s="12" t="s">
        <v>14</v>
      </c>
      <c r="D1666" s="12" t="s">
        <v>12</v>
      </c>
      <c r="E1666" s="30">
        <v>968</v>
      </c>
      <c r="F1666" s="30">
        <v>999</v>
      </c>
      <c r="G1666" s="29">
        <v>103</v>
      </c>
      <c r="H1666" s="31">
        <v>103</v>
      </c>
      <c r="I1666" s="29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28">
        <v>46296</v>
      </c>
      <c r="B1667" s="29" t="str">
        <f>UPPER(TEXT(A1667,"MMMM"))</f>
        <v>OUTUBRO</v>
      </c>
      <c r="C1667" s="6" t="s">
        <v>15</v>
      </c>
      <c r="D1667" s="12" t="s">
        <v>12</v>
      </c>
      <c r="E1667" s="30">
        <v>60</v>
      </c>
      <c r="F1667" s="30">
        <v>1</v>
      </c>
      <c r="G1667" s="29">
        <v>4</v>
      </c>
      <c r="H1667" s="31">
        <v>4</v>
      </c>
      <c r="I1667" s="29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28">
        <v>46296</v>
      </c>
      <c r="B1668" s="29" t="str">
        <f t="shared" ref="B1668:B1675" si="184">UPPER(TEXT(A1668,"MMMM"))</f>
        <v>OUTUBRO</v>
      </c>
      <c r="C1668" s="12" t="s">
        <v>16</v>
      </c>
      <c r="D1668" s="12" t="s">
        <v>12</v>
      </c>
      <c r="E1668" s="30">
        <v>238</v>
      </c>
      <c r="F1668" s="30">
        <v>239</v>
      </c>
      <c r="G1668" s="29">
        <v>7</v>
      </c>
      <c r="H1668" s="31">
        <v>7</v>
      </c>
      <c r="I1668" s="29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28">
        <v>46296</v>
      </c>
      <c r="B1669" s="29" t="str">
        <f t="shared" si="184"/>
        <v>OUTUBRO</v>
      </c>
      <c r="C1669" s="12" t="s">
        <v>17</v>
      </c>
      <c r="D1669" s="12" t="s">
        <v>12</v>
      </c>
      <c r="E1669" s="30">
        <v>352</v>
      </c>
      <c r="F1669" s="30">
        <v>419</v>
      </c>
      <c r="G1669" s="29">
        <v>16</v>
      </c>
      <c r="H1669" s="31">
        <v>16</v>
      </c>
      <c r="I1669" s="29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28">
        <v>46296</v>
      </c>
      <c r="B1670" s="29" t="str">
        <f t="shared" si="184"/>
        <v>OUTUBRO</v>
      </c>
      <c r="C1670" s="12" t="s">
        <v>18</v>
      </c>
      <c r="D1670" s="12" t="s">
        <v>12</v>
      </c>
      <c r="E1670" s="30"/>
      <c r="F1670" s="30"/>
      <c r="G1670" s="29"/>
      <c r="H1670" s="31"/>
      <c r="I1670" s="29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28">
        <v>46296</v>
      </c>
      <c r="B1671" s="29" t="str">
        <f t="shared" si="184"/>
        <v>OUTUBRO</v>
      </c>
      <c r="C1671" s="12" t="s">
        <v>19</v>
      </c>
      <c r="D1671" s="12" t="s">
        <v>12</v>
      </c>
      <c r="E1671" s="30"/>
      <c r="F1671" s="30"/>
      <c r="G1671" s="29"/>
      <c r="H1671" s="31"/>
      <c r="I1671" s="29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28">
        <v>46296</v>
      </c>
      <c r="B1672" s="29" t="str">
        <f t="shared" si="184"/>
        <v>OUTUBRO</v>
      </c>
      <c r="C1672" s="12" t="s">
        <v>20</v>
      </c>
      <c r="D1672" s="12" t="s">
        <v>12</v>
      </c>
      <c r="E1672" s="30">
        <v>650</v>
      </c>
      <c r="F1672" s="30">
        <v>659</v>
      </c>
      <c r="G1672" s="29">
        <v>100</v>
      </c>
      <c r="H1672" s="31">
        <v>100</v>
      </c>
      <c r="I1672" s="29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28">
        <v>46296</v>
      </c>
      <c r="B1673" s="29" t="str">
        <f t="shared" si="184"/>
        <v>OUTUBRO</v>
      </c>
      <c r="C1673" s="12" t="s">
        <v>11</v>
      </c>
      <c r="D1673" s="12" t="s">
        <v>12</v>
      </c>
      <c r="E1673" s="30">
        <v>880</v>
      </c>
      <c r="F1673" s="30">
        <v>930</v>
      </c>
      <c r="G1673" s="29">
        <v>44</v>
      </c>
      <c r="H1673" s="31">
        <v>44</v>
      </c>
      <c r="I1673" s="29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28">
        <v>46296</v>
      </c>
      <c r="B1674" s="29" t="str">
        <f t="shared" si="184"/>
        <v>OUTUBRO</v>
      </c>
      <c r="C1674" s="12" t="s">
        <v>32</v>
      </c>
      <c r="D1674" s="12" t="s">
        <v>12</v>
      </c>
      <c r="E1674" s="30">
        <v>108</v>
      </c>
      <c r="F1674" s="30">
        <v>108</v>
      </c>
      <c r="G1674" s="29">
        <v>10</v>
      </c>
      <c r="H1674" s="31">
        <v>11</v>
      </c>
      <c r="I1674" s="29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28">
        <v>46296</v>
      </c>
      <c r="B1675" s="29" t="str">
        <f t="shared" si="184"/>
        <v>OUTUBRO</v>
      </c>
      <c r="C1675" s="12" t="s">
        <v>14</v>
      </c>
      <c r="D1675" s="12" t="s">
        <v>12</v>
      </c>
      <c r="E1675" s="30">
        <v>988</v>
      </c>
      <c r="F1675" s="30">
        <v>1038</v>
      </c>
      <c r="G1675" s="29">
        <v>108</v>
      </c>
      <c r="H1675" s="31">
        <v>108</v>
      </c>
      <c r="I1675" s="29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28">
        <v>46297</v>
      </c>
      <c r="B1676" s="29" t="str">
        <f>UPPER(TEXT(A1676,"MMMM"))</f>
        <v>OUTUBRO</v>
      </c>
      <c r="C1676" s="6" t="s">
        <v>15</v>
      </c>
      <c r="D1676" s="12" t="s">
        <v>12</v>
      </c>
      <c r="E1676" s="30">
        <v>60</v>
      </c>
      <c r="F1676" s="30">
        <v>41</v>
      </c>
      <c r="G1676" s="29">
        <v>4</v>
      </c>
      <c r="H1676" s="31">
        <v>4</v>
      </c>
      <c r="I1676" s="29">
        <f>IFERROR(IF(T_PROD[[#This Row],[PREVISTO]]-T_PROD[[#This Row],[EFETIVO]]&lt; 0,0,T_PROD[[#This Row],[PREVISTO]]-T_PROD[[#This Row],[EFETIVO]] ),"")</f>
        <v>0</v>
      </c>
      <c r="J1676" s="32">
        <f>IFERROR(IF(T_PROD[[#This Row],[META]]&gt;0,(T_PROD[[#This Row],[META]]/T_PROD[[#This Row],[PREVISTO]]),""),"")</f>
        <v>15</v>
      </c>
      <c r="K1676" s="32">
        <f>IFERROR(IF(T_PROD[[#This Row],[PRODUÇÃO]]&gt;0,(T_PROD[[#This Row],[PRODUÇÃO]]/T_PROD[[#This Row],[EFETIVO]]),""),"")</f>
        <v>10.25</v>
      </c>
    </row>
    <row r="1677" spans="1:11" x14ac:dyDescent="0.3">
      <c r="A1677" s="28">
        <v>46297</v>
      </c>
      <c r="B1677" s="29" t="str">
        <f t="shared" ref="B1677:B1684" si="185">UPPER(TEXT(A1677,"MMMM"))</f>
        <v>OUTUBRO</v>
      </c>
      <c r="C1677" s="12" t="s">
        <v>16</v>
      </c>
      <c r="D1677" s="12" t="s">
        <v>12</v>
      </c>
      <c r="E1677" s="30">
        <v>238</v>
      </c>
      <c r="F1677" s="30">
        <v>228</v>
      </c>
      <c r="G1677" s="29">
        <v>7</v>
      </c>
      <c r="H1677" s="31">
        <v>7</v>
      </c>
      <c r="I1677" s="29">
        <f>IFERROR(IF(T_PROD[[#This Row],[PREVISTO]]-T_PROD[[#This Row],[EFETIVO]]&lt; 0,0,T_PROD[[#This Row],[PREVISTO]]-T_PROD[[#This Row],[EFETIVO]] ),"")</f>
        <v>0</v>
      </c>
      <c r="J1677" s="32">
        <f>IFERROR(IF(T_PROD[[#This Row],[META]]&gt;0,(T_PROD[[#This Row],[META]]/T_PROD[[#This Row],[PREVISTO]]),""),"")</f>
        <v>34</v>
      </c>
      <c r="K1677" s="32">
        <f>IFERROR(IF(T_PROD[[#This Row],[PRODUÇÃO]]&gt;0,(T_PROD[[#This Row],[PRODUÇÃO]]/T_PROD[[#This Row],[EFETIVO]]),""),"")</f>
        <v>32.571428571428569</v>
      </c>
    </row>
    <row r="1678" spans="1:11" x14ac:dyDescent="0.3">
      <c r="A1678" s="28">
        <v>46297</v>
      </c>
      <c r="B1678" s="29" t="str">
        <f t="shared" si="185"/>
        <v>OUTUBRO</v>
      </c>
      <c r="C1678" s="12" t="s">
        <v>17</v>
      </c>
      <c r="D1678" s="12" t="s">
        <v>12</v>
      </c>
      <c r="E1678" s="30">
        <v>352</v>
      </c>
      <c r="F1678" s="30">
        <v>366</v>
      </c>
      <c r="G1678" s="29">
        <v>16</v>
      </c>
      <c r="H1678" s="31">
        <v>16</v>
      </c>
      <c r="I1678" s="29">
        <f>IFERROR(IF(T_PROD[[#This Row],[PREVISTO]]-T_PROD[[#This Row],[EFETIVO]]&lt; 0,0,T_PROD[[#This Row],[PREVISTO]]-T_PROD[[#This Row],[EFETIVO]] ),"")</f>
        <v>0</v>
      </c>
      <c r="J1678" s="32">
        <f>IFERROR(IF(T_PROD[[#This Row],[META]]&gt;0,(T_PROD[[#This Row],[META]]/T_PROD[[#This Row],[PREVISTO]]),""),"")</f>
        <v>22</v>
      </c>
      <c r="K1678" s="32">
        <f>IFERROR(IF(T_PROD[[#This Row],[PRODUÇÃO]]&gt;0,(T_PROD[[#This Row],[PRODUÇÃO]]/T_PROD[[#This Row],[EFETIVO]]),""),"")</f>
        <v>22.875</v>
      </c>
    </row>
    <row r="1679" spans="1:11" x14ac:dyDescent="0.3">
      <c r="A1679" s="28">
        <v>46297</v>
      </c>
      <c r="B1679" s="29" t="str">
        <f t="shared" si="185"/>
        <v>OUTUBRO</v>
      </c>
      <c r="C1679" s="12" t="s">
        <v>18</v>
      </c>
      <c r="D1679" s="12" t="s">
        <v>12</v>
      </c>
      <c r="E1679" s="30">
        <v>30</v>
      </c>
      <c r="F1679" s="30">
        <v>26</v>
      </c>
      <c r="G1679" s="29">
        <v>2</v>
      </c>
      <c r="H1679" s="31">
        <v>2</v>
      </c>
      <c r="I1679" s="29">
        <f>IFERROR(IF(T_PROD[[#This Row],[PREVISTO]]-T_PROD[[#This Row],[EFETIVO]]&lt; 0,0,T_PROD[[#This Row],[PREVISTO]]-T_PROD[[#This Row],[EFETIVO]] ),"")</f>
        <v>0</v>
      </c>
      <c r="J1679" s="32">
        <f>IFERROR(IF(T_PROD[[#This Row],[META]]&gt;0,(T_PROD[[#This Row],[META]]/T_PROD[[#This Row],[PREVISTO]]),""),"")</f>
        <v>15</v>
      </c>
      <c r="K1679" s="32">
        <f>IFERROR(IF(T_PROD[[#This Row],[PRODUÇÃO]]&gt;0,(T_PROD[[#This Row],[PRODUÇÃO]]/T_PROD[[#This Row],[EFETIVO]]),""),"")</f>
        <v>13</v>
      </c>
    </row>
    <row r="1680" spans="1:11" x14ac:dyDescent="0.3">
      <c r="A1680" s="28">
        <v>46297</v>
      </c>
      <c r="B1680" s="29" t="str">
        <f t="shared" si="185"/>
        <v>OUTUBRO</v>
      </c>
      <c r="C1680" s="12" t="s">
        <v>19</v>
      </c>
      <c r="D1680" s="12" t="s">
        <v>12</v>
      </c>
      <c r="E1680" s="30"/>
      <c r="F1680" s="30"/>
      <c r="G1680" s="29"/>
      <c r="H1680" s="31"/>
      <c r="I1680" s="29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28">
        <v>46297</v>
      </c>
      <c r="B1681" s="29" t="str">
        <f t="shared" si="185"/>
        <v>OUTUBRO</v>
      </c>
      <c r="C1681" s="12" t="s">
        <v>20</v>
      </c>
      <c r="D1681" s="12" t="s">
        <v>12</v>
      </c>
      <c r="E1681" s="30">
        <v>680</v>
      </c>
      <c r="F1681" s="30">
        <v>661</v>
      </c>
      <c r="G1681" s="29">
        <v>100</v>
      </c>
      <c r="H1681" s="31">
        <v>100</v>
      </c>
      <c r="I1681" s="29">
        <f>IFERROR(IF(T_PROD[[#This Row],[PREVISTO]]-T_PROD[[#This Row],[EFETIVO]]&lt; 0,0,T_PROD[[#This Row],[PREVISTO]]-T_PROD[[#This Row],[EFETIVO]] ),"")</f>
        <v>0</v>
      </c>
      <c r="J1681" s="32">
        <f>IFERROR(IF(T_PROD[[#This Row],[META]]&gt;0,(T_PROD[[#This Row],[META]]/T_PROD[[#This Row],[PREVISTO]]),""),"")</f>
        <v>6.8</v>
      </c>
      <c r="K1681" s="32">
        <f>IFERROR(IF(T_PROD[[#This Row],[PRODUÇÃO]]&gt;0,(T_PROD[[#This Row],[PRODUÇÃO]]/T_PROD[[#This Row],[EFETIVO]]),""),"")</f>
        <v>6.61</v>
      </c>
    </row>
    <row r="1682" spans="1:11" x14ac:dyDescent="0.3">
      <c r="A1682" s="28">
        <v>46297</v>
      </c>
      <c r="B1682" s="29" t="str">
        <f t="shared" si="185"/>
        <v>OUTUBRO</v>
      </c>
      <c r="C1682" s="12" t="s">
        <v>11</v>
      </c>
      <c r="D1682" s="12" t="s">
        <v>12</v>
      </c>
      <c r="E1682" s="30">
        <v>700</v>
      </c>
      <c r="F1682" s="30">
        <v>610</v>
      </c>
      <c r="G1682" s="29">
        <v>35</v>
      </c>
      <c r="H1682" s="31">
        <v>35</v>
      </c>
      <c r="I1682" s="29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28">
        <v>46297</v>
      </c>
      <c r="B1683" s="29" t="str">
        <f t="shared" si="185"/>
        <v>OUTUBRO</v>
      </c>
      <c r="C1683" s="12" t="s">
        <v>32</v>
      </c>
      <c r="D1683" s="12" t="s">
        <v>12</v>
      </c>
      <c r="E1683" s="30">
        <v>120</v>
      </c>
      <c r="F1683" s="30">
        <v>100</v>
      </c>
      <c r="G1683" s="29">
        <v>11</v>
      </c>
      <c r="H1683" s="31">
        <v>12</v>
      </c>
      <c r="I1683" s="29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28">
        <v>46297</v>
      </c>
      <c r="B1684" s="29" t="str">
        <f t="shared" si="185"/>
        <v>OUTUBRO</v>
      </c>
      <c r="C1684" s="12" t="s">
        <v>14</v>
      </c>
      <c r="D1684" s="12" t="s">
        <v>12</v>
      </c>
      <c r="E1684" s="30">
        <v>820</v>
      </c>
      <c r="F1684" s="30">
        <v>710</v>
      </c>
      <c r="G1684" s="29">
        <v>92</v>
      </c>
      <c r="H1684" s="31">
        <v>90</v>
      </c>
      <c r="I1684" s="29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28">
        <v>46300</v>
      </c>
      <c r="B1685" s="29" t="str">
        <f>UPPER(TEXT(A1685,"MMMM"))</f>
        <v>OUTUBRO</v>
      </c>
      <c r="C1685" s="6" t="s">
        <v>15</v>
      </c>
      <c r="D1685" s="12" t="s">
        <v>12</v>
      </c>
      <c r="E1685" s="30"/>
      <c r="F1685" s="30"/>
      <c r="G1685" s="29"/>
      <c r="H1685" s="31"/>
      <c r="I1685" s="29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28">
        <v>46300</v>
      </c>
      <c r="B1686" s="29" t="str">
        <f t="shared" ref="B1686:B1693" si="186">UPPER(TEXT(A1686,"MMMM"))</f>
        <v>OUTUBRO</v>
      </c>
      <c r="C1686" s="12" t="s">
        <v>16</v>
      </c>
      <c r="D1686" s="12" t="s">
        <v>12</v>
      </c>
      <c r="E1686" s="30">
        <v>238</v>
      </c>
      <c r="F1686" s="30">
        <v>172</v>
      </c>
      <c r="G1686" s="29">
        <v>7</v>
      </c>
      <c r="H1686" s="31">
        <v>7</v>
      </c>
      <c r="I1686" s="29">
        <f>IFERROR(IF(T_PROD[[#This Row],[PREVISTO]]-T_PROD[[#This Row],[EFETIVO]]&lt; 0,0,T_PROD[[#This Row],[PREVISTO]]-T_PROD[[#This Row],[EFETIVO]] ),"")</f>
        <v>0</v>
      </c>
      <c r="J1686" s="32">
        <f>IFERROR(IF(T_PROD[[#This Row],[META]]&gt;0,(T_PROD[[#This Row],[META]]/T_PROD[[#This Row],[PREVISTO]]),""),"")</f>
        <v>34</v>
      </c>
      <c r="K1686" s="32">
        <f>IFERROR(IF(T_PROD[[#This Row],[PRODUÇÃO]]&gt;0,(T_PROD[[#This Row],[PRODUÇÃO]]/T_PROD[[#This Row],[EFETIVO]]),""),"")</f>
        <v>24.571428571428573</v>
      </c>
    </row>
    <row r="1687" spans="1:11" x14ac:dyDescent="0.3">
      <c r="A1687" s="28">
        <v>46300</v>
      </c>
      <c r="B1687" s="29" t="str">
        <f t="shared" si="186"/>
        <v>OUTUBRO</v>
      </c>
      <c r="C1687" s="12" t="s">
        <v>17</v>
      </c>
      <c r="D1687" s="12" t="s">
        <v>12</v>
      </c>
      <c r="E1687" s="30">
        <v>330</v>
      </c>
      <c r="F1687" s="30">
        <v>274</v>
      </c>
      <c r="G1687" s="29">
        <v>15</v>
      </c>
      <c r="H1687" s="31">
        <v>15</v>
      </c>
      <c r="I1687" s="29">
        <f>IFERROR(IF(T_PROD[[#This Row],[PREVISTO]]-T_PROD[[#This Row],[EFETIVO]]&lt; 0,0,T_PROD[[#This Row],[PREVISTO]]-T_PROD[[#This Row],[EFETIVO]] ),"")</f>
        <v>0</v>
      </c>
      <c r="J1687" s="32">
        <f>IFERROR(IF(T_PROD[[#This Row],[META]]&gt;0,(T_PROD[[#This Row],[META]]/T_PROD[[#This Row],[PREVISTO]]),""),"")</f>
        <v>22</v>
      </c>
      <c r="K1687" s="32">
        <f>IFERROR(IF(T_PROD[[#This Row],[PRODUÇÃO]]&gt;0,(T_PROD[[#This Row],[PRODUÇÃO]]/T_PROD[[#This Row],[EFETIVO]]),""),"")</f>
        <v>18.266666666666666</v>
      </c>
    </row>
    <row r="1688" spans="1:11" x14ac:dyDescent="0.3">
      <c r="A1688" s="28">
        <v>46300</v>
      </c>
      <c r="B1688" s="29" t="str">
        <f t="shared" si="186"/>
        <v>OUTUBRO</v>
      </c>
      <c r="C1688" s="12" t="s">
        <v>18</v>
      </c>
      <c r="D1688" s="12" t="s">
        <v>12</v>
      </c>
      <c r="E1688" s="30"/>
      <c r="F1688" s="30"/>
      <c r="G1688" s="29"/>
      <c r="H1688" s="31"/>
      <c r="I1688" s="29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28">
        <v>46300</v>
      </c>
      <c r="B1689" s="29" t="str">
        <f t="shared" si="186"/>
        <v>OUTUBRO</v>
      </c>
      <c r="C1689" s="12" t="s">
        <v>19</v>
      </c>
      <c r="D1689" s="12" t="s">
        <v>12</v>
      </c>
      <c r="E1689" s="30"/>
      <c r="F1689" s="30"/>
      <c r="G1689" s="29"/>
      <c r="H1689" s="31"/>
      <c r="I1689" s="29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28">
        <v>46300</v>
      </c>
      <c r="B1690" s="29" t="str">
        <f t="shared" si="186"/>
        <v>OUTUBRO</v>
      </c>
      <c r="C1690" s="12" t="s">
        <v>20</v>
      </c>
      <c r="D1690" s="12" t="s">
        <v>12</v>
      </c>
      <c r="E1690" s="30">
        <v>568</v>
      </c>
      <c r="F1690" s="30">
        <v>446</v>
      </c>
      <c r="G1690" s="29">
        <v>100</v>
      </c>
      <c r="H1690" s="31">
        <v>100</v>
      </c>
      <c r="I1690" s="29">
        <f>IFERROR(IF(T_PROD[[#This Row],[PREVISTO]]-T_PROD[[#This Row],[EFETIVO]]&lt; 0,0,T_PROD[[#This Row],[PREVISTO]]-T_PROD[[#This Row],[EFETIVO]] ),"")</f>
        <v>0</v>
      </c>
      <c r="J1690" s="32">
        <f>IFERROR(IF(T_PROD[[#This Row],[META]]&gt;0,(T_PROD[[#This Row],[META]]/T_PROD[[#This Row],[PREVISTO]]),""),"")</f>
        <v>5.68</v>
      </c>
      <c r="K1690" s="32">
        <f>IFERROR(IF(T_PROD[[#This Row],[PRODUÇÃO]]&gt;0,(T_PROD[[#This Row],[PRODUÇÃO]]/T_PROD[[#This Row],[EFETIVO]]),""),"")</f>
        <v>4.46</v>
      </c>
    </row>
    <row r="1691" spans="1:11" x14ac:dyDescent="0.3">
      <c r="A1691" s="28">
        <v>46300</v>
      </c>
      <c r="B1691" s="29" t="str">
        <f t="shared" si="186"/>
        <v>OUTUBRO</v>
      </c>
      <c r="C1691" s="12" t="s">
        <v>11</v>
      </c>
      <c r="D1691" s="12" t="s">
        <v>12</v>
      </c>
      <c r="E1691" s="30">
        <v>800</v>
      </c>
      <c r="F1691" s="30">
        <v>800</v>
      </c>
      <c r="G1691" s="29">
        <v>40</v>
      </c>
      <c r="H1691" s="31">
        <v>40</v>
      </c>
      <c r="I1691" s="29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28">
        <v>46300</v>
      </c>
      <c r="B1692" s="29" t="str">
        <f t="shared" si="186"/>
        <v>OUTUBRO</v>
      </c>
      <c r="C1692" s="12" t="s">
        <v>32</v>
      </c>
      <c r="D1692" s="12" t="s">
        <v>12</v>
      </c>
      <c r="E1692" s="30">
        <v>120</v>
      </c>
      <c r="F1692" s="30">
        <v>107</v>
      </c>
      <c r="G1692" s="29">
        <v>10</v>
      </c>
      <c r="H1692" s="31">
        <v>10</v>
      </c>
      <c r="I1692" s="29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28">
        <v>46300</v>
      </c>
      <c r="B1693" s="29" t="str">
        <f t="shared" si="186"/>
        <v>OUTUBRO</v>
      </c>
      <c r="C1693" s="12" t="s">
        <v>14</v>
      </c>
      <c r="D1693" s="12" t="s">
        <v>12</v>
      </c>
      <c r="E1693" s="30">
        <v>920</v>
      </c>
      <c r="F1693" s="30">
        <v>907</v>
      </c>
      <c r="G1693" s="29">
        <v>105</v>
      </c>
      <c r="H1693" s="31">
        <v>103</v>
      </c>
      <c r="I1693" s="29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28">
        <v>46301</v>
      </c>
      <c r="B1694" s="29" t="str">
        <f>UPPER(TEXT(A1694,"MMMM"))</f>
        <v>OUTUBRO</v>
      </c>
      <c r="C1694" s="6" t="s">
        <v>15</v>
      </c>
      <c r="D1694" s="12" t="s">
        <v>12</v>
      </c>
      <c r="E1694" s="30"/>
      <c r="F1694" s="30"/>
      <c r="G1694" s="29"/>
      <c r="H1694" s="31"/>
      <c r="I1694" s="29">
        <f>IFERROR(IF(T_PROD[[#This Row],[PREVISTO]]-T_PROD[[#This Row],[EFETIVO]]&lt; 0,0,T_PROD[[#This Row],[PREVISTO]]-T_PROD[[#This Row],[EFETIVO]] ),"")</f>
        <v>0</v>
      </c>
      <c r="J1694" s="32" t="str">
        <f>IFERROR(IF(T_PROD[[#This Row],[META]]&gt;0,(T_PROD[[#This Row],[META]]/T_PROD[[#This Row],[PREVISTO]]),""),"")</f>
        <v/>
      </c>
      <c r="K1694" s="32" t="str">
        <f>IFERROR(IF(T_PROD[[#This Row],[PRODUÇÃO]]&gt;0,(T_PROD[[#This Row],[PRODUÇÃO]]/T_PROD[[#This Row],[EFETIVO]]),""),"")</f>
        <v/>
      </c>
    </row>
    <row r="1695" spans="1:11" x14ac:dyDescent="0.3">
      <c r="A1695" s="28">
        <v>46301</v>
      </c>
      <c r="B1695" s="29" t="str">
        <f t="shared" ref="B1695:B1702" si="187">UPPER(TEXT(A1695,"MMMM"))</f>
        <v>OUTUBRO</v>
      </c>
      <c r="C1695" s="12" t="s">
        <v>16</v>
      </c>
      <c r="D1695" s="12" t="s">
        <v>12</v>
      </c>
      <c r="E1695" s="30"/>
      <c r="F1695" s="30"/>
      <c r="G1695" s="29"/>
      <c r="H1695" s="31"/>
      <c r="I1695" s="29">
        <f>IFERROR(IF(T_PROD[[#This Row],[PREVISTO]]-T_PROD[[#This Row],[EFETIVO]]&lt; 0,0,T_PROD[[#This Row],[PREVISTO]]-T_PROD[[#This Row],[EFETIVO]] ),"")</f>
        <v>0</v>
      </c>
      <c r="J1695" s="32" t="str">
        <f>IFERROR(IF(T_PROD[[#This Row],[META]]&gt;0,(T_PROD[[#This Row],[META]]/T_PROD[[#This Row],[PREVISTO]]),""),"")</f>
        <v/>
      </c>
      <c r="K1695" s="32" t="str">
        <f>IFERROR(IF(T_PROD[[#This Row],[PRODUÇÃO]]&gt;0,(T_PROD[[#This Row],[PRODUÇÃO]]/T_PROD[[#This Row],[EFETIVO]]),""),"")</f>
        <v/>
      </c>
    </row>
    <row r="1696" spans="1:11" x14ac:dyDescent="0.3">
      <c r="A1696" s="28">
        <v>46301</v>
      </c>
      <c r="B1696" s="29" t="str">
        <f t="shared" si="187"/>
        <v>OUTUBRO</v>
      </c>
      <c r="C1696" s="12" t="s">
        <v>17</v>
      </c>
      <c r="D1696" s="12" t="s">
        <v>12</v>
      </c>
      <c r="E1696" s="30"/>
      <c r="F1696" s="30"/>
      <c r="G1696" s="29"/>
      <c r="H1696" s="31"/>
      <c r="I1696" s="29">
        <f>IFERROR(IF(T_PROD[[#This Row],[PREVISTO]]-T_PROD[[#This Row],[EFETIVO]]&lt; 0,0,T_PROD[[#This Row],[PREVISTO]]-T_PROD[[#This Row],[EFETIVO]] ),"")</f>
        <v>0</v>
      </c>
      <c r="J1696" s="32" t="str">
        <f>IFERROR(IF(T_PROD[[#This Row],[META]]&gt;0,(T_PROD[[#This Row],[META]]/T_PROD[[#This Row],[PREVISTO]]),""),"")</f>
        <v/>
      </c>
      <c r="K1696" s="32" t="str">
        <f>IFERROR(IF(T_PROD[[#This Row],[PRODUÇÃO]]&gt;0,(T_PROD[[#This Row],[PRODUÇÃO]]/T_PROD[[#This Row],[EFETIVO]]),""),"")</f>
        <v/>
      </c>
    </row>
    <row r="1697" spans="1:11" x14ac:dyDescent="0.3">
      <c r="A1697" s="28">
        <v>46301</v>
      </c>
      <c r="B1697" s="29" t="str">
        <f t="shared" si="187"/>
        <v>OUTUBRO</v>
      </c>
      <c r="C1697" s="12" t="s">
        <v>18</v>
      </c>
      <c r="D1697" s="12" t="s">
        <v>12</v>
      </c>
      <c r="E1697" s="30"/>
      <c r="F1697" s="30"/>
      <c r="G1697" s="29"/>
      <c r="H1697" s="31"/>
      <c r="I1697" s="29">
        <f>IFERROR(IF(T_PROD[[#This Row],[PREVISTO]]-T_PROD[[#This Row],[EFETIVO]]&lt; 0,0,T_PROD[[#This Row],[PREVISTO]]-T_PROD[[#This Row],[EFETIVO]] ),"")</f>
        <v>0</v>
      </c>
      <c r="J1697" s="32" t="str">
        <f>IFERROR(IF(T_PROD[[#This Row],[META]]&gt;0,(T_PROD[[#This Row],[META]]/T_PROD[[#This Row],[PREVISTO]]),""),"")</f>
        <v/>
      </c>
      <c r="K1697" s="32" t="str">
        <f>IFERROR(IF(T_PROD[[#This Row],[PRODUÇÃO]]&gt;0,(T_PROD[[#This Row],[PRODUÇÃO]]/T_PROD[[#This Row],[EFETIVO]]),""),"")</f>
        <v/>
      </c>
    </row>
    <row r="1698" spans="1:11" x14ac:dyDescent="0.3">
      <c r="A1698" s="28">
        <v>46301</v>
      </c>
      <c r="B1698" s="29" t="str">
        <f t="shared" si="187"/>
        <v>OUTUBRO</v>
      </c>
      <c r="C1698" s="12" t="s">
        <v>19</v>
      </c>
      <c r="D1698" s="12" t="s">
        <v>12</v>
      </c>
      <c r="E1698" s="30"/>
      <c r="F1698" s="30"/>
      <c r="G1698" s="29"/>
      <c r="H1698" s="31"/>
      <c r="I1698" s="29">
        <f>IFERROR(IF(T_PROD[[#This Row],[PREVISTO]]-T_PROD[[#This Row],[EFETIVO]]&lt; 0,0,T_PROD[[#This Row],[PREVISTO]]-T_PROD[[#This Row],[EFETIVO]] ),"")</f>
        <v>0</v>
      </c>
      <c r="J1698" s="32" t="str">
        <f>IFERROR(IF(T_PROD[[#This Row],[META]]&gt;0,(T_PROD[[#This Row],[META]]/T_PROD[[#This Row],[PREVISTO]]),""),"")</f>
        <v/>
      </c>
      <c r="K1698" s="32" t="str">
        <f>IFERROR(IF(T_PROD[[#This Row],[PRODUÇÃO]]&gt;0,(T_PROD[[#This Row],[PRODUÇÃO]]/T_PROD[[#This Row],[EFETIVO]]),""),"")</f>
        <v/>
      </c>
    </row>
    <row r="1699" spans="1:11" x14ac:dyDescent="0.3">
      <c r="A1699" s="28">
        <v>46301</v>
      </c>
      <c r="B1699" s="29" t="str">
        <f t="shared" si="187"/>
        <v>OUTUBRO</v>
      </c>
      <c r="C1699" s="12" t="s">
        <v>20</v>
      </c>
      <c r="D1699" s="12" t="s">
        <v>12</v>
      </c>
      <c r="E1699" s="30"/>
      <c r="F1699" s="30"/>
      <c r="G1699" s="29"/>
      <c r="H1699" s="31"/>
      <c r="I1699" s="29">
        <f>IFERROR(IF(T_PROD[[#This Row],[PREVISTO]]-T_PROD[[#This Row],[EFETIVO]]&lt; 0,0,T_PROD[[#This Row],[PREVISTO]]-T_PROD[[#This Row],[EFETIVO]] ),"")</f>
        <v>0</v>
      </c>
      <c r="J1699" s="32" t="str">
        <f>IFERROR(IF(T_PROD[[#This Row],[META]]&gt;0,(T_PROD[[#This Row],[META]]/T_PROD[[#This Row],[PREVISTO]]),""),"")</f>
        <v/>
      </c>
      <c r="K1699" s="32" t="str">
        <f>IFERROR(IF(T_PROD[[#This Row],[PRODUÇÃO]]&gt;0,(T_PROD[[#This Row],[PRODUÇÃO]]/T_PROD[[#This Row],[EFETIVO]]),""),"")</f>
        <v/>
      </c>
    </row>
    <row r="1700" spans="1:11" x14ac:dyDescent="0.3">
      <c r="A1700" s="28">
        <v>46301</v>
      </c>
      <c r="B1700" s="29" t="str">
        <f t="shared" si="187"/>
        <v>OUTUBRO</v>
      </c>
      <c r="C1700" s="12" t="s">
        <v>11</v>
      </c>
      <c r="D1700" s="12" t="s">
        <v>12</v>
      </c>
      <c r="E1700" s="30">
        <v>840</v>
      </c>
      <c r="F1700" s="30">
        <v>880</v>
      </c>
      <c r="G1700" s="29">
        <v>42</v>
      </c>
      <c r="H1700" s="31">
        <v>42</v>
      </c>
      <c r="I1700" s="29">
        <f>IFERROR(IF(T_PROD[[#This Row],[PREVISTO]]-T_PROD[[#This Row],[EFETIVO]]&lt; 0,0,T_PROD[[#This Row],[PREVISTO]]-T_PROD[[#This Row],[EFETIVO]] ),"")</f>
        <v>0</v>
      </c>
      <c r="J1700" s="32">
        <f>IFERROR(IF(T_PROD[[#This Row],[META]]&gt;0,(T_PROD[[#This Row],[META]]/T_PROD[[#This Row],[PREVISTO]]),""),"")</f>
        <v>20</v>
      </c>
      <c r="K1700" s="32">
        <f>IFERROR(IF(T_PROD[[#This Row],[PRODUÇÃO]]&gt;0,(T_PROD[[#This Row],[PRODUÇÃO]]/T_PROD[[#This Row],[EFETIVO]]),""),"")</f>
        <v>20.952380952380953</v>
      </c>
    </row>
    <row r="1701" spans="1:11" x14ac:dyDescent="0.3">
      <c r="A1701" s="28">
        <v>46301</v>
      </c>
      <c r="B1701" s="29" t="str">
        <f t="shared" si="187"/>
        <v>OUTUBRO</v>
      </c>
      <c r="C1701" s="12" t="s">
        <v>32</v>
      </c>
      <c r="D1701" s="12" t="s">
        <v>12</v>
      </c>
      <c r="E1701" s="30">
        <v>120</v>
      </c>
      <c r="F1701" s="30">
        <v>125</v>
      </c>
      <c r="G1701" s="29">
        <v>10</v>
      </c>
      <c r="H1701" s="31">
        <v>10</v>
      </c>
      <c r="I1701" s="29">
        <f>IFERROR(IF(T_PROD[[#This Row],[PREVISTO]]-T_PROD[[#This Row],[EFETIVO]]&lt; 0,0,T_PROD[[#This Row],[PREVISTO]]-T_PROD[[#This Row],[EFETIVO]] ),"")</f>
        <v>0</v>
      </c>
      <c r="J1701" s="32">
        <f>IFERROR(IF(T_PROD[[#This Row],[META]]&gt;0,(T_PROD[[#This Row],[META]]/T_PROD[[#This Row],[PREVISTO]]),""),"")</f>
        <v>12</v>
      </c>
      <c r="K1701" s="32">
        <f>IFERROR(IF(T_PROD[[#This Row],[PRODUÇÃO]]&gt;0,(T_PROD[[#This Row],[PRODUÇÃO]]/T_PROD[[#This Row],[EFETIVO]]),""),"")</f>
        <v>12.5</v>
      </c>
    </row>
    <row r="1702" spans="1:11" x14ac:dyDescent="0.3">
      <c r="A1702" s="28">
        <v>46301</v>
      </c>
      <c r="B1702" s="29" t="str">
        <f t="shared" si="187"/>
        <v>OUTUBRO</v>
      </c>
      <c r="C1702" s="12" t="s">
        <v>14</v>
      </c>
      <c r="D1702" s="12" t="s">
        <v>12</v>
      </c>
      <c r="E1702" s="30">
        <v>960</v>
      </c>
      <c r="F1702" s="30">
        <v>1005</v>
      </c>
      <c r="G1702" s="29">
        <v>105</v>
      </c>
      <c r="H1702" s="31">
        <v>103</v>
      </c>
      <c r="I1702" s="29">
        <f>IFERROR(IF(T_PROD[[#This Row],[PREVISTO]]-T_PROD[[#This Row],[EFETIVO]]&lt; 0,0,T_PROD[[#This Row],[PREVISTO]]-T_PROD[[#This Row],[EFETIVO]] ),"")</f>
        <v>2</v>
      </c>
      <c r="J1702" s="32">
        <f>IFERROR(IF(T_PROD[[#This Row],[META]]&gt;0,(T_PROD[[#This Row],[META]]/T_PROD[[#This Row],[PREVISTO]]),""),"")</f>
        <v>9.1428571428571423</v>
      </c>
      <c r="K1702" s="32">
        <f>IFERROR(IF(T_PROD[[#This Row],[PRODUÇÃO]]&gt;0,(T_PROD[[#This Row],[PRODUÇÃO]]/T_PROD[[#This Row],[EFETIVO]]),""),"")</f>
        <v>9.7572815533980588</v>
      </c>
    </row>
    <row r="1703" spans="1:11" x14ac:dyDescent="0.3">
      <c r="A1703" s="28">
        <v>46302</v>
      </c>
      <c r="B1703" s="29" t="str">
        <f>UPPER(TEXT(A1703,"MMMM"))</f>
        <v>OUTUBRO</v>
      </c>
      <c r="C1703" s="6" t="s">
        <v>15</v>
      </c>
      <c r="D1703" s="12" t="s">
        <v>12</v>
      </c>
      <c r="E1703" s="30">
        <v>45</v>
      </c>
      <c r="F1703" s="30">
        <v>6</v>
      </c>
      <c r="G1703" s="29">
        <v>3</v>
      </c>
      <c r="H1703" s="31">
        <v>3</v>
      </c>
      <c r="I1703" s="29">
        <f>IFERROR(IF(T_PROD[[#This Row],[PREVISTO]]-T_PROD[[#This Row],[EFETIVO]]&lt; 0,0,T_PROD[[#This Row],[PREVISTO]]-T_PROD[[#This Row],[EFETIVO]] ),"")</f>
        <v>0</v>
      </c>
      <c r="J1703" s="32">
        <f>IFERROR(IF(T_PROD[[#This Row],[META]]&gt;0,(T_PROD[[#This Row],[META]]/T_PROD[[#This Row],[PREVISTO]]),""),"")</f>
        <v>15</v>
      </c>
      <c r="K1703" s="32">
        <f>IFERROR(IF(T_PROD[[#This Row],[PRODUÇÃO]]&gt;0,(T_PROD[[#This Row],[PRODUÇÃO]]/T_PROD[[#This Row],[EFETIVO]]),""),"")</f>
        <v>2</v>
      </c>
    </row>
    <row r="1704" spans="1:11" x14ac:dyDescent="0.3">
      <c r="A1704" s="28">
        <v>46302</v>
      </c>
      <c r="B1704" s="29" t="str">
        <f t="shared" ref="B1704:B1711" si="188">UPPER(TEXT(A1704,"MMMM"))</f>
        <v>OUTUBRO</v>
      </c>
      <c r="C1704" s="12" t="s">
        <v>16</v>
      </c>
      <c r="D1704" s="12" t="s">
        <v>12</v>
      </c>
      <c r="E1704" s="30">
        <v>272</v>
      </c>
      <c r="F1704" s="30">
        <v>280</v>
      </c>
      <c r="G1704" s="29">
        <v>8</v>
      </c>
      <c r="H1704" s="31">
        <v>8</v>
      </c>
      <c r="I1704" s="29">
        <f>IFERROR(IF(T_PROD[[#This Row],[PREVISTO]]-T_PROD[[#This Row],[EFETIVO]]&lt; 0,0,T_PROD[[#This Row],[PREVISTO]]-T_PROD[[#This Row],[EFETIVO]] ),"")</f>
        <v>0</v>
      </c>
      <c r="J1704" s="32">
        <f>IFERROR(IF(T_PROD[[#This Row],[META]]&gt;0,(T_PROD[[#This Row],[META]]/T_PROD[[#This Row],[PREVISTO]]),""),"")</f>
        <v>34</v>
      </c>
      <c r="K1704" s="32">
        <f>IFERROR(IF(T_PROD[[#This Row],[PRODUÇÃO]]&gt;0,(T_PROD[[#This Row],[PRODUÇÃO]]/T_PROD[[#This Row],[EFETIVO]]),""),"")</f>
        <v>35</v>
      </c>
    </row>
    <row r="1705" spans="1:11" x14ac:dyDescent="0.3">
      <c r="A1705" s="28">
        <v>46302</v>
      </c>
      <c r="B1705" s="29" t="str">
        <f t="shared" si="188"/>
        <v>OUTUBRO</v>
      </c>
      <c r="C1705" s="12" t="s">
        <v>17</v>
      </c>
      <c r="D1705" s="12" t="s">
        <v>12</v>
      </c>
      <c r="E1705" s="30">
        <v>330</v>
      </c>
      <c r="F1705" s="30">
        <v>313</v>
      </c>
      <c r="G1705" s="29">
        <v>16</v>
      </c>
      <c r="H1705" s="31">
        <v>16</v>
      </c>
      <c r="I1705" s="29">
        <f>IFERROR(IF(T_PROD[[#This Row],[PREVISTO]]-T_PROD[[#This Row],[EFETIVO]]&lt; 0,0,T_PROD[[#This Row],[PREVISTO]]-T_PROD[[#This Row],[EFETIVO]] ),"")</f>
        <v>0</v>
      </c>
      <c r="J1705" s="32">
        <f>IFERROR(IF(T_PROD[[#This Row],[META]]&gt;0,(T_PROD[[#This Row],[META]]/T_PROD[[#This Row],[PREVISTO]]),""),"")</f>
        <v>20.625</v>
      </c>
      <c r="K1705" s="32">
        <f>IFERROR(IF(T_PROD[[#This Row],[PRODUÇÃO]]&gt;0,(T_PROD[[#This Row],[PRODUÇÃO]]/T_PROD[[#This Row],[EFETIVO]]),""),"")</f>
        <v>19.5625</v>
      </c>
    </row>
    <row r="1706" spans="1:11" x14ac:dyDescent="0.3">
      <c r="A1706" s="28">
        <v>46302</v>
      </c>
      <c r="B1706" s="29" t="str">
        <f t="shared" si="188"/>
        <v>OUTUBRO</v>
      </c>
      <c r="C1706" s="12" t="s">
        <v>18</v>
      </c>
      <c r="D1706" s="12" t="s">
        <v>12</v>
      </c>
      <c r="E1706" s="30"/>
      <c r="F1706" s="30"/>
      <c r="G1706" s="29"/>
      <c r="H1706" s="31"/>
      <c r="I1706" s="29">
        <f>IFERROR(IF(T_PROD[[#This Row],[PREVISTO]]-T_PROD[[#This Row],[EFETIVO]]&lt; 0,0,T_PROD[[#This Row],[PREVISTO]]-T_PROD[[#This Row],[EFETIVO]] ),"")</f>
        <v>0</v>
      </c>
      <c r="J1706" s="32" t="str">
        <f>IFERROR(IF(T_PROD[[#This Row],[META]]&gt;0,(T_PROD[[#This Row],[META]]/T_PROD[[#This Row],[PREVISTO]]),""),"")</f>
        <v/>
      </c>
      <c r="K1706" s="32" t="str">
        <f>IFERROR(IF(T_PROD[[#This Row],[PRODUÇÃO]]&gt;0,(T_PROD[[#This Row],[PRODUÇÃO]]/T_PROD[[#This Row],[EFETIVO]]),""),"")</f>
        <v/>
      </c>
    </row>
    <row r="1707" spans="1:11" x14ac:dyDescent="0.3">
      <c r="A1707" s="28">
        <v>46302</v>
      </c>
      <c r="B1707" s="29" t="str">
        <f t="shared" si="188"/>
        <v>OUTUBRO</v>
      </c>
      <c r="C1707" s="12" t="s">
        <v>19</v>
      </c>
      <c r="D1707" s="12" t="s">
        <v>12</v>
      </c>
      <c r="E1707" s="30"/>
      <c r="F1707" s="30"/>
      <c r="G1707" s="29"/>
      <c r="H1707" s="31"/>
      <c r="I1707" s="29">
        <f>IFERROR(IF(T_PROD[[#This Row],[PREVISTO]]-T_PROD[[#This Row],[EFETIVO]]&lt; 0,0,T_PROD[[#This Row],[PREVISTO]]-T_PROD[[#This Row],[EFETIVO]] ),"")</f>
        <v>0</v>
      </c>
      <c r="J1707" s="32" t="str">
        <f>IFERROR(IF(T_PROD[[#This Row],[META]]&gt;0,(T_PROD[[#This Row],[META]]/T_PROD[[#This Row],[PREVISTO]]),""),"")</f>
        <v/>
      </c>
      <c r="K1707" s="32" t="str">
        <f>IFERROR(IF(T_PROD[[#This Row],[PRODUÇÃO]]&gt;0,(T_PROD[[#This Row],[PRODUÇÃO]]/T_PROD[[#This Row],[EFETIVO]]),""),"")</f>
        <v/>
      </c>
    </row>
    <row r="1708" spans="1:11" x14ac:dyDescent="0.3">
      <c r="A1708" s="28">
        <v>46302</v>
      </c>
      <c r="B1708" s="29" t="str">
        <f t="shared" si="188"/>
        <v>OUTUBRO</v>
      </c>
      <c r="C1708" s="12" t="s">
        <v>20</v>
      </c>
      <c r="D1708" s="12" t="s">
        <v>12</v>
      </c>
      <c r="E1708" s="30">
        <v>647</v>
      </c>
      <c r="F1708" s="30">
        <v>599</v>
      </c>
      <c r="G1708" s="29">
        <v>120</v>
      </c>
      <c r="H1708" s="31">
        <v>120</v>
      </c>
      <c r="I1708" s="29">
        <f>IFERROR(IF(T_PROD[[#This Row],[PREVISTO]]-T_PROD[[#This Row],[EFETIVO]]&lt; 0,0,T_PROD[[#This Row],[PREVISTO]]-T_PROD[[#This Row],[EFETIVO]] ),"")</f>
        <v>0</v>
      </c>
      <c r="J1708" s="32">
        <f>IFERROR(IF(T_PROD[[#This Row],[META]]&gt;0,(T_PROD[[#This Row],[META]]/T_PROD[[#This Row],[PREVISTO]]),""),"")</f>
        <v>5.3916666666666666</v>
      </c>
      <c r="K1708" s="32">
        <f>IFERROR(IF(T_PROD[[#This Row],[PRODUÇÃO]]&gt;0,(T_PROD[[#This Row],[PRODUÇÃO]]/T_PROD[[#This Row],[EFETIVO]]),""),"")</f>
        <v>4.9916666666666663</v>
      </c>
    </row>
    <row r="1709" spans="1:11" x14ac:dyDescent="0.3">
      <c r="A1709" s="28">
        <v>46302</v>
      </c>
      <c r="B1709" s="29" t="str">
        <f t="shared" si="188"/>
        <v>OUTUBRO</v>
      </c>
      <c r="C1709" s="12" t="s">
        <v>11</v>
      </c>
      <c r="D1709" s="12" t="s">
        <v>12</v>
      </c>
      <c r="E1709" s="30">
        <v>860</v>
      </c>
      <c r="F1709" s="30">
        <v>870</v>
      </c>
      <c r="G1709" s="29">
        <v>43</v>
      </c>
      <c r="H1709" s="31">
        <v>43</v>
      </c>
      <c r="I1709" s="29">
        <f>IFERROR(IF(T_PROD[[#This Row],[PREVISTO]]-T_PROD[[#This Row],[EFETIVO]]&lt; 0,0,T_PROD[[#This Row],[PREVISTO]]-T_PROD[[#This Row],[EFETIVO]] ),"")</f>
        <v>0</v>
      </c>
      <c r="J1709" s="32">
        <f>IFERROR(IF(T_PROD[[#This Row],[META]]&gt;0,(T_PROD[[#This Row],[META]]/T_PROD[[#This Row],[PREVISTO]]),""),"")</f>
        <v>20</v>
      </c>
      <c r="K1709" s="32">
        <f>IFERROR(IF(T_PROD[[#This Row],[PRODUÇÃO]]&gt;0,(T_PROD[[#This Row],[PRODUÇÃO]]/T_PROD[[#This Row],[EFETIVO]]),""),"")</f>
        <v>20.232558139534884</v>
      </c>
    </row>
    <row r="1710" spans="1:11" x14ac:dyDescent="0.3">
      <c r="A1710" s="28">
        <v>46302</v>
      </c>
      <c r="B1710" s="29" t="str">
        <f t="shared" si="188"/>
        <v>OUTUBRO</v>
      </c>
      <c r="C1710" s="12" t="s">
        <v>32</v>
      </c>
      <c r="D1710" s="12" t="s">
        <v>12</v>
      </c>
      <c r="E1710" s="30">
        <v>88</v>
      </c>
      <c r="F1710" s="30">
        <v>94</v>
      </c>
      <c r="G1710" s="29">
        <v>8</v>
      </c>
      <c r="H1710" s="31">
        <v>8</v>
      </c>
      <c r="I1710" s="29">
        <f>IFERROR(IF(T_PROD[[#This Row],[PREVISTO]]-T_PROD[[#This Row],[EFETIVO]]&lt; 0,0,T_PROD[[#This Row],[PREVISTO]]-T_PROD[[#This Row],[EFETIVO]] ),"")</f>
        <v>0</v>
      </c>
      <c r="J1710" s="32">
        <f>IFERROR(IF(T_PROD[[#This Row],[META]]&gt;0,(T_PROD[[#This Row],[META]]/T_PROD[[#This Row],[PREVISTO]]),""),"")</f>
        <v>11</v>
      </c>
      <c r="K1710" s="32">
        <f>IFERROR(IF(T_PROD[[#This Row],[PRODUÇÃO]]&gt;0,(T_PROD[[#This Row],[PRODUÇÃO]]/T_PROD[[#This Row],[EFETIVO]]),""),"")</f>
        <v>11.75</v>
      </c>
    </row>
    <row r="1711" spans="1:11" x14ac:dyDescent="0.3">
      <c r="A1711" s="28">
        <v>46302</v>
      </c>
      <c r="B1711" s="29" t="str">
        <f t="shared" si="188"/>
        <v>OUTUBRO</v>
      </c>
      <c r="C1711" s="12" t="s">
        <v>14</v>
      </c>
      <c r="D1711" s="12" t="s">
        <v>12</v>
      </c>
      <c r="E1711" s="30">
        <v>948</v>
      </c>
      <c r="F1711" s="30">
        <v>964</v>
      </c>
      <c r="G1711" s="29">
        <v>105</v>
      </c>
      <c r="H1711" s="31">
        <v>105</v>
      </c>
      <c r="I1711" s="29">
        <f>IFERROR(IF(T_PROD[[#This Row],[PREVISTO]]-T_PROD[[#This Row],[EFETIVO]]&lt; 0,0,T_PROD[[#This Row],[PREVISTO]]-T_PROD[[#This Row],[EFETIVO]] ),"")</f>
        <v>0</v>
      </c>
      <c r="J1711" s="32">
        <f>IFERROR(IF(T_PROD[[#This Row],[META]]&gt;0,(T_PROD[[#This Row],[META]]/T_PROD[[#This Row],[PREVISTO]]),""),"")</f>
        <v>9.0285714285714285</v>
      </c>
      <c r="K1711" s="32">
        <f>IFERROR(IF(T_PROD[[#This Row],[PRODUÇÃO]]&gt;0,(T_PROD[[#This Row],[PRODUÇÃO]]/T_PROD[[#This Row],[EFETIVO]]),""),"")</f>
        <v>9.1809523809523803</v>
      </c>
    </row>
    <row r="1712" spans="1:11" x14ac:dyDescent="0.3">
      <c r="A1712" s="28">
        <v>46303</v>
      </c>
      <c r="B1712" s="29" t="str">
        <f>UPPER(TEXT(A1712,"MMMM"))</f>
        <v>OUTUBRO</v>
      </c>
      <c r="C1712" s="6" t="s">
        <v>15</v>
      </c>
      <c r="D1712" s="12" t="s">
        <v>12</v>
      </c>
      <c r="E1712" s="30"/>
      <c r="F1712" s="30"/>
      <c r="G1712" s="29"/>
      <c r="H1712" s="31"/>
      <c r="I1712" s="29">
        <f>IFERROR(IF(T_PROD[[#This Row],[PREVISTO]]-T_PROD[[#This Row],[EFETIVO]]&lt; 0,0,T_PROD[[#This Row],[PREVISTO]]-T_PROD[[#This Row],[EFETIVO]] ),"")</f>
        <v>0</v>
      </c>
      <c r="J1712" s="32" t="str">
        <f>IFERROR(IF(T_PROD[[#This Row],[META]]&gt;0,(T_PROD[[#This Row],[META]]/T_PROD[[#This Row],[PREVISTO]]),""),"")</f>
        <v/>
      </c>
      <c r="K1712" s="32" t="str">
        <f>IFERROR(IF(T_PROD[[#This Row],[PRODUÇÃO]]&gt;0,(T_PROD[[#This Row],[PRODUÇÃO]]/T_PROD[[#This Row],[EFETIVO]]),""),"")</f>
        <v/>
      </c>
    </row>
    <row r="1713" spans="1:11" x14ac:dyDescent="0.3">
      <c r="A1713" s="28">
        <v>46303</v>
      </c>
      <c r="B1713" s="29" t="str">
        <f t="shared" ref="B1713:B1720" si="189">UPPER(TEXT(A1713,"MMMM"))</f>
        <v>OUTUBRO</v>
      </c>
      <c r="C1713" s="12" t="s">
        <v>16</v>
      </c>
      <c r="D1713" s="12" t="s">
        <v>12</v>
      </c>
      <c r="E1713" s="30">
        <v>238</v>
      </c>
      <c r="F1713" s="30">
        <v>256</v>
      </c>
      <c r="G1713" s="29">
        <v>8</v>
      </c>
      <c r="H1713" s="31">
        <v>8</v>
      </c>
      <c r="I1713" s="29">
        <f>IFERROR(IF(T_PROD[[#This Row],[PREVISTO]]-T_PROD[[#This Row],[EFETIVO]]&lt; 0,0,T_PROD[[#This Row],[PREVISTO]]-T_PROD[[#This Row],[EFETIVO]] ),"")</f>
        <v>0</v>
      </c>
      <c r="J1713" s="32">
        <f>IFERROR(IF(T_PROD[[#This Row],[META]]&gt;0,(T_PROD[[#This Row],[META]]/T_PROD[[#This Row],[PREVISTO]]),""),"")</f>
        <v>29.75</v>
      </c>
      <c r="K1713" s="32">
        <f>IFERROR(IF(T_PROD[[#This Row],[PRODUÇÃO]]&gt;0,(T_PROD[[#This Row],[PRODUÇÃO]]/T_PROD[[#This Row],[EFETIVO]]),""),"")</f>
        <v>32</v>
      </c>
    </row>
    <row r="1714" spans="1:11" x14ac:dyDescent="0.3">
      <c r="A1714" s="28">
        <v>46303</v>
      </c>
      <c r="B1714" s="29" t="str">
        <f t="shared" si="189"/>
        <v>OUTUBRO</v>
      </c>
      <c r="C1714" s="12" t="s">
        <v>17</v>
      </c>
      <c r="D1714" s="12" t="s">
        <v>12</v>
      </c>
      <c r="E1714" s="30">
        <v>330</v>
      </c>
      <c r="F1714" s="30">
        <v>304</v>
      </c>
      <c r="G1714" s="29">
        <v>16</v>
      </c>
      <c r="H1714" s="31">
        <v>16</v>
      </c>
      <c r="I1714" s="29">
        <f>IFERROR(IF(T_PROD[[#This Row],[PREVISTO]]-T_PROD[[#This Row],[EFETIVO]]&lt; 0,0,T_PROD[[#This Row],[PREVISTO]]-T_PROD[[#This Row],[EFETIVO]] ),"")</f>
        <v>0</v>
      </c>
      <c r="J1714" s="32">
        <f>IFERROR(IF(T_PROD[[#This Row],[META]]&gt;0,(T_PROD[[#This Row],[META]]/T_PROD[[#This Row],[PREVISTO]]),""),"")</f>
        <v>20.625</v>
      </c>
      <c r="K1714" s="32">
        <f>IFERROR(IF(T_PROD[[#This Row],[PRODUÇÃO]]&gt;0,(T_PROD[[#This Row],[PRODUÇÃO]]/T_PROD[[#This Row],[EFETIVO]]),""),"")</f>
        <v>19</v>
      </c>
    </row>
    <row r="1715" spans="1:11" x14ac:dyDescent="0.3">
      <c r="A1715" s="28">
        <v>46303</v>
      </c>
      <c r="B1715" s="29" t="str">
        <f t="shared" si="189"/>
        <v>OUTUBRO</v>
      </c>
      <c r="C1715" s="12" t="s">
        <v>18</v>
      </c>
      <c r="D1715" s="12" t="s">
        <v>12</v>
      </c>
      <c r="E1715" s="30"/>
      <c r="F1715" s="30"/>
      <c r="G1715" s="29"/>
      <c r="H1715" s="31"/>
      <c r="I1715" s="29">
        <f>IFERROR(IF(T_PROD[[#This Row],[PREVISTO]]-T_PROD[[#This Row],[EFETIVO]]&lt; 0,0,T_PROD[[#This Row],[PREVISTO]]-T_PROD[[#This Row],[EFETIVO]] ),"")</f>
        <v>0</v>
      </c>
      <c r="J1715" s="32" t="str">
        <f>IFERROR(IF(T_PROD[[#This Row],[META]]&gt;0,(T_PROD[[#This Row],[META]]/T_PROD[[#This Row],[PREVISTO]]),""),"")</f>
        <v/>
      </c>
      <c r="K1715" s="32" t="str">
        <f>IFERROR(IF(T_PROD[[#This Row],[PRODUÇÃO]]&gt;0,(T_PROD[[#This Row],[PRODUÇÃO]]/T_PROD[[#This Row],[EFETIVO]]),""),"")</f>
        <v/>
      </c>
    </row>
    <row r="1716" spans="1:11" x14ac:dyDescent="0.3">
      <c r="A1716" s="28">
        <v>46303</v>
      </c>
      <c r="B1716" s="29" t="str">
        <f t="shared" si="189"/>
        <v>OUTUBRO</v>
      </c>
      <c r="C1716" s="12" t="s">
        <v>19</v>
      </c>
      <c r="D1716" s="12" t="s">
        <v>12</v>
      </c>
      <c r="E1716" s="30"/>
      <c r="F1716" s="30"/>
      <c r="G1716" s="29"/>
      <c r="H1716" s="31"/>
      <c r="I1716" s="29">
        <f>IFERROR(IF(T_PROD[[#This Row],[PREVISTO]]-T_PROD[[#This Row],[EFETIVO]]&lt; 0,0,T_PROD[[#This Row],[PREVISTO]]-T_PROD[[#This Row],[EFETIVO]] ),"")</f>
        <v>0</v>
      </c>
      <c r="J1716" s="32" t="str">
        <f>IFERROR(IF(T_PROD[[#This Row],[META]]&gt;0,(T_PROD[[#This Row],[META]]/T_PROD[[#This Row],[PREVISTO]]),""),"")</f>
        <v/>
      </c>
      <c r="K1716" s="32" t="str">
        <f>IFERROR(IF(T_PROD[[#This Row],[PRODUÇÃO]]&gt;0,(T_PROD[[#This Row],[PRODUÇÃO]]/T_PROD[[#This Row],[EFETIVO]]),""),"")</f>
        <v/>
      </c>
    </row>
    <row r="1717" spans="1:11" x14ac:dyDescent="0.3">
      <c r="A1717" s="28">
        <v>46303</v>
      </c>
      <c r="B1717" s="29" t="str">
        <f t="shared" si="189"/>
        <v>OUTUBRO</v>
      </c>
      <c r="C1717" s="12" t="s">
        <v>20</v>
      </c>
      <c r="D1717" s="12" t="s">
        <v>12</v>
      </c>
      <c r="E1717" s="30">
        <v>568</v>
      </c>
      <c r="F1717" s="30">
        <v>560</v>
      </c>
      <c r="G1717" s="29">
        <v>120</v>
      </c>
      <c r="H1717" s="31">
        <v>120</v>
      </c>
      <c r="I1717" s="29">
        <f>IFERROR(IF(T_PROD[[#This Row],[PREVISTO]]-T_PROD[[#This Row],[EFETIVO]]&lt; 0,0,T_PROD[[#This Row],[PREVISTO]]-T_PROD[[#This Row],[EFETIVO]] ),"")</f>
        <v>0</v>
      </c>
      <c r="J1717" s="32">
        <f>IFERROR(IF(T_PROD[[#This Row],[META]]&gt;0,(T_PROD[[#This Row],[META]]/T_PROD[[#This Row],[PREVISTO]]),""),"")</f>
        <v>4.7333333333333334</v>
      </c>
      <c r="K1717" s="32">
        <f>IFERROR(IF(T_PROD[[#This Row],[PRODUÇÃO]]&gt;0,(T_PROD[[#This Row],[PRODUÇÃO]]/T_PROD[[#This Row],[EFETIVO]]),""),"")</f>
        <v>4.666666666666667</v>
      </c>
    </row>
    <row r="1718" spans="1:11" x14ac:dyDescent="0.3">
      <c r="A1718" s="28">
        <v>46303</v>
      </c>
      <c r="B1718" s="29" t="str">
        <f t="shared" si="189"/>
        <v>OUTUBRO</v>
      </c>
      <c r="C1718" s="12" t="s">
        <v>11</v>
      </c>
      <c r="D1718" s="12" t="s">
        <v>12</v>
      </c>
      <c r="E1718" s="30">
        <v>840</v>
      </c>
      <c r="F1718" s="30">
        <v>851</v>
      </c>
      <c r="G1718" s="29">
        <v>42</v>
      </c>
      <c r="H1718" s="31">
        <v>42</v>
      </c>
      <c r="I1718" s="29">
        <f>IFERROR(IF(T_PROD[[#This Row],[PREVISTO]]-T_PROD[[#This Row],[EFETIVO]]&lt; 0,0,T_PROD[[#This Row],[PREVISTO]]-T_PROD[[#This Row],[EFETIVO]] ),"")</f>
        <v>0</v>
      </c>
      <c r="J1718" s="32">
        <f>IFERROR(IF(T_PROD[[#This Row],[META]]&gt;0,(T_PROD[[#This Row],[META]]/T_PROD[[#This Row],[PREVISTO]]),""),"")</f>
        <v>20</v>
      </c>
      <c r="K1718" s="32">
        <f>IFERROR(IF(T_PROD[[#This Row],[PRODUÇÃO]]&gt;0,(T_PROD[[#This Row],[PRODUÇÃO]]/T_PROD[[#This Row],[EFETIVO]]),""),"")</f>
        <v>20.261904761904763</v>
      </c>
    </row>
    <row r="1719" spans="1:11" x14ac:dyDescent="0.3">
      <c r="A1719" s="28">
        <v>46303</v>
      </c>
      <c r="B1719" s="29" t="str">
        <f t="shared" si="189"/>
        <v>OUTUBRO</v>
      </c>
      <c r="C1719" s="12" t="s">
        <v>32</v>
      </c>
      <c r="D1719" s="12" t="s">
        <v>12</v>
      </c>
      <c r="E1719" s="30">
        <v>160</v>
      </c>
      <c r="F1719" s="30">
        <v>164</v>
      </c>
      <c r="G1719" s="29">
        <v>14</v>
      </c>
      <c r="H1719" s="31">
        <v>13</v>
      </c>
      <c r="I1719" s="29">
        <f>IFERROR(IF(T_PROD[[#This Row],[PREVISTO]]-T_PROD[[#This Row],[EFETIVO]]&lt; 0,0,T_PROD[[#This Row],[PREVISTO]]-T_PROD[[#This Row],[EFETIVO]] ),"")</f>
        <v>1</v>
      </c>
      <c r="J1719" s="32">
        <f>IFERROR(IF(T_PROD[[#This Row],[META]]&gt;0,(T_PROD[[#This Row],[META]]/T_PROD[[#This Row],[PREVISTO]]),""),"")</f>
        <v>11.428571428571429</v>
      </c>
      <c r="K1719" s="32">
        <f>IFERROR(IF(T_PROD[[#This Row],[PRODUÇÃO]]&gt;0,(T_PROD[[#This Row],[PRODUÇÃO]]/T_PROD[[#This Row],[EFETIVO]]),""),"")</f>
        <v>12.615384615384615</v>
      </c>
    </row>
    <row r="1720" spans="1:11" x14ac:dyDescent="0.3">
      <c r="A1720" s="28">
        <v>46303</v>
      </c>
      <c r="B1720" s="29" t="str">
        <f t="shared" si="189"/>
        <v>OUTUBRO</v>
      </c>
      <c r="C1720" s="12" t="s">
        <v>14</v>
      </c>
      <c r="D1720" s="12" t="s">
        <v>12</v>
      </c>
      <c r="E1720" s="30">
        <v>1000</v>
      </c>
      <c r="F1720" s="30">
        <v>1015</v>
      </c>
      <c r="G1720" s="29">
        <v>105</v>
      </c>
      <c r="H1720" s="31">
        <v>105</v>
      </c>
      <c r="I1720" s="29">
        <f>IFERROR(IF(T_PROD[[#This Row],[PREVISTO]]-T_PROD[[#This Row],[EFETIVO]]&lt; 0,0,T_PROD[[#This Row],[PREVISTO]]-T_PROD[[#This Row],[EFETIVO]] ),"")</f>
        <v>0</v>
      </c>
      <c r="J1720" s="32">
        <f>IFERROR(IF(T_PROD[[#This Row],[META]]&gt;0,(T_PROD[[#This Row],[META]]/T_PROD[[#This Row],[PREVISTO]]),""),"")</f>
        <v>9.5238095238095237</v>
      </c>
      <c r="K1720" s="32">
        <f>IFERROR(IF(T_PROD[[#This Row],[PRODUÇÃO]]&gt;0,(T_PROD[[#This Row],[PRODUÇÃO]]/T_PROD[[#This Row],[EFETIVO]]),""),"")</f>
        <v>9.6666666666666661</v>
      </c>
    </row>
    <row r="1721" spans="1:11" x14ac:dyDescent="0.3">
      <c r="A1721" s="28">
        <v>46304</v>
      </c>
      <c r="B1721" s="29" t="str">
        <f>UPPER(TEXT(A1721,"MMMM"))</f>
        <v>OUTUBRO</v>
      </c>
      <c r="C1721" s="6" t="s">
        <v>15</v>
      </c>
      <c r="D1721" s="12" t="s">
        <v>12</v>
      </c>
      <c r="E1721" s="30">
        <v>45</v>
      </c>
      <c r="F1721" s="30">
        <v>72</v>
      </c>
      <c r="G1721" s="29">
        <v>3</v>
      </c>
      <c r="H1721" s="31">
        <v>3</v>
      </c>
      <c r="I1721" s="29">
        <f>IFERROR(IF(T_PROD[[#This Row],[PREVISTO]]-T_PROD[[#This Row],[EFETIVO]]&lt; 0,0,T_PROD[[#This Row],[PREVISTO]]-T_PROD[[#This Row],[EFETIVO]] ),"")</f>
        <v>0</v>
      </c>
      <c r="J1721" s="32">
        <f>IFERROR(IF(T_PROD[[#This Row],[META]]&gt;0,(T_PROD[[#This Row],[META]]/T_PROD[[#This Row],[PREVISTO]]),""),"")</f>
        <v>15</v>
      </c>
      <c r="K1721" s="32">
        <f>IFERROR(IF(T_PROD[[#This Row],[PRODUÇÃO]]&gt;0,(T_PROD[[#This Row],[PRODUÇÃO]]/T_PROD[[#This Row],[EFETIVO]]),""),"")</f>
        <v>24</v>
      </c>
    </row>
    <row r="1722" spans="1:11" x14ac:dyDescent="0.3">
      <c r="A1722" s="28">
        <v>46304</v>
      </c>
      <c r="B1722" s="29" t="str">
        <f t="shared" ref="B1722:B1729" si="190">UPPER(TEXT(A1722,"MMMM"))</f>
        <v>OUTUBRO</v>
      </c>
      <c r="C1722" s="12" t="s">
        <v>16</v>
      </c>
      <c r="D1722" s="12" t="s">
        <v>12</v>
      </c>
      <c r="E1722" s="30"/>
      <c r="F1722" s="30"/>
      <c r="G1722" s="29"/>
      <c r="H1722" s="31"/>
      <c r="I1722" s="29">
        <f>IFERROR(IF(T_PROD[[#This Row],[PREVISTO]]-T_PROD[[#This Row],[EFETIVO]]&lt; 0,0,T_PROD[[#This Row],[PREVISTO]]-T_PROD[[#This Row],[EFETIVO]] ),"")</f>
        <v>0</v>
      </c>
      <c r="J1722" s="32" t="str">
        <f>IFERROR(IF(T_PROD[[#This Row],[META]]&gt;0,(T_PROD[[#This Row],[META]]/T_PROD[[#This Row],[PREVISTO]]),""),"")</f>
        <v/>
      </c>
      <c r="K1722" s="32" t="str">
        <f>IFERROR(IF(T_PROD[[#This Row],[PRODUÇÃO]]&gt;0,(T_PROD[[#This Row],[PRODUÇÃO]]/T_PROD[[#This Row],[EFETIVO]]),""),"")</f>
        <v/>
      </c>
    </row>
    <row r="1723" spans="1:11" x14ac:dyDescent="0.3">
      <c r="A1723" s="28">
        <v>46304</v>
      </c>
      <c r="B1723" s="29" t="str">
        <f t="shared" si="190"/>
        <v>OUTUBRO</v>
      </c>
      <c r="C1723" s="12" t="s">
        <v>17</v>
      </c>
      <c r="D1723" s="12" t="s">
        <v>12</v>
      </c>
      <c r="E1723" s="30">
        <v>330</v>
      </c>
      <c r="F1723" s="30">
        <v>273</v>
      </c>
      <c r="G1723" s="29">
        <v>16</v>
      </c>
      <c r="H1723" s="31">
        <v>16</v>
      </c>
      <c r="I1723" s="29">
        <f>IFERROR(IF(T_PROD[[#This Row],[PREVISTO]]-T_PROD[[#This Row],[EFETIVO]]&lt; 0,0,T_PROD[[#This Row],[PREVISTO]]-T_PROD[[#This Row],[EFETIVO]] ),"")</f>
        <v>0</v>
      </c>
      <c r="J1723" s="32">
        <f>IFERROR(IF(T_PROD[[#This Row],[META]]&gt;0,(T_PROD[[#This Row],[META]]/T_PROD[[#This Row],[PREVISTO]]),""),"")</f>
        <v>20.625</v>
      </c>
      <c r="K1723" s="32">
        <f>IFERROR(IF(T_PROD[[#This Row],[PRODUÇÃO]]&gt;0,(T_PROD[[#This Row],[PRODUÇÃO]]/T_PROD[[#This Row],[EFETIVO]]),""),"")</f>
        <v>17.0625</v>
      </c>
    </row>
    <row r="1724" spans="1:11" x14ac:dyDescent="0.3">
      <c r="A1724" s="28">
        <v>46304</v>
      </c>
      <c r="B1724" s="29" t="str">
        <f t="shared" si="190"/>
        <v>OUTUBRO</v>
      </c>
      <c r="C1724" s="12" t="s">
        <v>18</v>
      </c>
      <c r="D1724" s="12" t="s">
        <v>12</v>
      </c>
      <c r="E1724" s="30"/>
      <c r="F1724" s="30"/>
      <c r="G1724" s="29"/>
      <c r="H1724" s="31"/>
      <c r="I1724" s="29">
        <f>IFERROR(IF(T_PROD[[#This Row],[PREVISTO]]-T_PROD[[#This Row],[EFETIVO]]&lt; 0,0,T_PROD[[#This Row],[PREVISTO]]-T_PROD[[#This Row],[EFETIVO]] ),"")</f>
        <v>0</v>
      </c>
      <c r="J1724" s="32" t="str">
        <f>IFERROR(IF(T_PROD[[#This Row],[META]]&gt;0,(T_PROD[[#This Row],[META]]/T_PROD[[#This Row],[PREVISTO]]),""),"")</f>
        <v/>
      </c>
      <c r="K1724" s="32" t="str">
        <f>IFERROR(IF(T_PROD[[#This Row],[PRODUÇÃO]]&gt;0,(T_PROD[[#This Row],[PRODUÇÃO]]/T_PROD[[#This Row],[EFETIVO]]),""),"")</f>
        <v/>
      </c>
    </row>
    <row r="1725" spans="1:11" x14ac:dyDescent="0.3">
      <c r="A1725" s="28">
        <v>46304</v>
      </c>
      <c r="B1725" s="29" t="str">
        <f t="shared" si="190"/>
        <v>OUTUBRO</v>
      </c>
      <c r="C1725" s="12" t="s">
        <v>19</v>
      </c>
      <c r="D1725" s="12" t="s">
        <v>12</v>
      </c>
      <c r="E1725" s="30"/>
      <c r="F1725" s="30"/>
      <c r="G1725" s="29"/>
      <c r="H1725" s="31"/>
      <c r="I1725" s="29">
        <f>IFERROR(IF(T_PROD[[#This Row],[PREVISTO]]-T_PROD[[#This Row],[EFETIVO]]&lt; 0,0,T_PROD[[#This Row],[PREVISTO]]-T_PROD[[#This Row],[EFETIVO]] ),"")</f>
        <v>0</v>
      </c>
      <c r="J1725" s="32" t="str">
        <f>IFERROR(IF(T_PROD[[#This Row],[META]]&gt;0,(T_PROD[[#This Row],[META]]/T_PROD[[#This Row],[PREVISTO]]),""),"")</f>
        <v/>
      </c>
      <c r="K1725" s="32" t="str">
        <f>IFERROR(IF(T_PROD[[#This Row],[PRODUÇÃO]]&gt;0,(T_PROD[[#This Row],[PRODUÇÃO]]/T_PROD[[#This Row],[EFETIVO]]),""),"")</f>
        <v/>
      </c>
    </row>
    <row r="1726" spans="1:11" x14ac:dyDescent="0.3">
      <c r="A1726" s="28">
        <v>46304</v>
      </c>
      <c r="B1726" s="29" t="str">
        <f t="shared" si="190"/>
        <v>OUTUBRO</v>
      </c>
      <c r="C1726" s="12" t="s">
        <v>20</v>
      </c>
      <c r="D1726" s="12" t="s">
        <v>12</v>
      </c>
      <c r="E1726" s="30">
        <v>375</v>
      </c>
      <c r="F1726" s="30">
        <v>345</v>
      </c>
      <c r="G1726" s="29">
        <v>120</v>
      </c>
      <c r="H1726" s="31">
        <v>120</v>
      </c>
      <c r="I1726" s="29">
        <f>IFERROR(IF(T_PROD[[#This Row],[PREVISTO]]-T_PROD[[#This Row],[EFETIVO]]&lt; 0,0,T_PROD[[#This Row],[PREVISTO]]-T_PROD[[#This Row],[EFETIVO]] ),"")</f>
        <v>0</v>
      </c>
      <c r="J1726" s="32">
        <f>IFERROR(IF(T_PROD[[#This Row],[META]]&gt;0,(T_PROD[[#This Row],[META]]/T_PROD[[#This Row],[PREVISTO]]),""),"")</f>
        <v>3.125</v>
      </c>
      <c r="K1726" s="32">
        <f>IFERROR(IF(T_PROD[[#This Row],[PRODUÇÃO]]&gt;0,(T_PROD[[#This Row],[PRODUÇÃO]]/T_PROD[[#This Row],[EFETIVO]]),""),"")</f>
        <v>2.875</v>
      </c>
    </row>
    <row r="1727" spans="1:11" x14ac:dyDescent="0.3">
      <c r="A1727" s="28">
        <v>46304</v>
      </c>
      <c r="B1727" s="29" t="str">
        <f t="shared" si="190"/>
        <v>OUTUBRO</v>
      </c>
      <c r="C1727" s="12" t="s">
        <v>11</v>
      </c>
      <c r="D1727" s="12" t="s">
        <v>12</v>
      </c>
      <c r="E1727" s="30">
        <v>660</v>
      </c>
      <c r="F1727" s="30">
        <v>670</v>
      </c>
      <c r="G1727" s="29">
        <v>33</v>
      </c>
      <c r="H1727" s="31">
        <v>33</v>
      </c>
      <c r="I1727" s="29">
        <f>IFERROR(IF(T_PROD[[#This Row],[PREVISTO]]-T_PROD[[#This Row],[EFETIVO]]&lt; 0,0,T_PROD[[#This Row],[PREVISTO]]-T_PROD[[#This Row],[EFETIVO]] ),"")</f>
        <v>0</v>
      </c>
      <c r="J1727" s="32">
        <f>IFERROR(IF(T_PROD[[#This Row],[META]]&gt;0,(T_PROD[[#This Row],[META]]/T_PROD[[#This Row],[PREVISTO]]),""),"")</f>
        <v>20</v>
      </c>
      <c r="K1727" s="32">
        <f>IFERROR(IF(T_PROD[[#This Row],[PRODUÇÃO]]&gt;0,(T_PROD[[#This Row],[PRODUÇÃO]]/T_PROD[[#This Row],[EFETIVO]]),""),"")</f>
        <v>20.303030303030305</v>
      </c>
    </row>
    <row r="1728" spans="1:11" x14ac:dyDescent="0.3">
      <c r="A1728" s="28">
        <v>46304</v>
      </c>
      <c r="B1728" s="29" t="str">
        <f t="shared" si="190"/>
        <v>OUTUBRO</v>
      </c>
      <c r="C1728" s="12" t="s">
        <v>32</v>
      </c>
      <c r="D1728" s="12" t="s">
        <v>12</v>
      </c>
      <c r="E1728" s="30">
        <v>60</v>
      </c>
      <c r="F1728" s="30">
        <v>50</v>
      </c>
      <c r="G1728" s="29">
        <v>6</v>
      </c>
      <c r="H1728" s="31">
        <v>6</v>
      </c>
      <c r="I1728" s="29">
        <f>IFERROR(IF(T_PROD[[#This Row],[PREVISTO]]-T_PROD[[#This Row],[EFETIVO]]&lt; 0,0,T_PROD[[#This Row],[PREVISTO]]-T_PROD[[#This Row],[EFETIVO]] ),"")</f>
        <v>0</v>
      </c>
      <c r="J1728" s="32">
        <f>IFERROR(IF(T_PROD[[#This Row],[META]]&gt;0,(T_PROD[[#This Row],[META]]/T_PROD[[#This Row],[PREVISTO]]),""),"")</f>
        <v>10</v>
      </c>
      <c r="K1728" s="32">
        <f>IFERROR(IF(T_PROD[[#This Row],[PRODUÇÃO]]&gt;0,(T_PROD[[#This Row],[PRODUÇÃO]]/T_PROD[[#This Row],[EFETIVO]]),""),"")</f>
        <v>8.3333333333333339</v>
      </c>
    </row>
    <row r="1729" spans="1:11" x14ac:dyDescent="0.3">
      <c r="A1729" s="28">
        <v>46304</v>
      </c>
      <c r="B1729" s="29" t="str">
        <f t="shared" si="190"/>
        <v>OUTUBRO</v>
      </c>
      <c r="C1729" s="12" t="s">
        <v>14</v>
      </c>
      <c r="D1729" s="12" t="s">
        <v>12</v>
      </c>
      <c r="E1729" s="30">
        <v>720</v>
      </c>
      <c r="F1729" s="30">
        <v>720</v>
      </c>
      <c r="G1729" s="29">
        <v>80</v>
      </c>
      <c r="H1729" s="31">
        <v>78</v>
      </c>
      <c r="I1729" s="29">
        <f>IFERROR(IF(T_PROD[[#This Row],[PREVISTO]]-T_PROD[[#This Row],[EFETIVO]]&lt; 0,0,T_PROD[[#This Row],[PREVISTO]]-T_PROD[[#This Row],[EFETIVO]] ),"")</f>
        <v>2</v>
      </c>
      <c r="J1729" s="32">
        <f>IFERROR(IF(T_PROD[[#This Row],[META]]&gt;0,(T_PROD[[#This Row],[META]]/T_PROD[[#This Row],[PREVISTO]]),""),"")</f>
        <v>9</v>
      </c>
      <c r="K1729" s="32">
        <f>IFERROR(IF(T_PROD[[#This Row],[PRODUÇÃO]]&gt;0,(T_PROD[[#This Row],[PRODUÇÃO]]/T_PROD[[#This Row],[EFETIVO]]),""),"")</f>
        <v>9.2307692307692299</v>
      </c>
    </row>
    <row r="1730" spans="1:11" x14ac:dyDescent="0.3">
      <c r="A1730" s="28">
        <v>46308</v>
      </c>
      <c r="B1730" s="29" t="str">
        <f>UPPER(TEXT(A1730,"MMMM"))</f>
        <v>OUTUBRO</v>
      </c>
      <c r="C1730" s="6" t="s">
        <v>15</v>
      </c>
      <c r="D1730" s="12" t="s">
        <v>12</v>
      </c>
      <c r="E1730" s="30">
        <v>75</v>
      </c>
      <c r="F1730" s="30">
        <v>51</v>
      </c>
      <c r="G1730" s="29">
        <v>5</v>
      </c>
      <c r="H1730" s="31">
        <v>5</v>
      </c>
      <c r="I1730" s="29">
        <f>IFERROR(IF(T_PROD[[#This Row],[PREVISTO]]-T_PROD[[#This Row],[EFETIVO]]&lt; 0,0,T_PROD[[#This Row],[PREVISTO]]-T_PROD[[#This Row],[EFETIVO]] ),"")</f>
        <v>0</v>
      </c>
      <c r="J1730" s="32">
        <f>IFERROR(IF(T_PROD[[#This Row],[META]]&gt;0,(T_PROD[[#This Row],[META]]/T_PROD[[#This Row],[PREVISTO]]),""),"")</f>
        <v>15</v>
      </c>
      <c r="K1730" s="32">
        <f>IFERROR(IF(T_PROD[[#This Row],[PRODUÇÃO]]&gt;0,(T_PROD[[#This Row],[PRODUÇÃO]]/T_PROD[[#This Row],[EFETIVO]]),""),"")</f>
        <v>10.199999999999999</v>
      </c>
    </row>
    <row r="1731" spans="1:11" x14ac:dyDescent="0.3">
      <c r="A1731" s="28">
        <v>46308</v>
      </c>
      <c r="B1731" s="29" t="str">
        <f t="shared" ref="B1731:B1738" si="191">UPPER(TEXT(A1731,"MMMM"))</f>
        <v>OUTUBRO</v>
      </c>
      <c r="C1731" s="12" t="s">
        <v>16</v>
      </c>
      <c r="D1731" s="12" t="s">
        <v>12</v>
      </c>
      <c r="E1731" s="30">
        <v>238</v>
      </c>
      <c r="F1731" s="30">
        <v>230</v>
      </c>
      <c r="G1731" s="29">
        <v>7</v>
      </c>
      <c r="H1731" s="31">
        <v>7</v>
      </c>
      <c r="I1731" s="29">
        <f>IFERROR(IF(T_PROD[[#This Row],[PREVISTO]]-T_PROD[[#This Row],[EFETIVO]]&lt; 0,0,T_PROD[[#This Row],[PREVISTO]]-T_PROD[[#This Row],[EFETIVO]] ),"")</f>
        <v>0</v>
      </c>
      <c r="J1731" s="32">
        <f>IFERROR(IF(T_PROD[[#This Row],[META]]&gt;0,(T_PROD[[#This Row],[META]]/T_PROD[[#This Row],[PREVISTO]]),""),"")</f>
        <v>34</v>
      </c>
      <c r="K1731" s="32">
        <f>IFERROR(IF(T_PROD[[#This Row],[PRODUÇÃO]]&gt;0,(T_PROD[[#This Row],[PRODUÇÃO]]/T_PROD[[#This Row],[EFETIVO]]),""),"")</f>
        <v>32.857142857142854</v>
      </c>
    </row>
    <row r="1732" spans="1:11" x14ac:dyDescent="0.3">
      <c r="A1732" s="28">
        <v>46308</v>
      </c>
      <c r="B1732" s="29" t="str">
        <f t="shared" si="191"/>
        <v>OUTUBRO</v>
      </c>
      <c r="C1732" s="12" t="s">
        <v>17</v>
      </c>
      <c r="D1732" s="12" t="s">
        <v>12</v>
      </c>
      <c r="E1732" s="30">
        <v>352</v>
      </c>
      <c r="F1732" s="30">
        <v>272</v>
      </c>
      <c r="G1732" s="29">
        <v>16</v>
      </c>
      <c r="H1732" s="31">
        <v>16</v>
      </c>
      <c r="I1732" s="29">
        <f>IFERROR(IF(T_PROD[[#This Row],[PREVISTO]]-T_PROD[[#This Row],[EFETIVO]]&lt; 0,0,T_PROD[[#This Row],[PREVISTO]]-T_PROD[[#This Row],[EFETIVO]] ),"")</f>
        <v>0</v>
      </c>
      <c r="J1732" s="32">
        <f>IFERROR(IF(T_PROD[[#This Row],[META]]&gt;0,(T_PROD[[#This Row],[META]]/T_PROD[[#This Row],[PREVISTO]]),""),"")</f>
        <v>22</v>
      </c>
      <c r="K1732" s="32">
        <f>IFERROR(IF(T_PROD[[#This Row],[PRODUÇÃO]]&gt;0,(T_PROD[[#This Row],[PRODUÇÃO]]/T_PROD[[#This Row],[EFETIVO]]),""),"")</f>
        <v>17</v>
      </c>
    </row>
    <row r="1733" spans="1:11" x14ac:dyDescent="0.3">
      <c r="A1733" s="28">
        <v>46308</v>
      </c>
      <c r="B1733" s="29" t="str">
        <f t="shared" si="191"/>
        <v>OUTUBRO</v>
      </c>
      <c r="C1733" s="12" t="s">
        <v>18</v>
      </c>
      <c r="D1733" s="12" t="s">
        <v>12</v>
      </c>
      <c r="E1733" s="30"/>
      <c r="F1733" s="30"/>
      <c r="G1733" s="29"/>
      <c r="H1733" s="31"/>
      <c r="I1733" s="29">
        <f>IFERROR(IF(T_PROD[[#This Row],[PREVISTO]]-T_PROD[[#This Row],[EFETIVO]]&lt; 0,0,T_PROD[[#This Row],[PREVISTO]]-T_PROD[[#This Row],[EFETIVO]] ),"")</f>
        <v>0</v>
      </c>
      <c r="J1733" s="32" t="str">
        <f>IFERROR(IF(T_PROD[[#This Row],[META]]&gt;0,(T_PROD[[#This Row],[META]]/T_PROD[[#This Row],[PREVISTO]]),""),"")</f>
        <v/>
      </c>
      <c r="K1733" s="32" t="str">
        <f>IFERROR(IF(T_PROD[[#This Row],[PRODUÇÃO]]&gt;0,(T_PROD[[#This Row],[PRODUÇÃO]]/T_PROD[[#This Row],[EFETIVO]]),""),"")</f>
        <v/>
      </c>
    </row>
    <row r="1734" spans="1:11" x14ac:dyDescent="0.3">
      <c r="A1734" s="28">
        <v>46308</v>
      </c>
      <c r="B1734" s="29" t="str">
        <f t="shared" si="191"/>
        <v>OUTUBRO</v>
      </c>
      <c r="C1734" s="12" t="s">
        <v>19</v>
      </c>
      <c r="D1734" s="12" t="s">
        <v>12</v>
      </c>
      <c r="E1734" s="30"/>
      <c r="F1734" s="30"/>
      <c r="G1734" s="29"/>
      <c r="H1734" s="31"/>
      <c r="I1734" s="29">
        <f>IFERROR(IF(T_PROD[[#This Row],[PREVISTO]]-T_PROD[[#This Row],[EFETIVO]]&lt; 0,0,T_PROD[[#This Row],[PREVISTO]]-T_PROD[[#This Row],[EFETIVO]] ),"")</f>
        <v>0</v>
      </c>
      <c r="J1734" s="32" t="str">
        <f>IFERROR(IF(T_PROD[[#This Row],[META]]&gt;0,(T_PROD[[#This Row],[META]]/T_PROD[[#This Row],[PREVISTO]]),""),"")</f>
        <v/>
      </c>
      <c r="K1734" s="32" t="str">
        <f>IFERROR(IF(T_PROD[[#This Row],[PRODUÇÃO]]&gt;0,(T_PROD[[#This Row],[PRODUÇÃO]]/T_PROD[[#This Row],[EFETIVO]]),""),"")</f>
        <v/>
      </c>
    </row>
    <row r="1735" spans="1:11" x14ac:dyDescent="0.3">
      <c r="A1735" s="28">
        <v>46308</v>
      </c>
      <c r="B1735" s="29" t="str">
        <f t="shared" si="191"/>
        <v>OUTUBRO</v>
      </c>
      <c r="C1735" s="12" t="s">
        <v>20</v>
      </c>
      <c r="D1735" s="12" t="s">
        <v>12</v>
      </c>
      <c r="E1735" s="30">
        <v>665</v>
      </c>
      <c r="F1735" s="30">
        <v>553</v>
      </c>
      <c r="G1735" s="29">
        <v>120</v>
      </c>
      <c r="H1735" s="31">
        <v>120</v>
      </c>
      <c r="I1735" s="29">
        <f>IFERROR(IF(T_PROD[[#This Row],[PREVISTO]]-T_PROD[[#This Row],[EFETIVO]]&lt; 0,0,T_PROD[[#This Row],[PREVISTO]]-T_PROD[[#This Row],[EFETIVO]] ),"")</f>
        <v>0</v>
      </c>
      <c r="J1735" s="32">
        <f>IFERROR(IF(T_PROD[[#This Row],[META]]&gt;0,(T_PROD[[#This Row],[META]]/T_PROD[[#This Row],[PREVISTO]]),""),"")</f>
        <v>5.541666666666667</v>
      </c>
      <c r="K1735" s="32">
        <f>IFERROR(IF(T_PROD[[#This Row],[PRODUÇÃO]]&gt;0,(T_PROD[[#This Row],[PRODUÇÃO]]/T_PROD[[#This Row],[EFETIVO]]),""),"")</f>
        <v>4.6083333333333334</v>
      </c>
    </row>
    <row r="1736" spans="1:11" x14ac:dyDescent="0.3">
      <c r="A1736" s="28">
        <v>46308</v>
      </c>
      <c r="B1736" s="29" t="str">
        <f t="shared" si="191"/>
        <v>OUTUBRO</v>
      </c>
      <c r="C1736" s="12" t="s">
        <v>11</v>
      </c>
      <c r="D1736" s="12" t="s">
        <v>12</v>
      </c>
      <c r="E1736" s="30">
        <v>760</v>
      </c>
      <c r="F1736" s="30">
        <v>630</v>
      </c>
      <c r="G1736" s="29">
        <v>38</v>
      </c>
      <c r="H1736" s="31">
        <v>38</v>
      </c>
      <c r="I1736" s="29">
        <f>IFERROR(IF(T_PROD[[#This Row],[PREVISTO]]-T_PROD[[#This Row],[EFETIVO]]&lt; 0,0,T_PROD[[#This Row],[PREVISTO]]-T_PROD[[#This Row],[EFETIVO]] ),"")</f>
        <v>0</v>
      </c>
      <c r="J1736" s="32">
        <f>IFERROR(IF(T_PROD[[#This Row],[META]]&gt;0,(T_PROD[[#This Row],[META]]/T_PROD[[#This Row],[PREVISTO]]),""),"")</f>
        <v>20</v>
      </c>
      <c r="K1736" s="32">
        <f>IFERROR(IF(T_PROD[[#This Row],[PRODUÇÃO]]&gt;0,(T_PROD[[#This Row],[PRODUÇÃO]]/T_PROD[[#This Row],[EFETIVO]]),""),"")</f>
        <v>16.578947368421051</v>
      </c>
    </row>
    <row r="1737" spans="1:11" x14ac:dyDescent="0.3">
      <c r="A1737" s="28">
        <v>46308</v>
      </c>
      <c r="B1737" s="29" t="str">
        <f t="shared" si="191"/>
        <v>OUTUBRO</v>
      </c>
      <c r="C1737" s="12" t="s">
        <v>32</v>
      </c>
      <c r="D1737" s="12" t="s">
        <v>12</v>
      </c>
      <c r="E1737" s="30">
        <v>120</v>
      </c>
      <c r="F1737" s="30">
        <v>134</v>
      </c>
      <c r="G1737" s="29">
        <v>10</v>
      </c>
      <c r="H1737" s="31">
        <v>10</v>
      </c>
      <c r="I1737" s="29">
        <f>IFERROR(IF(T_PROD[[#This Row],[PREVISTO]]-T_PROD[[#This Row],[EFETIVO]]&lt; 0,0,T_PROD[[#This Row],[PREVISTO]]-T_PROD[[#This Row],[EFETIVO]] ),"")</f>
        <v>0</v>
      </c>
      <c r="J1737" s="32">
        <f>IFERROR(IF(T_PROD[[#This Row],[META]]&gt;0,(T_PROD[[#This Row],[META]]/T_PROD[[#This Row],[PREVISTO]]),""),"")</f>
        <v>12</v>
      </c>
      <c r="K1737" s="32">
        <f>IFERROR(IF(T_PROD[[#This Row],[PRODUÇÃO]]&gt;0,(T_PROD[[#This Row],[PRODUÇÃO]]/T_PROD[[#This Row],[EFETIVO]]),""),"")</f>
        <v>13.4</v>
      </c>
    </row>
    <row r="1738" spans="1:11" x14ac:dyDescent="0.3">
      <c r="A1738" s="28">
        <v>46308</v>
      </c>
      <c r="B1738" s="29" t="str">
        <f t="shared" si="191"/>
        <v>OUTUBRO</v>
      </c>
      <c r="C1738" s="12" t="s">
        <v>14</v>
      </c>
      <c r="D1738" s="12" t="s">
        <v>12</v>
      </c>
      <c r="E1738" s="30">
        <v>880</v>
      </c>
      <c r="F1738" s="30">
        <v>764</v>
      </c>
      <c r="G1738" s="29">
        <v>95</v>
      </c>
      <c r="H1738" s="31">
        <v>90</v>
      </c>
      <c r="I1738" s="29">
        <f>IFERROR(IF(T_PROD[[#This Row],[PREVISTO]]-T_PROD[[#This Row],[EFETIVO]]&lt; 0,0,T_PROD[[#This Row],[PREVISTO]]-T_PROD[[#This Row],[EFETIVO]] ),"")</f>
        <v>5</v>
      </c>
      <c r="J1738" s="32">
        <f>IFERROR(IF(T_PROD[[#This Row],[META]]&gt;0,(T_PROD[[#This Row],[META]]/T_PROD[[#This Row],[PREVISTO]]),""),"")</f>
        <v>9.2631578947368425</v>
      </c>
      <c r="K1738" s="32">
        <f>IFERROR(IF(T_PROD[[#This Row],[PRODUÇÃO]]&gt;0,(T_PROD[[#This Row],[PRODUÇÃO]]/T_PROD[[#This Row],[EFETIVO]]),""),"")</f>
        <v>8.4888888888888889</v>
      </c>
    </row>
    <row r="1739" spans="1:11" x14ac:dyDescent="0.3">
      <c r="A1739" s="28">
        <v>46309</v>
      </c>
      <c r="B1739" s="29" t="str">
        <f>UPPER(TEXT(A1739,"MMMM"))</f>
        <v>OUTUBRO</v>
      </c>
      <c r="C1739" s="6" t="s">
        <v>15</v>
      </c>
      <c r="D1739" s="12" t="s">
        <v>12</v>
      </c>
      <c r="E1739" s="30">
        <v>60</v>
      </c>
      <c r="F1739" s="30">
        <v>30</v>
      </c>
      <c r="G1739" s="29">
        <v>4</v>
      </c>
      <c r="H1739" s="31">
        <v>4</v>
      </c>
      <c r="I1739" s="29">
        <f>IFERROR(IF(T_PROD[[#This Row],[PREVISTO]]-T_PROD[[#This Row],[EFETIVO]]&lt; 0,0,T_PROD[[#This Row],[PREVISTO]]-T_PROD[[#This Row],[EFETIVO]] ),"")</f>
        <v>0</v>
      </c>
      <c r="J1739" s="32">
        <f>IFERROR(IF(T_PROD[[#This Row],[META]]&gt;0,(T_PROD[[#This Row],[META]]/T_PROD[[#This Row],[PREVISTO]]),""),"")</f>
        <v>15</v>
      </c>
      <c r="K1739" s="32">
        <f>IFERROR(IF(T_PROD[[#This Row],[PRODUÇÃO]]&gt;0,(T_PROD[[#This Row],[PRODUÇÃO]]/T_PROD[[#This Row],[EFETIVO]]),""),"")</f>
        <v>7.5</v>
      </c>
    </row>
    <row r="1740" spans="1:11" x14ac:dyDescent="0.3">
      <c r="A1740" s="28">
        <v>46309</v>
      </c>
      <c r="B1740" s="29" t="str">
        <f t="shared" ref="B1740:B1747" si="192">UPPER(TEXT(A1740,"MMMM"))</f>
        <v>OUTUBRO</v>
      </c>
      <c r="C1740" s="12" t="s">
        <v>16</v>
      </c>
      <c r="D1740" s="12" t="s">
        <v>12</v>
      </c>
      <c r="E1740" s="30">
        <v>238</v>
      </c>
      <c r="F1740" s="30">
        <v>205</v>
      </c>
      <c r="G1740" s="29">
        <v>7</v>
      </c>
      <c r="H1740" s="31">
        <v>7</v>
      </c>
      <c r="I1740" s="29">
        <f>IFERROR(IF(T_PROD[[#This Row],[PREVISTO]]-T_PROD[[#This Row],[EFETIVO]]&lt; 0,0,T_PROD[[#This Row],[PREVISTO]]-T_PROD[[#This Row],[EFETIVO]] ),"")</f>
        <v>0</v>
      </c>
      <c r="J1740" s="32">
        <f>IFERROR(IF(T_PROD[[#This Row],[META]]&gt;0,(T_PROD[[#This Row],[META]]/T_PROD[[#This Row],[PREVISTO]]),""),"")</f>
        <v>34</v>
      </c>
      <c r="K1740" s="32">
        <f>IFERROR(IF(T_PROD[[#This Row],[PRODUÇÃO]]&gt;0,(T_PROD[[#This Row],[PRODUÇÃO]]/T_PROD[[#This Row],[EFETIVO]]),""),"")</f>
        <v>29.285714285714285</v>
      </c>
    </row>
    <row r="1741" spans="1:11" x14ac:dyDescent="0.3">
      <c r="A1741" s="28">
        <v>46309</v>
      </c>
      <c r="B1741" s="29" t="str">
        <f t="shared" si="192"/>
        <v>OUTUBRO</v>
      </c>
      <c r="C1741" s="12" t="s">
        <v>17</v>
      </c>
      <c r="D1741" s="12" t="s">
        <v>12</v>
      </c>
      <c r="E1741" s="30">
        <v>352</v>
      </c>
      <c r="F1741" s="30">
        <v>333</v>
      </c>
      <c r="G1741" s="29">
        <v>16</v>
      </c>
      <c r="H1741" s="31">
        <v>16</v>
      </c>
      <c r="I1741" s="29">
        <f>IFERROR(IF(T_PROD[[#This Row],[PREVISTO]]-T_PROD[[#This Row],[EFETIVO]]&lt; 0,0,T_PROD[[#This Row],[PREVISTO]]-T_PROD[[#This Row],[EFETIVO]] ),"")</f>
        <v>0</v>
      </c>
      <c r="J1741" s="32">
        <f>IFERROR(IF(T_PROD[[#This Row],[META]]&gt;0,(T_PROD[[#This Row],[META]]/T_PROD[[#This Row],[PREVISTO]]),""),"")</f>
        <v>22</v>
      </c>
      <c r="K1741" s="32">
        <f>IFERROR(IF(T_PROD[[#This Row],[PRODUÇÃO]]&gt;0,(T_PROD[[#This Row],[PRODUÇÃO]]/T_PROD[[#This Row],[EFETIVO]]),""),"")</f>
        <v>20.8125</v>
      </c>
    </row>
    <row r="1742" spans="1:11" x14ac:dyDescent="0.3">
      <c r="A1742" s="28">
        <v>46309</v>
      </c>
      <c r="B1742" s="29" t="str">
        <f t="shared" si="192"/>
        <v>OUTUBRO</v>
      </c>
      <c r="C1742" s="12" t="s">
        <v>18</v>
      </c>
      <c r="D1742" s="12" t="s">
        <v>12</v>
      </c>
      <c r="E1742" s="30"/>
      <c r="F1742" s="30"/>
      <c r="G1742" s="29"/>
      <c r="H1742" s="31"/>
      <c r="I1742" s="29">
        <f>IFERROR(IF(T_PROD[[#This Row],[PREVISTO]]-T_PROD[[#This Row],[EFETIVO]]&lt; 0,0,T_PROD[[#This Row],[PREVISTO]]-T_PROD[[#This Row],[EFETIVO]] ),"")</f>
        <v>0</v>
      </c>
      <c r="J1742" s="32" t="str">
        <f>IFERROR(IF(T_PROD[[#This Row],[META]]&gt;0,(T_PROD[[#This Row],[META]]/T_PROD[[#This Row],[PREVISTO]]),""),"")</f>
        <v/>
      </c>
      <c r="K1742" s="32" t="str">
        <f>IFERROR(IF(T_PROD[[#This Row],[PRODUÇÃO]]&gt;0,(T_PROD[[#This Row],[PRODUÇÃO]]/T_PROD[[#This Row],[EFETIVO]]),""),"")</f>
        <v/>
      </c>
    </row>
    <row r="1743" spans="1:11" x14ac:dyDescent="0.3">
      <c r="A1743" s="28">
        <v>46309</v>
      </c>
      <c r="B1743" s="29" t="str">
        <f t="shared" si="192"/>
        <v>OUTUBRO</v>
      </c>
      <c r="C1743" s="12" t="s">
        <v>19</v>
      </c>
      <c r="D1743" s="12" t="s">
        <v>12</v>
      </c>
      <c r="E1743" s="30"/>
      <c r="F1743" s="30"/>
      <c r="G1743" s="29"/>
      <c r="H1743" s="31"/>
      <c r="I1743" s="29">
        <f>IFERROR(IF(T_PROD[[#This Row],[PREVISTO]]-T_PROD[[#This Row],[EFETIVO]]&lt; 0,0,T_PROD[[#This Row],[PREVISTO]]-T_PROD[[#This Row],[EFETIVO]] ),"")</f>
        <v>0</v>
      </c>
      <c r="J1743" s="32" t="str">
        <f>IFERROR(IF(T_PROD[[#This Row],[META]]&gt;0,(T_PROD[[#This Row],[META]]/T_PROD[[#This Row],[PREVISTO]]),""),"")</f>
        <v/>
      </c>
      <c r="K1743" s="32" t="str">
        <f>IFERROR(IF(T_PROD[[#This Row],[PRODUÇÃO]]&gt;0,(T_PROD[[#This Row],[PRODUÇÃO]]/T_PROD[[#This Row],[EFETIVO]]),""),"")</f>
        <v/>
      </c>
    </row>
    <row r="1744" spans="1:11" x14ac:dyDescent="0.3">
      <c r="A1744" s="28">
        <v>46309</v>
      </c>
      <c r="B1744" s="29" t="str">
        <f t="shared" si="192"/>
        <v>OUTUBRO</v>
      </c>
      <c r="C1744" s="12" t="s">
        <v>20</v>
      </c>
      <c r="D1744" s="12" t="s">
        <v>12</v>
      </c>
      <c r="E1744" s="30">
        <v>650</v>
      </c>
      <c r="F1744" s="30">
        <v>568</v>
      </c>
      <c r="G1744" s="29">
        <v>120</v>
      </c>
      <c r="H1744" s="31">
        <v>120</v>
      </c>
      <c r="I1744" s="29">
        <f>IFERROR(IF(T_PROD[[#This Row],[PREVISTO]]-T_PROD[[#This Row],[EFETIVO]]&lt; 0,0,T_PROD[[#This Row],[PREVISTO]]-T_PROD[[#This Row],[EFETIVO]] ),"")</f>
        <v>0</v>
      </c>
      <c r="J1744" s="32">
        <f>IFERROR(IF(T_PROD[[#This Row],[META]]&gt;0,(T_PROD[[#This Row],[META]]/T_PROD[[#This Row],[PREVISTO]]),""),"")</f>
        <v>5.416666666666667</v>
      </c>
      <c r="K1744" s="32">
        <f>IFERROR(IF(T_PROD[[#This Row],[PRODUÇÃO]]&gt;0,(T_PROD[[#This Row],[PRODUÇÃO]]/T_PROD[[#This Row],[EFETIVO]]),""),"")</f>
        <v>4.7333333333333334</v>
      </c>
    </row>
    <row r="1745" spans="1:11" x14ac:dyDescent="0.3">
      <c r="A1745" s="28">
        <v>46309</v>
      </c>
      <c r="B1745" s="29" t="str">
        <f t="shared" si="192"/>
        <v>OUTUBRO</v>
      </c>
      <c r="C1745" s="12" t="s">
        <v>11</v>
      </c>
      <c r="D1745" s="12" t="s">
        <v>12</v>
      </c>
      <c r="E1745" s="30">
        <v>800</v>
      </c>
      <c r="F1745" s="30">
        <v>770</v>
      </c>
      <c r="G1745" s="29">
        <v>40</v>
      </c>
      <c r="H1745" s="31">
        <v>40</v>
      </c>
      <c r="I1745" s="29">
        <f>IFERROR(IF(T_PROD[[#This Row],[PREVISTO]]-T_PROD[[#This Row],[EFETIVO]]&lt; 0,0,T_PROD[[#This Row],[PREVISTO]]-T_PROD[[#This Row],[EFETIVO]] ),"")</f>
        <v>0</v>
      </c>
      <c r="J1745" s="32">
        <f>IFERROR(IF(T_PROD[[#This Row],[META]]&gt;0,(T_PROD[[#This Row],[META]]/T_PROD[[#This Row],[PREVISTO]]),""),"")</f>
        <v>20</v>
      </c>
      <c r="K1745" s="32">
        <f>IFERROR(IF(T_PROD[[#This Row],[PRODUÇÃO]]&gt;0,(T_PROD[[#This Row],[PRODUÇÃO]]/T_PROD[[#This Row],[EFETIVO]]),""),"")</f>
        <v>19.25</v>
      </c>
    </row>
    <row r="1746" spans="1:11" x14ac:dyDescent="0.3">
      <c r="A1746" s="28">
        <v>46309</v>
      </c>
      <c r="B1746" s="29" t="str">
        <f t="shared" si="192"/>
        <v>OUTUBRO</v>
      </c>
      <c r="C1746" s="12" t="s">
        <v>32</v>
      </c>
      <c r="D1746" s="12" t="s">
        <v>12</v>
      </c>
      <c r="E1746" s="30">
        <v>160</v>
      </c>
      <c r="F1746" s="30">
        <v>170</v>
      </c>
      <c r="G1746" s="29">
        <v>14</v>
      </c>
      <c r="H1746" s="31">
        <v>14</v>
      </c>
      <c r="I1746" s="29">
        <f>IFERROR(IF(T_PROD[[#This Row],[PREVISTO]]-T_PROD[[#This Row],[EFETIVO]]&lt; 0,0,T_PROD[[#This Row],[PREVISTO]]-T_PROD[[#This Row],[EFETIVO]] ),"")</f>
        <v>0</v>
      </c>
      <c r="J1746" s="32">
        <f>IFERROR(IF(T_PROD[[#This Row],[META]]&gt;0,(T_PROD[[#This Row],[META]]/T_PROD[[#This Row],[PREVISTO]]),""),"")</f>
        <v>11.428571428571429</v>
      </c>
      <c r="K1746" s="32">
        <f>IFERROR(IF(T_PROD[[#This Row],[PRODUÇÃO]]&gt;0,(T_PROD[[#This Row],[PRODUÇÃO]]/T_PROD[[#This Row],[EFETIVO]]),""),"")</f>
        <v>12.142857142857142</v>
      </c>
    </row>
    <row r="1747" spans="1:11" x14ac:dyDescent="0.3">
      <c r="A1747" s="28">
        <v>46309</v>
      </c>
      <c r="B1747" s="29" t="str">
        <f t="shared" si="192"/>
        <v>OUTUBRO</v>
      </c>
      <c r="C1747" s="12" t="s">
        <v>14</v>
      </c>
      <c r="D1747" s="12" t="s">
        <v>12</v>
      </c>
      <c r="E1747" s="30">
        <v>960</v>
      </c>
      <c r="F1747" s="30">
        <v>940</v>
      </c>
      <c r="G1747" s="29">
        <v>110</v>
      </c>
      <c r="H1747" s="31">
        <v>108</v>
      </c>
      <c r="I1747" s="29">
        <f>IFERROR(IF(T_PROD[[#This Row],[PREVISTO]]-T_PROD[[#This Row],[EFETIVO]]&lt; 0,0,T_PROD[[#This Row],[PREVISTO]]-T_PROD[[#This Row],[EFETIVO]] ),"")</f>
        <v>2</v>
      </c>
      <c r="J1747" s="32">
        <f>IFERROR(IF(T_PROD[[#This Row],[META]]&gt;0,(T_PROD[[#This Row],[META]]/T_PROD[[#This Row],[PREVISTO]]),""),"")</f>
        <v>8.7272727272727266</v>
      </c>
      <c r="K1747" s="32">
        <f>IFERROR(IF(T_PROD[[#This Row],[PRODUÇÃO]]&gt;0,(T_PROD[[#This Row],[PRODUÇÃO]]/T_PROD[[#This Row],[EFETIVO]]),""),"")</f>
        <v>8.7037037037037042</v>
      </c>
    </row>
    <row r="1748" spans="1:11" x14ac:dyDescent="0.3">
      <c r="A1748" s="28">
        <v>46310</v>
      </c>
      <c r="B1748" s="29" t="str">
        <f>UPPER(TEXT(A1748,"MMMM"))</f>
        <v>OUTUBRO</v>
      </c>
      <c r="C1748" s="6" t="s">
        <v>15</v>
      </c>
      <c r="D1748" s="12" t="s">
        <v>12</v>
      </c>
      <c r="E1748" s="30">
        <v>60</v>
      </c>
      <c r="F1748" s="30">
        <v>30</v>
      </c>
      <c r="G1748" s="29">
        <v>4</v>
      </c>
      <c r="H1748" s="31">
        <v>4</v>
      </c>
      <c r="I1748" s="29">
        <f>IFERROR(IF(T_PROD[[#This Row],[PREVISTO]]-T_PROD[[#This Row],[EFETIVO]]&lt; 0,0,T_PROD[[#This Row],[PREVISTO]]-T_PROD[[#This Row],[EFETIVO]] ),"")</f>
        <v>0</v>
      </c>
      <c r="J1748" s="32">
        <f>IFERROR(IF(T_PROD[[#This Row],[META]]&gt;0,(T_PROD[[#This Row],[META]]/T_PROD[[#This Row],[PREVISTO]]),""),"")</f>
        <v>15</v>
      </c>
      <c r="K1748" s="32">
        <f>IFERROR(IF(T_PROD[[#This Row],[PRODUÇÃO]]&gt;0,(T_PROD[[#This Row],[PRODUÇÃO]]/T_PROD[[#This Row],[EFETIVO]]),""),"")</f>
        <v>7.5</v>
      </c>
    </row>
    <row r="1749" spans="1:11" x14ac:dyDescent="0.3">
      <c r="A1749" s="28">
        <v>46310</v>
      </c>
      <c r="B1749" s="29" t="str">
        <f t="shared" ref="B1749:B1756" si="193">UPPER(TEXT(A1749,"MMMM"))</f>
        <v>OUTUBRO</v>
      </c>
      <c r="C1749" s="12" t="s">
        <v>16</v>
      </c>
      <c r="D1749" s="12" t="s">
        <v>12</v>
      </c>
      <c r="E1749" s="30">
        <v>238</v>
      </c>
      <c r="F1749" s="30">
        <v>238</v>
      </c>
      <c r="G1749" s="29">
        <v>7</v>
      </c>
      <c r="H1749" s="31">
        <v>7</v>
      </c>
      <c r="I1749" s="29">
        <f>IFERROR(IF(T_PROD[[#This Row],[PREVISTO]]-T_PROD[[#This Row],[EFETIVO]]&lt; 0,0,T_PROD[[#This Row],[PREVISTO]]-T_PROD[[#This Row],[EFETIVO]] ),"")</f>
        <v>0</v>
      </c>
      <c r="J1749" s="32">
        <f>IFERROR(IF(T_PROD[[#This Row],[META]]&gt;0,(T_PROD[[#This Row],[META]]/T_PROD[[#This Row],[PREVISTO]]),""),"")</f>
        <v>34</v>
      </c>
      <c r="K1749" s="32">
        <f>IFERROR(IF(T_PROD[[#This Row],[PRODUÇÃO]]&gt;0,(T_PROD[[#This Row],[PRODUÇÃO]]/T_PROD[[#This Row],[EFETIVO]]),""),"")</f>
        <v>34</v>
      </c>
    </row>
    <row r="1750" spans="1:11" x14ac:dyDescent="0.3">
      <c r="A1750" s="28">
        <v>46310</v>
      </c>
      <c r="B1750" s="29" t="str">
        <f t="shared" si="193"/>
        <v>OUTUBRO</v>
      </c>
      <c r="C1750" s="12" t="s">
        <v>17</v>
      </c>
      <c r="D1750" s="12" t="s">
        <v>12</v>
      </c>
      <c r="E1750" s="30">
        <v>352</v>
      </c>
      <c r="F1750" s="30">
        <v>398</v>
      </c>
      <c r="G1750" s="29">
        <v>16</v>
      </c>
      <c r="H1750" s="31">
        <v>16</v>
      </c>
      <c r="I1750" s="29">
        <f>IFERROR(IF(T_PROD[[#This Row],[PREVISTO]]-T_PROD[[#This Row],[EFETIVO]]&lt; 0,0,T_PROD[[#This Row],[PREVISTO]]-T_PROD[[#This Row],[EFETIVO]] ),"")</f>
        <v>0</v>
      </c>
      <c r="J1750" s="32">
        <f>IFERROR(IF(T_PROD[[#This Row],[META]]&gt;0,(T_PROD[[#This Row],[META]]/T_PROD[[#This Row],[PREVISTO]]),""),"")</f>
        <v>22</v>
      </c>
      <c r="K1750" s="32">
        <f>IFERROR(IF(T_PROD[[#This Row],[PRODUÇÃO]]&gt;0,(T_PROD[[#This Row],[PRODUÇÃO]]/T_PROD[[#This Row],[EFETIVO]]),""),"")</f>
        <v>24.875</v>
      </c>
    </row>
    <row r="1751" spans="1:11" x14ac:dyDescent="0.3">
      <c r="A1751" s="28">
        <v>46310</v>
      </c>
      <c r="B1751" s="29" t="str">
        <f t="shared" si="193"/>
        <v>OUTUBRO</v>
      </c>
      <c r="C1751" s="12" t="s">
        <v>18</v>
      </c>
      <c r="D1751" s="12" t="s">
        <v>12</v>
      </c>
      <c r="E1751" s="30"/>
      <c r="F1751" s="30"/>
      <c r="G1751" s="29"/>
      <c r="H1751" s="31"/>
      <c r="I1751" s="29">
        <f>IFERROR(IF(T_PROD[[#This Row],[PREVISTO]]-T_PROD[[#This Row],[EFETIVO]]&lt; 0,0,T_PROD[[#This Row],[PREVISTO]]-T_PROD[[#This Row],[EFETIVO]] ),"")</f>
        <v>0</v>
      </c>
      <c r="J1751" s="32" t="str">
        <f>IFERROR(IF(T_PROD[[#This Row],[META]]&gt;0,(T_PROD[[#This Row],[META]]/T_PROD[[#This Row],[PREVISTO]]),""),"")</f>
        <v/>
      </c>
      <c r="K1751" s="32" t="str">
        <f>IFERROR(IF(T_PROD[[#This Row],[PRODUÇÃO]]&gt;0,(T_PROD[[#This Row],[PRODUÇÃO]]/T_PROD[[#This Row],[EFETIVO]]),""),"")</f>
        <v/>
      </c>
    </row>
    <row r="1752" spans="1:11" x14ac:dyDescent="0.3">
      <c r="A1752" s="28">
        <v>46310</v>
      </c>
      <c r="B1752" s="29" t="str">
        <f t="shared" si="193"/>
        <v>OUTUBRO</v>
      </c>
      <c r="C1752" s="12" t="s">
        <v>19</v>
      </c>
      <c r="D1752" s="12" t="s">
        <v>12</v>
      </c>
      <c r="E1752" s="30"/>
      <c r="F1752" s="30"/>
      <c r="G1752" s="29"/>
      <c r="H1752" s="31"/>
      <c r="I1752" s="29">
        <f>IFERROR(IF(T_PROD[[#This Row],[PREVISTO]]-T_PROD[[#This Row],[EFETIVO]]&lt; 0,0,T_PROD[[#This Row],[PREVISTO]]-T_PROD[[#This Row],[EFETIVO]] ),"")</f>
        <v>0</v>
      </c>
      <c r="J1752" s="32" t="str">
        <f>IFERROR(IF(T_PROD[[#This Row],[META]]&gt;0,(T_PROD[[#This Row],[META]]/T_PROD[[#This Row],[PREVISTO]]),""),"")</f>
        <v/>
      </c>
      <c r="K1752" s="32" t="str">
        <f>IFERROR(IF(T_PROD[[#This Row],[PRODUÇÃO]]&gt;0,(T_PROD[[#This Row],[PRODUÇÃO]]/T_PROD[[#This Row],[EFETIVO]]),""),"")</f>
        <v/>
      </c>
    </row>
    <row r="1753" spans="1:11" x14ac:dyDescent="0.3">
      <c r="A1753" s="28">
        <v>46310</v>
      </c>
      <c r="B1753" s="29" t="str">
        <f t="shared" si="193"/>
        <v>OUTUBRO</v>
      </c>
      <c r="C1753" s="12" t="s">
        <v>20</v>
      </c>
      <c r="D1753" s="12" t="s">
        <v>12</v>
      </c>
      <c r="E1753" s="30">
        <v>650</v>
      </c>
      <c r="F1753" s="30">
        <v>666</v>
      </c>
      <c r="G1753" s="29">
        <v>120</v>
      </c>
      <c r="H1753" s="31">
        <v>120</v>
      </c>
      <c r="I1753" s="29">
        <f>IFERROR(IF(T_PROD[[#This Row],[PREVISTO]]-T_PROD[[#This Row],[EFETIVO]]&lt; 0,0,T_PROD[[#This Row],[PREVISTO]]-T_PROD[[#This Row],[EFETIVO]] ),"")</f>
        <v>0</v>
      </c>
      <c r="J1753" s="32">
        <f>IFERROR(IF(T_PROD[[#This Row],[META]]&gt;0,(T_PROD[[#This Row],[META]]/T_PROD[[#This Row],[PREVISTO]]),""),"")</f>
        <v>5.416666666666667</v>
      </c>
      <c r="K1753" s="32">
        <f>IFERROR(IF(T_PROD[[#This Row],[PRODUÇÃO]]&gt;0,(T_PROD[[#This Row],[PRODUÇÃO]]/T_PROD[[#This Row],[EFETIVO]]),""),"")</f>
        <v>5.55</v>
      </c>
    </row>
    <row r="1754" spans="1:11" x14ac:dyDescent="0.3">
      <c r="A1754" s="28">
        <v>46310</v>
      </c>
      <c r="B1754" s="29" t="str">
        <f t="shared" si="193"/>
        <v>OUTUBRO</v>
      </c>
      <c r="C1754" s="12" t="s">
        <v>11</v>
      </c>
      <c r="D1754" s="12" t="s">
        <v>12</v>
      </c>
      <c r="E1754" s="30">
        <v>154</v>
      </c>
      <c r="F1754" s="30">
        <v>161</v>
      </c>
      <c r="G1754" s="29">
        <v>14</v>
      </c>
      <c r="H1754" s="31">
        <v>14</v>
      </c>
      <c r="I1754" s="29">
        <f>IFERROR(IF(T_PROD[[#This Row],[PREVISTO]]-T_PROD[[#This Row],[EFETIVO]]&lt; 0,0,T_PROD[[#This Row],[PREVISTO]]-T_PROD[[#This Row],[EFETIVO]] ),"")</f>
        <v>0</v>
      </c>
      <c r="J1754" s="32">
        <f>IFERROR(IF(T_PROD[[#This Row],[META]]&gt;0,(T_PROD[[#This Row],[META]]/T_PROD[[#This Row],[PREVISTO]]),""),"")</f>
        <v>11</v>
      </c>
      <c r="K1754" s="32">
        <f>IFERROR(IF(T_PROD[[#This Row],[PRODUÇÃO]]&gt;0,(T_PROD[[#This Row],[PRODUÇÃO]]/T_PROD[[#This Row],[EFETIVO]]),""),"")</f>
        <v>11.5</v>
      </c>
    </row>
    <row r="1755" spans="1:11" x14ac:dyDescent="0.3">
      <c r="A1755" s="28">
        <v>46310</v>
      </c>
      <c r="B1755" s="29" t="str">
        <f t="shared" si="193"/>
        <v>OUTUBRO</v>
      </c>
      <c r="C1755" s="12" t="s">
        <v>32</v>
      </c>
      <c r="D1755" s="12" t="s">
        <v>12</v>
      </c>
      <c r="E1755" s="30">
        <v>820</v>
      </c>
      <c r="F1755" s="30">
        <v>830</v>
      </c>
      <c r="G1755" s="29">
        <v>41</v>
      </c>
      <c r="H1755" s="31">
        <v>41</v>
      </c>
      <c r="I1755" s="29">
        <f>IFERROR(IF(T_PROD[[#This Row],[PREVISTO]]-T_PROD[[#This Row],[EFETIVO]]&lt; 0,0,T_PROD[[#This Row],[PREVISTO]]-T_PROD[[#This Row],[EFETIVO]] ),"")</f>
        <v>0</v>
      </c>
      <c r="J1755" s="32">
        <f>IFERROR(IF(T_PROD[[#This Row],[META]]&gt;0,(T_PROD[[#This Row],[META]]/T_PROD[[#This Row],[PREVISTO]]),""),"")</f>
        <v>20</v>
      </c>
      <c r="K1755" s="32">
        <f>IFERROR(IF(T_PROD[[#This Row],[PRODUÇÃO]]&gt;0,(T_PROD[[#This Row],[PRODUÇÃO]]/T_PROD[[#This Row],[EFETIVO]]),""),"")</f>
        <v>20.243902439024389</v>
      </c>
    </row>
    <row r="1756" spans="1:11" x14ac:dyDescent="0.3">
      <c r="A1756" s="28">
        <v>46310</v>
      </c>
      <c r="B1756" s="29" t="str">
        <f t="shared" si="193"/>
        <v>OUTUBRO</v>
      </c>
      <c r="C1756" s="12" t="s">
        <v>14</v>
      </c>
      <c r="D1756" s="12" t="s">
        <v>12</v>
      </c>
      <c r="E1756" s="30">
        <v>974</v>
      </c>
      <c r="F1756" s="30">
        <v>991</v>
      </c>
      <c r="G1756" s="29">
        <v>110</v>
      </c>
      <c r="H1756" s="31">
        <v>107</v>
      </c>
      <c r="I1756" s="29">
        <f>IFERROR(IF(T_PROD[[#This Row],[PREVISTO]]-T_PROD[[#This Row],[EFETIVO]]&lt; 0,0,T_PROD[[#This Row],[PREVISTO]]-T_PROD[[#This Row],[EFETIVO]] ),"")</f>
        <v>3</v>
      </c>
      <c r="J1756" s="32">
        <f>IFERROR(IF(T_PROD[[#This Row],[META]]&gt;0,(T_PROD[[#This Row],[META]]/T_PROD[[#This Row],[PREVISTO]]),""),"")</f>
        <v>8.8545454545454554</v>
      </c>
      <c r="K1756" s="32">
        <f>IFERROR(IF(T_PROD[[#This Row],[PRODUÇÃO]]&gt;0,(T_PROD[[#This Row],[PRODUÇÃO]]/T_PROD[[#This Row],[EFETIVO]]),""),"")</f>
        <v>9.2616822429906538</v>
      </c>
    </row>
    <row r="1757" spans="1:11" x14ac:dyDescent="0.3">
      <c r="A1757" s="28">
        <v>46311</v>
      </c>
      <c r="B1757" s="29" t="str">
        <f>UPPER(TEXT(A1757,"MMMM"))</f>
        <v>OUTUBRO</v>
      </c>
      <c r="C1757" s="6" t="s">
        <v>15</v>
      </c>
      <c r="D1757" s="12" t="s">
        <v>12</v>
      </c>
      <c r="E1757" s="30">
        <v>60</v>
      </c>
      <c r="F1757" s="30">
        <v>46</v>
      </c>
      <c r="G1757" s="29">
        <v>4</v>
      </c>
      <c r="H1757" s="31">
        <v>4</v>
      </c>
      <c r="I1757" s="29">
        <f>IFERROR(IF(T_PROD[[#This Row],[PREVISTO]]-T_PROD[[#This Row],[EFETIVO]]&lt; 0,0,T_PROD[[#This Row],[PREVISTO]]-T_PROD[[#This Row],[EFETIVO]] ),"")</f>
        <v>0</v>
      </c>
      <c r="J1757" s="32">
        <f>IFERROR(IF(T_PROD[[#This Row],[META]]&gt;0,(T_PROD[[#This Row],[META]]/T_PROD[[#This Row],[PREVISTO]]),""),"")</f>
        <v>15</v>
      </c>
      <c r="K1757" s="32">
        <f>IFERROR(IF(T_PROD[[#This Row],[PRODUÇÃO]]&gt;0,(T_PROD[[#This Row],[PRODUÇÃO]]/T_PROD[[#This Row],[EFETIVO]]),""),"")</f>
        <v>11.5</v>
      </c>
    </row>
    <row r="1758" spans="1:11" x14ac:dyDescent="0.3">
      <c r="A1758" s="28">
        <v>46311</v>
      </c>
      <c r="B1758" s="29" t="str">
        <f t="shared" ref="B1758:B1765" si="194">UPPER(TEXT(A1758,"MMMM"))</f>
        <v>OUTUBRO</v>
      </c>
      <c r="C1758" s="12" t="s">
        <v>16</v>
      </c>
      <c r="D1758" s="12" t="s">
        <v>12</v>
      </c>
      <c r="E1758" s="30">
        <v>238</v>
      </c>
      <c r="F1758" s="30">
        <v>175</v>
      </c>
      <c r="G1758" s="29">
        <v>7</v>
      </c>
      <c r="H1758" s="31">
        <v>7</v>
      </c>
      <c r="I1758" s="29">
        <f>IFERROR(IF(T_PROD[[#This Row],[PREVISTO]]-T_PROD[[#This Row],[EFETIVO]]&lt; 0,0,T_PROD[[#This Row],[PREVISTO]]-T_PROD[[#This Row],[EFETIVO]] ),"")</f>
        <v>0</v>
      </c>
      <c r="J1758" s="32">
        <f>IFERROR(IF(T_PROD[[#This Row],[META]]&gt;0,(T_PROD[[#This Row],[META]]/T_PROD[[#This Row],[PREVISTO]]),""),"")</f>
        <v>34</v>
      </c>
      <c r="K1758" s="32">
        <f>IFERROR(IF(T_PROD[[#This Row],[PRODUÇÃO]]&gt;0,(T_PROD[[#This Row],[PRODUÇÃO]]/T_PROD[[#This Row],[EFETIVO]]),""),"")</f>
        <v>25</v>
      </c>
    </row>
    <row r="1759" spans="1:11" x14ac:dyDescent="0.3">
      <c r="A1759" s="28">
        <v>46311</v>
      </c>
      <c r="B1759" s="29" t="str">
        <f t="shared" si="194"/>
        <v>OUTUBRO</v>
      </c>
      <c r="C1759" s="12" t="s">
        <v>17</v>
      </c>
      <c r="D1759" s="12" t="s">
        <v>12</v>
      </c>
      <c r="E1759" s="30">
        <v>352</v>
      </c>
      <c r="F1759" s="30">
        <v>317</v>
      </c>
      <c r="G1759" s="29">
        <v>16</v>
      </c>
      <c r="H1759" s="31">
        <v>16</v>
      </c>
      <c r="I1759" s="29">
        <f>IFERROR(IF(T_PROD[[#This Row],[PREVISTO]]-T_PROD[[#This Row],[EFETIVO]]&lt; 0,0,T_PROD[[#This Row],[PREVISTO]]-T_PROD[[#This Row],[EFETIVO]] ),"")</f>
        <v>0</v>
      </c>
      <c r="J1759" s="32">
        <f>IFERROR(IF(T_PROD[[#This Row],[META]]&gt;0,(T_PROD[[#This Row],[META]]/T_PROD[[#This Row],[PREVISTO]]),""),"")</f>
        <v>22</v>
      </c>
      <c r="K1759" s="32">
        <f>IFERROR(IF(T_PROD[[#This Row],[PRODUÇÃO]]&gt;0,(T_PROD[[#This Row],[PRODUÇÃO]]/T_PROD[[#This Row],[EFETIVO]]),""),"")</f>
        <v>19.8125</v>
      </c>
    </row>
    <row r="1760" spans="1:11" x14ac:dyDescent="0.3">
      <c r="A1760" s="28">
        <v>46311</v>
      </c>
      <c r="B1760" s="29" t="str">
        <f t="shared" si="194"/>
        <v>OUTUBRO</v>
      </c>
      <c r="C1760" s="12" t="s">
        <v>18</v>
      </c>
      <c r="D1760" s="12" t="s">
        <v>12</v>
      </c>
      <c r="E1760" s="30"/>
      <c r="F1760" s="30"/>
      <c r="G1760" s="29"/>
      <c r="H1760" s="31"/>
      <c r="I1760" s="29">
        <f>IFERROR(IF(T_PROD[[#This Row],[PREVISTO]]-T_PROD[[#This Row],[EFETIVO]]&lt; 0,0,T_PROD[[#This Row],[PREVISTO]]-T_PROD[[#This Row],[EFETIVO]] ),"")</f>
        <v>0</v>
      </c>
      <c r="J1760" s="32" t="str">
        <f>IFERROR(IF(T_PROD[[#This Row],[META]]&gt;0,(T_PROD[[#This Row],[META]]/T_PROD[[#This Row],[PREVISTO]]),""),"")</f>
        <v/>
      </c>
      <c r="K1760" s="32" t="str">
        <f>IFERROR(IF(T_PROD[[#This Row],[PRODUÇÃO]]&gt;0,(T_PROD[[#This Row],[PRODUÇÃO]]/T_PROD[[#This Row],[EFETIVO]]),""),"")</f>
        <v/>
      </c>
    </row>
    <row r="1761" spans="1:11" x14ac:dyDescent="0.3">
      <c r="A1761" s="28">
        <v>46311</v>
      </c>
      <c r="B1761" s="29" t="str">
        <f t="shared" si="194"/>
        <v>OUTUBRO</v>
      </c>
      <c r="C1761" s="12" t="s">
        <v>19</v>
      </c>
      <c r="D1761" s="12" t="s">
        <v>12</v>
      </c>
      <c r="E1761" s="30"/>
      <c r="F1761" s="30"/>
      <c r="G1761" s="29"/>
      <c r="H1761" s="31"/>
      <c r="I1761" s="29">
        <f>IFERROR(IF(T_PROD[[#This Row],[PREVISTO]]-T_PROD[[#This Row],[EFETIVO]]&lt; 0,0,T_PROD[[#This Row],[PREVISTO]]-T_PROD[[#This Row],[EFETIVO]] ),"")</f>
        <v>0</v>
      </c>
      <c r="J1761" s="32" t="str">
        <f>IFERROR(IF(T_PROD[[#This Row],[META]]&gt;0,(T_PROD[[#This Row],[META]]/T_PROD[[#This Row],[PREVISTO]]),""),"")</f>
        <v/>
      </c>
      <c r="K1761" s="32" t="str">
        <f>IFERROR(IF(T_PROD[[#This Row],[PRODUÇÃO]]&gt;0,(T_PROD[[#This Row],[PRODUÇÃO]]/T_PROD[[#This Row],[EFETIVO]]),""),"")</f>
        <v/>
      </c>
    </row>
    <row r="1762" spans="1:11" x14ac:dyDescent="0.3">
      <c r="A1762" s="28">
        <v>46311</v>
      </c>
      <c r="B1762" s="29" t="str">
        <f t="shared" si="194"/>
        <v>OUTUBRO</v>
      </c>
      <c r="C1762" s="12" t="s">
        <v>20</v>
      </c>
      <c r="D1762" s="12" t="s">
        <v>12</v>
      </c>
      <c r="E1762" s="30">
        <v>650</v>
      </c>
      <c r="F1762" s="30">
        <v>538</v>
      </c>
      <c r="G1762" s="29">
        <v>120</v>
      </c>
      <c r="H1762" s="31">
        <v>120</v>
      </c>
      <c r="I1762" s="29">
        <f>IFERROR(IF(T_PROD[[#This Row],[PREVISTO]]-T_PROD[[#This Row],[EFETIVO]]&lt; 0,0,T_PROD[[#This Row],[PREVISTO]]-T_PROD[[#This Row],[EFETIVO]] ),"")</f>
        <v>0</v>
      </c>
      <c r="J1762" s="32">
        <f>IFERROR(IF(T_PROD[[#This Row],[META]]&gt;0,(T_PROD[[#This Row],[META]]/T_PROD[[#This Row],[PREVISTO]]),""),"")</f>
        <v>5.416666666666667</v>
      </c>
      <c r="K1762" s="32">
        <f>IFERROR(IF(T_PROD[[#This Row],[PRODUÇÃO]]&gt;0,(T_PROD[[#This Row],[PRODUÇÃO]]/T_PROD[[#This Row],[EFETIVO]]),""),"")</f>
        <v>4.4833333333333334</v>
      </c>
    </row>
    <row r="1763" spans="1:11" x14ac:dyDescent="0.3">
      <c r="A1763" s="28">
        <v>46311</v>
      </c>
      <c r="B1763" s="29" t="str">
        <f t="shared" si="194"/>
        <v>OUTUBRO</v>
      </c>
      <c r="C1763" s="12" t="s">
        <v>11</v>
      </c>
      <c r="D1763" s="12" t="s">
        <v>12</v>
      </c>
      <c r="E1763" s="30">
        <v>680</v>
      </c>
      <c r="F1763" s="30">
        <v>700</v>
      </c>
      <c r="G1763" s="29">
        <v>34</v>
      </c>
      <c r="H1763" s="31">
        <v>34</v>
      </c>
      <c r="I1763" s="29">
        <f>IFERROR(IF(T_PROD[[#This Row],[PREVISTO]]-T_PROD[[#This Row],[EFETIVO]]&lt; 0,0,T_PROD[[#This Row],[PREVISTO]]-T_PROD[[#This Row],[EFETIVO]] ),"")</f>
        <v>0</v>
      </c>
      <c r="J1763" s="32">
        <f>IFERROR(IF(T_PROD[[#This Row],[META]]&gt;0,(T_PROD[[#This Row],[META]]/T_PROD[[#This Row],[PREVISTO]]),""),"")</f>
        <v>20</v>
      </c>
      <c r="K1763" s="32">
        <f>IFERROR(IF(T_PROD[[#This Row],[PRODUÇÃO]]&gt;0,(T_PROD[[#This Row],[PRODUÇÃO]]/T_PROD[[#This Row],[EFETIVO]]),""),"")</f>
        <v>20.588235294117649</v>
      </c>
    </row>
    <row r="1764" spans="1:11" x14ac:dyDescent="0.3">
      <c r="A1764" s="28">
        <v>46311</v>
      </c>
      <c r="B1764" s="29" t="str">
        <f t="shared" si="194"/>
        <v>OUTUBRO</v>
      </c>
      <c r="C1764" s="12" t="s">
        <v>32</v>
      </c>
      <c r="D1764" s="12" t="s">
        <v>12</v>
      </c>
      <c r="E1764" s="30">
        <v>110</v>
      </c>
      <c r="F1764" s="30">
        <v>112</v>
      </c>
      <c r="G1764" s="29">
        <v>10</v>
      </c>
      <c r="H1764" s="31">
        <v>10</v>
      </c>
      <c r="I1764" s="29">
        <f>IFERROR(IF(T_PROD[[#This Row],[PREVISTO]]-T_PROD[[#This Row],[EFETIVO]]&lt; 0,0,T_PROD[[#This Row],[PREVISTO]]-T_PROD[[#This Row],[EFETIVO]] ),"")</f>
        <v>0</v>
      </c>
      <c r="J1764" s="32">
        <f>IFERROR(IF(T_PROD[[#This Row],[META]]&gt;0,(T_PROD[[#This Row],[META]]/T_PROD[[#This Row],[PREVISTO]]),""),"")</f>
        <v>11</v>
      </c>
      <c r="K1764" s="32">
        <f>IFERROR(IF(T_PROD[[#This Row],[PRODUÇÃO]]&gt;0,(T_PROD[[#This Row],[PRODUÇÃO]]/T_PROD[[#This Row],[EFETIVO]]),""),"")</f>
        <v>11.2</v>
      </c>
    </row>
    <row r="1765" spans="1:11" x14ac:dyDescent="0.3">
      <c r="A1765" s="28">
        <v>46311</v>
      </c>
      <c r="B1765" s="29" t="str">
        <f t="shared" si="194"/>
        <v>OUTUBRO</v>
      </c>
      <c r="C1765" s="12" t="s">
        <v>14</v>
      </c>
      <c r="D1765" s="12" t="s">
        <v>12</v>
      </c>
      <c r="E1765" s="30">
        <v>790</v>
      </c>
      <c r="F1765" s="30">
        <v>812</v>
      </c>
      <c r="G1765" s="29">
        <v>100</v>
      </c>
      <c r="H1765" s="31">
        <v>95</v>
      </c>
      <c r="I1765" s="29">
        <f>IFERROR(IF(T_PROD[[#This Row],[PREVISTO]]-T_PROD[[#This Row],[EFETIVO]]&lt; 0,0,T_PROD[[#This Row],[PREVISTO]]-T_PROD[[#This Row],[EFETIVO]] ),"")</f>
        <v>5</v>
      </c>
      <c r="J1765" s="32">
        <f>IFERROR(IF(T_PROD[[#This Row],[META]]&gt;0,(T_PROD[[#This Row],[META]]/T_PROD[[#This Row],[PREVISTO]]),""),"")</f>
        <v>7.9</v>
      </c>
      <c r="K1765" s="32">
        <f>IFERROR(IF(T_PROD[[#This Row],[PRODUÇÃO]]&gt;0,(T_PROD[[#This Row],[PRODUÇÃO]]/T_PROD[[#This Row],[EFETIVO]]),""),"")</f>
        <v>8.5473684210526315</v>
      </c>
    </row>
    <row r="1766" spans="1:11" x14ac:dyDescent="0.3">
      <c r="A1766" s="28">
        <v>46314</v>
      </c>
      <c r="B1766" s="29" t="str">
        <f>UPPER(TEXT(A1766,"MMMM"))</f>
        <v>OUTUBRO</v>
      </c>
      <c r="C1766" s="6" t="s">
        <v>15</v>
      </c>
      <c r="D1766" s="12" t="s">
        <v>12</v>
      </c>
      <c r="E1766" s="30">
        <v>60</v>
      </c>
      <c r="F1766" s="30">
        <v>51</v>
      </c>
      <c r="G1766" s="29">
        <v>4</v>
      </c>
      <c r="H1766" s="31">
        <v>4</v>
      </c>
      <c r="I1766" s="29">
        <f>IFERROR(IF(T_PROD[[#This Row],[PREVISTO]]-T_PROD[[#This Row],[EFETIVO]]&lt; 0,0,T_PROD[[#This Row],[PREVISTO]]-T_PROD[[#This Row],[EFETIVO]] ),"")</f>
        <v>0</v>
      </c>
      <c r="J1766" s="32">
        <f>IFERROR(IF(T_PROD[[#This Row],[META]]&gt;0,(T_PROD[[#This Row],[META]]/T_PROD[[#This Row],[PREVISTO]]),""),"")</f>
        <v>15</v>
      </c>
      <c r="K1766" s="32">
        <f>IFERROR(IF(T_PROD[[#This Row],[PRODUÇÃO]]&gt;0,(T_PROD[[#This Row],[PRODUÇÃO]]/T_PROD[[#This Row],[EFETIVO]]),""),"")</f>
        <v>12.75</v>
      </c>
    </row>
    <row r="1767" spans="1:11" x14ac:dyDescent="0.3">
      <c r="A1767" s="28">
        <v>46314</v>
      </c>
      <c r="B1767" s="29" t="str">
        <f t="shared" ref="B1767:B1774" si="195">UPPER(TEXT(A1767,"MMMM"))</f>
        <v>OUTUBRO</v>
      </c>
      <c r="C1767" s="12" t="s">
        <v>16</v>
      </c>
      <c r="D1767" s="12" t="s">
        <v>12</v>
      </c>
      <c r="E1767" s="30">
        <v>238</v>
      </c>
      <c r="F1767" s="30">
        <v>240</v>
      </c>
      <c r="G1767" s="29">
        <v>7</v>
      </c>
      <c r="H1767" s="31">
        <v>7</v>
      </c>
      <c r="I1767" s="29">
        <f>IFERROR(IF(T_PROD[[#This Row],[PREVISTO]]-T_PROD[[#This Row],[EFETIVO]]&lt; 0,0,T_PROD[[#This Row],[PREVISTO]]-T_PROD[[#This Row],[EFETIVO]] ),"")</f>
        <v>0</v>
      </c>
      <c r="J1767" s="32">
        <f>IFERROR(IF(T_PROD[[#This Row],[META]]&gt;0,(T_PROD[[#This Row],[META]]/T_PROD[[#This Row],[PREVISTO]]),""),"")</f>
        <v>34</v>
      </c>
      <c r="K1767" s="32">
        <f>IFERROR(IF(T_PROD[[#This Row],[PRODUÇÃO]]&gt;0,(T_PROD[[#This Row],[PRODUÇÃO]]/T_PROD[[#This Row],[EFETIVO]]),""),"")</f>
        <v>34.285714285714285</v>
      </c>
    </row>
    <row r="1768" spans="1:11" x14ac:dyDescent="0.3">
      <c r="A1768" s="28">
        <v>46314</v>
      </c>
      <c r="B1768" s="29" t="str">
        <f t="shared" si="195"/>
        <v>OUTUBRO</v>
      </c>
      <c r="C1768" s="12" t="s">
        <v>17</v>
      </c>
      <c r="D1768" s="12" t="s">
        <v>12</v>
      </c>
      <c r="E1768" s="30">
        <v>352</v>
      </c>
      <c r="F1768" s="30">
        <v>367</v>
      </c>
      <c r="G1768" s="29">
        <v>16</v>
      </c>
      <c r="H1768" s="31">
        <v>16</v>
      </c>
      <c r="I1768" s="29">
        <f>IFERROR(IF(T_PROD[[#This Row],[PREVISTO]]-T_PROD[[#This Row],[EFETIVO]]&lt; 0,0,T_PROD[[#This Row],[PREVISTO]]-T_PROD[[#This Row],[EFETIVO]] ),"")</f>
        <v>0</v>
      </c>
      <c r="J1768" s="32">
        <f>IFERROR(IF(T_PROD[[#This Row],[META]]&gt;0,(T_PROD[[#This Row],[META]]/T_PROD[[#This Row],[PREVISTO]]),""),"")</f>
        <v>22</v>
      </c>
      <c r="K1768" s="32">
        <f>IFERROR(IF(T_PROD[[#This Row],[PRODUÇÃO]]&gt;0,(T_PROD[[#This Row],[PRODUÇÃO]]/T_PROD[[#This Row],[EFETIVO]]),""),"")</f>
        <v>22.9375</v>
      </c>
    </row>
    <row r="1769" spans="1:11" x14ac:dyDescent="0.3">
      <c r="A1769" s="28">
        <v>46314</v>
      </c>
      <c r="B1769" s="29" t="str">
        <f t="shared" si="195"/>
        <v>OUTUBRO</v>
      </c>
      <c r="C1769" s="12" t="s">
        <v>18</v>
      </c>
      <c r="D1769" s="12" t="s">
        <v>12</v>
      </c>
      <c r="E1769" s="30"/>
      <c r="F1769" s="30"/>
      <c r="G1769" s="29"/>
      <c r="H1769" s="31"/>
      <c r="I1769" s="29">
        <f>IFERROR(IF(T_PROD[[#This Row],[PREVISTO]]-T_PROD[[#This Row],[EFETIVO]]&lt; 0,0,T_PROD[[#This Row],[PREVISTO]]-T_PROD[[#This Row],[EFETIVO]] ),"")</f>
        <v>0</v>
      </c>
      <c r="J1769" s="32" t="str">
        <f>IFERROR(IF(T_PROD[[#This Row],[META]]&gt;0,(T_PROD[[#This Row],[META]]/T_PROD[[#This Row],[PREVISTO]]),""),"")</f>
        <v/>
      </c>
      <c r="K1769" s="32" t="str">
        <f>IFERROR(IF(T_PROD[[#This Row],[PRODUÇÃO]]&gt;0,(T_PROD[[#This Row],[PRODUÇÃO]]/T_PROD[[#This Row],[EFETIVO]]),""),"")</f>
        <v/>
      </c>
    </row>
    <row r="1770" spans="1:11" x14ac:dyDescent="0.3">
      <c r="A1770" s="28">
        <v>46314</v>
      </c>
      <c r="B1770" s="29" t="str">
        <f t="shared" si="195"/>
        <v>OUTUBRO</v>
      </c>
      <c r="C1770" s="12" t="s">
        <v>19</v>
      </c>
      <c r="D1770" s="12" t="s">
        <v>12</v>
      </c>
      <c r="E1770" s="30"/>
      <c r="F1770" s="30"/>
      <c r="G1770" s="29"/>
      <c r="H1770" s="31"/>
      <c r="I1770" s="29">
        <f>IFERROR(IF(T_PROD[[#This Row],[PREVISTO]]-T_PROD[[#This Row],[EFETIVO]]&lt; 0,0,T_PROD[[#This Row],[PREVISTO]]-T_PROD[[#This Row],[EFETIVO]] ),"")</f>
        <v>0</v>
      </c>
      <c r="J1770" s="32" t="str">
        <f>IFERROR(IF(T_PROD[[#This Row],[META]]&gt;0,(T_PROD[[#This Row],[META]]/T_PROD[[#This Row],[PREVISTO]]),""),"")</f>
        <v/>
      </c>
      <c r="K1770" s="32" t="str">
        <f>IFERROR(IF(T_PROD[[#This Row],[PRODUÇÃO]]&gt;0,(T_PROD[[#This Row],[PRODUÇÃO]]/T_PROD[[#This Row],[EFETIVO]]),""),"")</f>
        <v/>
      </c>
    </row>
    <row r="1771" spans="1:11" x14ac:dyDescent="0.3">
      <c r="A1771" s="28">
        <v>46314</v>
      </c>
      <c r="B1771" s="29" t="str">
        <f t="shared" si="195"/>
        <v>OUTUBRO</v>
      </c>
      <c r="C1771" s="12" t="s">
        <v>20</v>
      </c>
      <c r="D1771" s="12" t="s">
        <v>12</v>
      </c>
      <c r="E1771" s="30">
        <v>650</v>
      </c>
      <c r="F1771" s="30">
        <v>658</v>
      </c>
      <c r="G1771" s="29">
        <v>120</v>
      </c>
      <c r="H1771" s="31">
        <v>120</v>
      </c>
      <c r="I1771" s="29">
        <f>IFERROR(IF(T_PROD[[#This Row],[PREVISTO]]-T_PROD[[#This Row],[EFETIVO]]&lt; 0,0,T_PROD[[#This Row],[PREVISTO]]-T_PROD[[#This Row],[EFETIVO]] ),"")</f>
        <v>0</v>
      </c>
      <c r="J1771" s="32">
        <f>IFERROR(IF(T_PROD[[#This Row],[META]]&gt;0,(T_PROD[[#This Row],[META]]/T_PROD[[#This Row],[PREVISTO]]),""),"")</f>
        <v>5.416666666666667</v>
      </c>
      <c r="K1771" s="32">
        <f>IFERROR(IF(T_PROD[[#This Row],[PRODUÇÃO]]&gt;0,(T_PROD[[#This Row],[PRODUÇÃO]]/T_PROD[[#This Row],[EFETIVO]]),""),"")</f>
        <v>5.4833333333333334</v>
      </c>
    </row>
    <row r="1772" spans="1:11" x14ac:dyDescent="0.3">
      <c r="A1772" s="28">
        <v>46314</v>
      </c>
      <c r="B1772" s="29" t="str">
        <f t="shared" si="195"/>
        <v>OUTUBRO</v>
      </c>
      <c r="C1772" s="12" t="s">
        <v>11</v>
      </c>
      <c r="D1772" s="12" t="s">
        <v>12</v>
      </c>
      <c r="E1772" s="30">
        <v>720</v>
      </c>
      <c r="F1772" s="30">
        <v>720</v>
      </c>
      <c r="G1772" s="29">
        <v>36</v>
      </c>
      <c r="H1772" s="31">
        <v>36</v>
      </c>
      <c r="I1772" s="29">
        <f>IFERROR(IF(T_PROD[[#This Row],[PREVISTO]]-T_PROD[[#This Row],[EFETIVO]]&lt; 0,0,T_PROD[[#This Row],[PREVISTO]]-T_PROD[[#This Row],[EFETIVO]] ),"")</f>
        <v>0</v>
      </c>
      <c r="J1772" s="32">
        <f>IFERROR(IF(T_PROD[[#This Row],[META]]&gt;0,(T_PROD[[#This Row],[META]]/T_PROD[[#This Row],[PREVISTO]]),""),"")</f>
        <v>20</v>
      </c>
      <c r="K1772" s="32">
        <f>IFERROR(IF(T_PROD[[#This Row],[PRODUÇÃO]]&gt;0,(T_PROD[[#This Row],[PRODUÇÃO]]/T_PROD[[#This Row],[EFETIVO]]),""),"")</f>
        <v>20</v>
      </c>
    </row>
    <row r="1773" spans="1:11" x14ac:dyDescent="0.3">
      <c r="A1773" s="28">
        <v>46314</v>
      </c>
      <c r="B1773" s="29" t="str">
        <f t="shared" si="195"/>
        <v>OUTUBRO</v>
      </c>
      <c r="C1773" s="12" t="s">
        <v>32</v>
      </c>
      <c r="D1773" s="12" t="s">
        <v>12</v>
      </c>
      <c r="E1773" s="30">
        <v>140</v>
      </c>
      <c r="F1773" s="30">
        <v>151</v>
      </c>
      <c r="G1773" s="29">
        <v>13</v>
      </c>
      <c r="H1773" s="31">
        <v>13</v>
      </c>
      <c r="I1773" s="29">
        <f>IFERROR(IF(T_PROD[[#This Row],[PREVISTO]]-T_PROD[[#This Row],[EFETIVO]]&lt; 0,0,T_PROD[[#This Row],[PREVISTO]]-T_PROD[[#This Row],[EFETIVO]] ),"")</f>
        <v>0</v>
      </c>
      <c r="J1773" s="32">
        <f>IFERROR(IF(T_PROD[[#This Row],[META]]&gt;0,(T_PROD[[#This Row],[META]]/T_PROD[[#This Row],[PREVISTO]]),""),"")</f>
        <v>10.76923076923077</v>
      </c>
      <c r="K1773" s="32">
        <f>IFERROR(IF(T_PROD[[#This Row],[PRODUÇÃO]]&gt;0,(T_PROD[[#This Row],[PRODUÇÃO]]/T_PROD[[#This Row],[EFETIVO]]),""),"")</f>
        <v>11.615384615384615</v>
      </c>
    </row>
    <row r="1774" spans="1:11" x14ac:dyDescent="0.3">
      <c r="A1774" s="28">
        <v>46314</v>
      </c>
      <c r="B1774" s="29" t="str">
        <f t="shared" si="195"/>
        <v>OUTUBRO</v>
      </c>
      <c r="C1774" s="12" t="s">
        <v>14</v>
      </c>
      <c r="D1774" s="12" t="s">
        <v>12</v>
      </c>
      <c r="E1774" s="30">
        <v>860</v>
      </c>
      <c r="F1774" s="30">
        <v>871</v>
      </c>
      <c r="G1774" s="29">
        <v>100</v>
      </c>
      <c r="H1774" s="31">
        <v>98</v>
      </c>
      <c r="I1774" s="29">
        <f>IFERROR(IF(T_PROD[[#This Row],[PREVISTO]]-T_PROD[[#This Row],[EFETIVO]]&lt; 0,0,T_PROD[[#This Row],[PREVISTO]]-T_PROD[[#This Row],[EFETIVO]] ),"")</f>
        <v>2</v>
      </c>
      <c r="J1774" s="32">
        <f>IFERROR(IF(T_PROD[[#This Row],[META]]&gt;0,(T_PROD[[#This Row],[META]]/T_PROD[[#This Row],[PREVISTO]]),""),"")</f>
        <v>8.6</v>
      </c>
      <c r="K1774" s="32">
        <f>IFERROR(IF(T_PROD[[#This Row],[PRODUÇÃO]]&gt;0,(T_PROD[[#This Row],[PRODUÇÃO]]/T_PROD[[#This Row],[EFETIVO]]),""),"")</f>
        <v>8.887755102040817</v>
      </c>
    </row>
    <row r="1775" spans="1:11" x14ac:dyDescent="0.3">
      <c r="A1775" s="28">
        <v>46315</v>
      </c>
      <c r="B1775" s="29" t="str">
        <f>UPPER(TEXT(A1775,"MMMM"))</f>
        <v>OUTUBRO</v>
      </c>
      <c r="C1775" s="6" t="s">
        <v>15</v>
      </c>
      <c r="D1775" s="12" t="s">
        <v>12</v>
      </c>
      <c r="E1775" s="30">
        <v>75</v>
      </c>
      <c r="F1775" s="30">
        <v>38</v>
      </c>
      <c r="G1775" s="29">
        <v>5</v>
      </c>
      <c r="H1775" s="31">
        <v>5</v>
      </c>
      <c r="I1775" s="29">
        <f>IFERROR(IF(T_PROD[[#This Row],[PREVISTO]]-T_PROD[[#This Row],[EFETIVO]]&lt; 0,0,T_PROD[[#This Row],[PREVISTO]]-T_PROD[[#This Row],[EFETIVO]] ),"")</f>
        <v>0</v>
      </c>
      <c r="J1775" s="32">
        <f>IFERROR(IF(T_PROD[[#This Row],[META]]&gt;0,(T_PROD[[#This Row],[META]]/T_PROD[[#This Row],[PREVISTO]]),""),"")</f>
        <v>15</v>
      </c>
      <c r="K1775" s="32">
        <f>IFERROR(IF(T_PROD[[#This Row],[PRODUÇÃO]]&gt;0,(T_PROD[[#This Row],[PRODUÇÃO]]/T_PROD[[#This Row],[EFETIVO]]),""),"")</f>
        <v>7.6</v>
      </c>
    </row>
    <row r="1776" spans="1:11" x14ac:dyDescent="0.3">
      <c r="A1776" s="28">
        <v>46315</v>
      </c>
      <c r="B1776" s="29" t="str">
        <f t="shared" ref="B1776:B1783" si="196">UPPER(TEXT(A1776,"MMMM"))</f>
        <v>OUTUBRO</v>
      </c>
      <c r="C1776" s="12" t="s">
        <v>16</v>
      </c>
      <c r="D1776" s="12" t="s">
        <v>12</v>
      </c>
      <c r="E1776" s="30">
        <v>306</v>
      </c>
      <c r="F1776" s="30">
        <v>183</v>
      </c>
      <c r="G1776" s="29">
        <v>9</v>
      </c>
      <c r="H1776" s="31">
        <v>9</v>
      </c>
      <c r="I1776" s="29">
        <f>IFERROR(IF(T_PROD[[#This Row],[PREVISTO]]-T_PROD[[#This Row],[EFETIVO]]&lt; 0,0,T_PROD[[#This Row],[PREVISTO]]-T_PROD[[#This Row],[EFETIVO]] ),"")</f>
        <v>0</v>
      </c>
      <c r="J1776" s="32">
        <f>IFERROR(IF(T_PROD[[#This Row],[META]]&gt;0,(T_PROD[[#This Row],[META]]/T_PROD[[#This Row],[PREVISTO]]),""),"")</f>
        <v>34</v>
      </c>
      <c r="K1776" s="32">
        <f>IFERROR(IF(T_PROD[[#This Row],[PRODUÇÃO]]&gt;0,(T_PROD[[#This Row],[PRODUÇÃO]]/T_PROD[[#This Row],[EFETIVO]]),""),"")</f>
        <v>20.333333333333332</v>
      </c>
    </row>
    <row r="1777" spans="1:11" x14ac:dyDescent="0.3">
      <c r="A1777" s="28">
        <v>46315</v>
      </c>
      <c r="B1777" s="29" t="str">
        <f t="shared" si="196"/>
        <v>OUTUBRO</v>
      </c>
      <c r="C1777" s="12" t="s">
        <v>17</v>
      </c>
      <c r="D1777" s="12" t="s">
        <v>12</v>
      </c>
      <c r="E1777" s="30">
        <v>396</v>
      </c>
      <c r="F1777" s="30">
        <v>325</v>
      </c>
      <c r="G1777" s="29">
        <v>18</v>
      </c>
      <c r="H1777" s="31">
        <v>18</v>
      </c>
      <c r="I1777" s="29">
        <f>IFERROR(IF(T_PROD[[#This Row],[PREVISTO]]-T_PROD[[#This Row],[EFETIVO]]&lt; 0,0,T_PROD[[#This Row],[PREVISTO]]-T_PROD[[#This Row],[EFETIVO]] ),"")</f>
        <v>0</v>
      </c>
      <c r="J1777" s="32">
        <f>IFERROR(IF(T_PROD[[#This Row],[META]]&gt;0,(T_PROD[[#This Row],[META]]/T_PROD[[#This Row],[PREVISTO]]),""),"")</f>
        <v>22</v>
      </c>
      <c r="K1777" s="32">
        <f>IFERROR(IF(T_PROD[[#This Row],[PRODUÇÃO]]&gt;0,(T_PROD[[#This Row],[PRODUÇÃO]]/T_PROD[[#This Row],[EFETIVO]]),""),"")</f>
        <v>18.055555555555557</v>
      </c>
    </row>
    <row r="1778" spans="1:11" x14ac:dyDescent="0.3">
      <c r="A1778" s="28">
        <v>46315</v>
      </c>
      <c r="B1778" s="29" t="str">
        <f t="shared" si="196"/>
        <v>OUTUBRO</v>
      </c>
      <c r="C1778" s="12" t="s">
        <v>18</v>
      </c>
      <c r="D1778" s="12" t="s">
        <v>12</v>
      </c>
      <c r="E1778" s="30"/>
      <c r="F1778" s="30"/>
      <c r="G1778" s="29"/>
      <c r="H1778" s="31"/>
      <c r="I1778" s="29">
        <f>IFERROR(IF(T_PROD[[#This Row],[PREVISTO]]-T_PROD[[#This Row],[EFETIVO]]&lt; 0,0,T_PROD[[#This Row],[PREVISTO]]-T_PROD[[#This Row],[EFETIVO]] ),"")</f>
        <v>0</v>
      </c>
      <c r="J1778" s="32" t="str">
        <f>IFERROR(IF(T_PROD[[#This Row],[META]]&gt;0,(T_PROD[[#This Row],[META]]/T_PROD[[#This Row],[PREVISTO]]),""),"")</f>
        <v/>
      </c>
      <c r="K1778" s="32" t="str">
        <f>IFERROR(IF(T_PROD[[#This Row],[PRODUÇÃO]]&gt;0,(T_PROD[[#This Row],[PRODUÇÃO]]/T_PROD[[#This Row],[EFETIVO]]),""),"")</f>
        <v/>
      </c>
    </row>
    <row r="1779" spans="1:11" x14ac:dyDescent="0.3">
      <c r="A1779" s="28">
        <v>46315</v>
      </c>
      <c r="B1779" s="29" t="str">
        <f t="shared" si="196"/>
        <v>OUTUBRO</v>
      </c>
      <c r="C1779" s="12" t="s">
        <v>19</v>
      </c>
      <c r="D1779" s="12" t="s">
        <v>12</v>
      </c>
      <c r="E1779" s="30"/>
      <c r="F1779" s="30"/>
      <c r="G1779" s="29"/>
      <c r="H1779" s="31"/>
      <c r="I1779" s="29">
        <f>IFERROR(IF(T_PROD[[#This Row],[PREVISTO]]-T_PROD[[#This Row],[EFETIVO]]&lt; 0,0,T_PROD[[#This Row],[PREVISTO]]-T_PROD[[#This Row],[EFETIVO]] ),"")</f>
        <v>0</v>
      </c>
      <c r="J1779" s="32" t="str">
        <f>IFERROR(IF(T_PROD[[#This Row],[META]]&gt;0,(T_PROD[[#This Row],[META]]/T_PROD[[#This Row],[PREVISTO]]),""),"")</f>
        <v/>
      </c>
      <c r="K1779" s="32" t="str">
        <f>IFERROR(IF(T_PROD[[#This Row],[PRODUÇÃO]]&gt;0,(T_PROD[[#This Row],[PRODUÇÃO]]/T_PROD[[#This Row],[EFETIVO]]),""),"")</f>
        <v/>
      </c>
    </row>
    <row r="1780" spans="1:11" x14ac:dyDescent="0.3">
      <c r="A1780" s="28">
        <v>46315</v>
      </c>
      <c r="B1780" s="29" t="str">
        <f t="shared" si="196"/>
        <v>OUTUBRO</v>
      </c>
      <c r="C1780" s="12" t="s">
        <v>20</v>
      </c>
      <c r="D1780" s="12" t="s">
        <v>12</v>
      </c>
      <c r="E1780" s="30">
        <v>777</v>
      </c>
      <c r="F1780" s="30">
        <v>546</v>
      </c>
      <c r="G1780" s="29">
        <v>120</v>
      </c>
      <c r="H1780" s="31">
        <v>120</v>
      </c>
      <c r="I1780" s="29">
        <f>IFERROR(IF(T_PROD[[#This Row],[PREVISTO]]-T_PROD[[#This Row],[EFETIVO]]&lt; 0,0,T_PROD[[#This Row],[PREVISTO]]-T_PROD[[#This Row],[EFETIVO]] ),"")</f>
        <v>0</v>
      </c>
      <c r="J1780" s="32">
        <f>IFERROR(IF(T_PROD[[#This Row],[META]]&gt;0,(T_PROD[[#This Row],[META]]/T_PROD[[#This Row],[PREVISTO]]),""),"")</f>
        <v>6.4749999999999996</v>
      </c>
      <c r="K1780" s="32">
        <f>IFERROR(IF(T_PROD[[#This Row],[PRODUÇÃO]]&gt;0,(T_PROD[[#This Row],[PRODUÇÃO]]/T_PROD[[#This Row],[EFETIVO]]),""),"")</f>
        <v>4.55</v>
      </c>
    </row>
    <row r="1781" spans="1:11" x14ac:dyDescent="0.3">
      <c r="A1781" s="28">
        <v>46315</v>
      </c>
      <c r="B1781" s="29" t="str">
        <f t="shared" si="196"/>
        <v>OUTUBRO</v>
      </c>
      <c r="C1781" s="12" t="s">
        <v>11</v>
      </c>
      <c r="D1781" s="12" t="s">
        <v>12</v>
      </c>
      <c r="E1781" s="30">
        <v>800</v>
      </c>
      <c r="F1781" s="30">
        <v>710</v>
      </c>
      <c r="G1781" s="29">
        <v>40</v>
      </c>
      <c r="H1781" s="31">
        <v>40</v>
      </c>
      <c r="I1781" s="29">
        <f>IFERROR(IF(T_PROD[[#This Row],[PREVISTO]]-T_PROD[[#This Row],[EFETIVO]]&lt; 0,0,T_PROD[[#This Row],[PREVISTO]]-T_PROD[[#This Row],[EFETIVO]] ),"")</f>
        <v>0</v>
      </c>
      <c r="J1781" s="32">
        <f>IFERROR(IF(T_PROD[[#This Row],[META]]&gt;0,(T_PROD[[#This Row],[META]]/T_PROD[[#This Row],[PREVISTO]]),""),"")</f>
        <v>20</v>
      </c>
      <c r="K1781" s="32">
        <f>IFERROR(IF(T_PROD[[#This Row],[PRODUÇÃO]]&gt;0,(T_PROD[[#This Row],[PRODUÇÃO]]/T_PROD[[#This Row],[EFETIVO]]),""),"")</f>
        <v>17.75</v>
      </c>
    </row>
    <row r="1782" spans="1:11" x14ac:dyDescent="0.3">
      <c r="A1782" s="28">
        <v>46315</v>
      </c>
      <c r="B1782" s="29" t="str">
        <f t="shared" si="196"/>
        <v>OUTUBRO</v>
      </c>
      <c r="C1782" s="12" t="s">
        <v>32</v>
      </c>
      <c r="D1782" s="12" t="s">
        <v>12</v>
      </c>
      <c r="E1782" s="30">
        <v>150</v>
      </c>
      <c r="F1782" s="30">
        <v>160</v>
      </c>
      <c r="G1782" s="29">
        <v>13</v>
      </c>
      <c r="H1782" s="31">
        <v>13</v>
      </c>
      <c r="I1782" s="29">
        <f>IFERROR(IF(T_PROD[[#This Row],[PREVISTO]]-T_PROD[[#This Row],[EFETIVO]]&lt; 0,0,T_PROD[[#This Row],[PREVISTO]]-T_PROD[[#This Row],[EFETIVO]] ),"")</f>
        <v>0</v>
      </c>
      <c r="J1782" s="32">
        <f>IFERROR(IF(T_PROD[[#This Row],[META]]&gt;0,(T_PROD[[#This Row],[META]]/T_PROD[[#This Row],[PREVISTO]]),""),"")</f>
        <v>11.538461538461538</v>
      </c>
      <c r="K1782" s="32">
        <f>IFERROR(IF(T_PROD[[#This Row],[PRODUÇÃO]]&gt;0,(T_PROD[[#This Row],[PRODUÇÃO]]/T_PROD[[#This Row],[EFETIVO]]),""),"")</f>
        <v>12.307692307692308</v>
      </c>
    </row>
    <row r="1783" spans="1:11" x14ac:dyDescent="0.3">
      <c r="A1783" s="28">
        <v>46315</v>
      </c>
      <c r="B1783" s="29" t="str">
        <f t="shared" si="196"/>
        <v>OUTUBRO</v>
      </c>
      <c r="C1783" s="12" t="s">
        <v>14</v>
      </c>
      <c r="D1783" s="12" t="s">
        <v>12</v>
      </c>
      <c r="E1783" s="30">
        <v>950</v>
      </c>
      <c r="F1783" s="30">
        <v>870</v>
      </c>
      <c r="G1783" s="29">
        <v>100</v>
      </c>
      <c r="H1783" s="31">
        <v>95</v>
      </c>
      <c r="I1783" s="29">
        <f>IFERROR(IF(T_PROD[[#This Row],[PREVISTO]]-T_PROD[[#This Row],[EFETIVO]]&lt; 0,0,T_PROD[[#This Row],[PREVISTO]]-T_PROD[[#This Row],[EFETIVO]] ),"")</f>
        <v>5</v>
      </c>
      <c r="J1783" s="32">
        <f>IFERROR(IF(T_PROD[[#This Row],[META]]&gt;0,(T_PROD[[#This Row],[META]]/T_PROD[[#This Row],[PREVISTO]]),""),"")</f>
        <v>9.5</v>
      </c>
      <c r="K1783" s="32">
        <f>IFERROR(IF(T_PROD[[#This Row],[PRODUÇÃO]]&gt;0,(T_PROD[[#This Row],[PRODUÇÃO]]/T_PROD[[#This Row],[EFETIVO]]),""),"")</f>
        <v>9.1578947368421044</v>
      </c>
    </row>
    <row r="1784" spans="1:11" x14ac:dyDescent="0.3">
      <c r="A1784" s="28">
        <v>46316</v>
      </c>
      <c r="B1784" s="29" t="str">
        <f>UPPER(TEXT(A1784,"MMMM"))</f>
        <v>OUTUBRO</v>
      </c>
      <c r="C1784" s="6" t="s">
        <v>15</v>
      </c>
      <c r="D1784" s="12" t="s">
        <v>12</v>
      </c>
      <c r="E1784" s="30">
        <v>75</v>
      </c>
      <c r="F1784" s="30">
        <v>20</v>
      </c>
      <c r="G1784" s="29">
        <v>5</v>
      </c>
      <c r="H1784" s="31">
        <v>5</v>
      </c>
      <c r="I1784" s="29">
        <f>IFERROR(IF(T_PROD[[#This Row],[PREVISTO]]-T_PROD[[#This Row],[EFETIVO]]&lt; 0,0,T_PROD[[#This Row],[PREVISTO]]-T_PROD[[#This Row],[EFETIVO]] ),"")</f>
        <v>0</v>
      </c>
      <c r="J1784" s="32">
        <f>IFERROR(IF(T_PROD[[#This Row],[META]]&gt;0,(T_PROD[[#This Row],[META]]/T_PROD[[#This Row],[PREVISTO]]),""),"")</f>
        <v>15</v>
      </c>
      <c r="K1784" s="32">
        <f>IFERROR(IF(T_PROD[[#This Row],[PRODUÇÃO]]&gt;0,(T_PROD[[#This Row],[PRODUÇÃO]]/T_PROD[[#This Row],[EFETIVO]]),""),"")</f>
        <v>4</v>
      </c>
    </row>
    <row r="1785" spans="1:11" x14ac:dyDescent="0.3">
      <c r="A1785" s="28">
        <v>46316</v>
      </c>
      <c r="B1785" s="29" t="str">
        <f t="shared" ref="B1785:B1792" si="197">UPPER(TEXT(A1785,"MMMM"))</f>
        <v>OUTUBRO</v>
      </c>
      <c r="C1785" s="12" t="s">
        <v>16</v>
      </c>
      <c r="D1785" s="12" t="s">
        <v>12</v>
      </c>
      <c r="E1785" s="30">
        <v>306</v>
      </c>
      <c r="F1785" s="30">
        <v>330</v>
      </c>
      <c r="G1785" s="29">
        <v>9</v>
      </c>
      <c r="H1785" s="31">
        <v>9</v>
      </c>
      <c r="I1785" s="29">
        <f>IFERROR(IF(T_PROD[[#This Row],[PREVISTO]]-T_PROD[[#This Row],[EFETIVO]]&lt; 0,0,T_PROD[[#This Row],[PREVISTO]]-T_PROD[[#This Row],[EFETIVO]] ),"")</f>
        <v>0</v>
      </c>
      <c r="J1785" s="32">
        <f>IFERROR(IF(T_PROD[[#This Row],[META]]&gt;0,(T_PROD[[#This Row],[META]]/T_PROD[[#This Row],[PREVISTO]]),""),"")</f>
        <v>34</v>
      </c>
      <c r="K1785" s="32">
        <f>IFERROR(IF(T_PROD[[#This Row],[PRODUÇÃO]]&gt;0,(T_PROD[[#This Row],[PRODUÇÃO]]/T_PROD[[#This Row],[EFETIVO]]),""),"")</f>
        <v>36.666666666666664</v>
      </c>
    </row>
    <row r="1786" spans="1:11" x14ac:dyDescent="0.3">
      <c r="A1786" s="28">
        <v>46316</v>
      </c>
      <c r="B1786" s="29" t="str">
        <f t="shared" si="197"/>
        <v>OUTUBRO</v>
      </c>
      <c r="C1786" s="12" t="s">
        <v>17</v>
      </c>
      <c r="D1786" s="12" t="s">
        <v>12</v>
      </c>
      <c r="E1786" s="30">
        <v>396</v>
      </c>
      <c r="F1786" s="30">
        <v>109</v>
      </c>
      <c r="G1786" s="29">
        <v>18</v>
      </c>
      <c r="H1786" s="31">
        <v>18</v>
      </c>
      <c r="I1786" s="29">
        <f>IFERROR(IF(T_PROD[[#This Row],[PREVISTO]]-T_PROD[[#This Row],[EFETIVO]]&lt; 0,0,T_PROD[[#This Row],[PREVISTO]]-T_PROD[[#This Row],[EFETIVO]] ),"")</f>
        <v>0</v>
      </c>
      <c r="J1786" s="32">
        <f>IFERROR(IF(T_PROD[[#This Row],[META]]&gt;0,(T_PROD[[#This Row],[META]]/T_PROD[[#This Row],[PREVISTO]]),""),"")</f>
        <v>22</v>
      </c>
      <c r="K1786" s="32">
        <f>IFERROR(IF(T_PROD[[#This Row],[PRODUÇÃO]]&gt;0,(T_PROD[[#This Row],[PRODUÇÃO]]/T_PROD[[#This Row],[EFETIVO]]),""),"")</f>
        <v>6.0555555555555554</v>
      </c>
    </row>
    <row r="1787" spans="1:11" x14ac:dyDescent="0.3">
      <c r="A1787" s="28">
        <v>46316</v>
      </c>
      <c r="B1787" s="29" t="str">
        <f t="shared" si="197"/>
        <v>OUTUBRO</v>
      </c>
      <c r="C1787" s="12" t="s">
        <v>18</v>
      </c>
      <c r="D1787" s="12" t="s">
        <v>12</v>
      </c>
      <c r="E1787" s="30"/>
      <c r="F1787" s="30"/>
      <c r="G1787" s="29"/>
      <c r="H1787" s="31"/>
      <c r="I1787" s="29">
        <f>IFERROR(IF(T_PROD[[#This Row],[PREVISTO]]-T_PROD[[#This Row],[EFETIVO]]&lt; 0,0,T_PROD[[#This Row],[PREVISTO]]-T_PROD[[#This Row],[EFETIVO]] ),"")</f>
        <v>0</v>
      </c>
      <c r="J1787" s="32" t="str">
        <f>IFERROR(IF(T_PROD[[#This Row],[META]]&gt;0,(T_PROD[[#This Row],[META]]/T_PROD[[#This Row],[PREVISTO]]),""),"")</f>
        <v/>
      </c>
      <c r="K1787" s="32" t="str">
        <f>IFERROR(IF(T_PROD[[#This Row],[PRODUÇÃO]]&gt;0,(T_PROD[[#This Row],[PRODUÇÃO]]/T_PROD[[#This Row],[EFETIVO]]),""),"")</f>
        <v/>
      </c>
    </row>
    <row r="1788" spans="1:11" x14ac:dyDescent="0.3">
      <c r="A1788" s="28">
        <v>46316</v>
      </c>
      <c r="B1788" s="29" t="str">
        <f t="shared" si="197"/>
        <v>OUTUBRO</v>
      </c>
      <c r="C1788" s="12" t="s">
        <v>19</v>
      </c>
      <c r="D1788" s="12" t="s">
        <v>12</v>
      </c>
      <c r="E1788" s="30"/>
      <c r="F1788" s="30"/>
      <c r="G1788" s="29"/>
      <c r="H1788" s="31"/>
      <c r="I1788" s="29">
        <f>IFERROR(IF(T_PROD[[#This Row],[PREVISTO]]-T_PROD[[#This Row],[EFETIVO]]&lt; 0,0,T_PROD[[#This Row],[PREVISTO]]-T_PROD[[#This Row],[EFETIVO]] ),"")</f>
        <v>0</v>
      </c>
      <c r="J1788" s="32" t="str">
        <f>IFERROR(IF(T_PROD[[#This Row],[META]]&gt;0,(T_PROD[[#This Row],[META]]/T_PROD[[#This Row],[PREVISTO]]),""),"")</f>
        <v/>
      </c>
      <c r="K1788" s="32" t="str">
        <f>IFERROR(IF(T_PROD[[#This Row],[PRODUÇÃO]]&gt;0,(T_PROD[[#This Row],[PRODUÇÃO]]/T_PROD[[#This Row],[EFETIVO]]),""),"")</f>
        <v/>
      </c>
    </row>
    <row r="1789" spans="1:11" x14ac:dyDescent="0.3">
      <c r="A1789" s="28">
        <v>46316</v>
      </c>
      <c r="B1789" s="29" t="str">
        <f t="shared" si="197"/>
        <v>OUTUBRO</v>
      </c>
      <c r="C1789" s="12" t="s">
        <v>20</v>
      </c>
      <c r="D1789" s="12" t="s">
        <v>12</v>
      </c>
      <c r="E1789" s="30">
        <v>777</v>
      </c>
      <c r="F1789" s="30">
        <v>459</v>
      </c>
      <c r="G1789" s="29">
        <v>120</v>
      </c>
      <c r="H1789" s="31">
        <v>120</v>
      </c>
      <c r="I1789" s="29">
        <f>IFERROR(IF(T_PROD[[#This Row],[PREVISTO]]-T_PROD[[#This Row],[EFETIVO]]&lt; 0,0,T_PROD[[#This Row],[PREVISTO]]-T_PROD[[#This Row],[EFETIVO]] ),"")</f>
        <v>0</v>
      </c>
      <c r="J1789" s="32">
        <f>IFERROR(IF(T_PROD[[#This Row],[META]]&gt;0,(T_PROD[[#This Row],[META]]/T_PROD[[#This Row],[PREVISTO]]),""),"")</f>
        <v>6.4749999999999996</v>
      </c>
      <c r="K1789" s="32">
        <f>IFERROR(IF(T_PROD[[#This Row],[PRODUÇÃO]]&gt;0,(T_PROD[[#This Row],[PRODUÇÃO]]/T_PROD[[#This Row],[EFETIVO]]),""),"")</f>
        <v>3.8250000000000002</v>
      </c>
    </row>
    <row r="1790" spans="1:11" x14ac:dyDescent="0.3">
      <c r="A1790" s="28">
        <v>46316</v>
      </c>
      <c r="B1790" s="29" t="str">
        <f t="shared" si="197"/>
        <v>OUTUBRO</v>
      </c>
      <c r="C1790" s="12" t="s">
        <v>11</v>
      </c>
      <c r="D1790" s="12" t="s">
        <v>12</v>
      </c>
      <c r="E1790" s="30">
        <v>480</v>
      </c>
      <c r="F1790" s="30">
        <v>483</v>
      </c>
      <c r="G1790" s="29">
        <v>24</v>
      </c>
      <c r="H1790" s="31">
        <v>24</v>
      </c>
      <c r="I1790" s="29">
        <f>IFERROR(IF(T_PROD[[#This Row],[PREVISTO]]-T_PROD[[#This Row],[EFETIVO]]&lt; 0,0,T_PROD[[#This Row],[PREVISTO]]-T_PROD[[#This Row],[EFETIVO]] ),"")</f>
        <v>0</v>
      </c>
      <c r="J1790" s="32">
        <f>IFERROR(IF(T_PROD[[#This Row],[META]]&gt;0,(T_PROD[[#This Row],[META]]/T_PROD[[#This Row],[PREVISTO]]),""),"")</f>
        <v>20</v>
      </c>
      <c r="K1790" s="32">
        <f>IFERROR(IF(T_PROD[[#This Row],[PRODUÇÃO]]&gt;0,(T_PROD[[#This Row],[PRODUÇÃO]]/T_PROD[[#This Row],[EFETIVO]]),""),"")</f>
        <v>20.125</v>
      </c>
    </row>
    <row r="1791" spans="1:11" x14ac:dyDescent="0.3">
      <c r="A1791" s="28">
        <v>46316</v>
      </c>
      <c r="B1791" s="29" t="str">
        <f t="shared" si="197"/>
        <v>OUTUBRO</v>
      </c>
      <c r="C1791" s="12" t="s">
        <v>32</v>
      </c>
      <c r="D1791" s="12" t="s">
        <v>12</v>
      </c>
      <c r="E1791" s="30">
        <v>150</v>
      </c>
      <c r="F1791" s="30">
        <v>163</v>
      </c>
      <c r="G1791" s="29">
        <v>14</v>
      </c>
      <c r="H1791" s="31">
        <v>14</v>
      </c>
      <c r="I1791" s="29">
        <f>IFERROR(IF(T_PROD[[#This Row],[PREVISTO]]-T_PROD[[#This Row],[EFETIVO]]&lt; 0,0,T_PROD[[#This Row],[PREVISTO]]-T_PROD[[#This Row],[EFETIVO]] ),"")</f>
        <v>0</v>
      </c>
      <c r="J1791" s="32">
        <f>IFERROR(IF(T_PROD[[#This Row],[META]]&gt;0,(T_PROD[[#This Row],[META]]/T_PROD[[#This Row],[PREVISTO]]),""),"")</f>
        <v>10.714285714285714</v>
      </c>
      <c r="K1791" s="32">
        <f>IFERROR(IF(T_PROD[[#This Row],[PRODUÇÃO]]&gt;0,(T_PROD[[#This Row],[PRODUÇÃO]]/T_PROD[[#This Row],[EFETIVO]]),""),"")</f>
        <v>11.642857142857142</v>
      </c>
    </row>
    <row r="1792" spans="1:11" x14ac:dyDescent="0.3">
      <c r="A1792" s="28">
        <v>46316</v>
      </c>
      <c r="B1792" s="29" t="str">
        <f t="shared" si="197"/>
        <v>OUTUBRO</v>
      </c>
      <c r="C1792" s="12" t="s">
        <v>14</v>
      </c>
      <c r="D1792" s="12" t="s">
        <v>12</v>
      </c>
      <c r="E1792" s="30">
        <v>630</v>
      </c>
      <c r="F1792" s="30">
        <v>646</v>
      </c>
      <c r="G1792" s="29">
        <v>100</v>
      </c>
      <c r="H1792" s="31">
        <v>92</v>
      </c>
      <c r="I1792" s="29">
        <f>IFERROR(IF(T_PROD[[#This Row],[PREVISTO]]-T_PROD[[#This Row],[EFETIVO]]&lt; 0,0,T_PROD[[#This Row],[PREVISTO]]-T_PROD[[#This Row],[EFETIVO]] ),"")</f>
        <v>8</v>
      </c>
      <c r="J1792" s="32">
        <f>IFERROR(IF(T_PROD[[#This Row],[META]]&gt;0,(T_PROD[[#This Row],[META]]/T_PROD[[#This Row],[PREVISTO]]),""),"")</f>
        <v>6.3</v>
      </c>
      <c r="K1792" s="32">
        <f>IFERROR(IF(T_PROD[[#This Row],[PRODUÇÃO]]&gt;0,(T_PROD[[#This Row],[PRODUÇÃO]]/T_PROD[[#This Row],[EFETIVO]]),""),"")</f>
        <v>7.0217391304347823</v>
      </c>
    </row>
    <row r="1793" spans="1:11" x14ac:dyDescent="0.3">
      <c r="A1793" s="28">
        <v>46317</v>
      </c>
      <c r="B1793" s="29" t="str">
        <f>UPPER(TEXT(A1793,"MMMM"))</f>
        <v>OUTUBRO</v>
      </c>
      <c r="C1793" s="6" t="s">
        <v>15</v>
      </c>
      <c r="D1793" s="12" t="s">
        <v>12</v>
      </c>
      <c r="E1793" s="30">
        <v>75</v>
      </c>
      <c r="F1793" s="30">
        <v>60</v>
      </c>
      <c r="G1793" s="29">
        <v>5</v>
      </c>
      <c r="H1793" s="31">
        <v>5</v>
      </c>
      <c r="I1793" s="29">
        <f>IFERROR(IF(T_PROD[[#This Row],[PREVISTO]]-T_PROD[[#This Row],[EFETIVO]]&lt; 0,0,T_PROD[[#This Row],[PREVISTO]]-T_PROD[[#This Row],[EFETIVO]] ),"")</f>
        <v>0</v>
      </c>
      <c r="J1793" s="32">
        <f>IFERROR(IF(T_PROD[[#This Row],[META]]&gt;0,(T_PROD[[#This Row],[META]]/T_PROD[[#This Row],[PREVISTO]]),""),"")</f>
        <v>15</v>
      </c>
      <c r="K1793" s="32">
        <f>IFERROR(IF(T_PROD[[#This Row],[PRODUÇÃO]]&gt;0,(T_PROD[[#This Row],[PRODUÇÃO]]/T_PROD[[#This Row],[EFETIVO]]),""),"")</f>
        <v>12</v>
      </c>
    </row>
    <row r="1794" spans="1:11" x14ac:dyDescent="0.3">
      <c r="A1794" s="28">
        <v>46317</v>
      </c>
      <c r="B1794" s="29" t="str">
        <f t="shared" ref="B1794:B1801" si="198">UPPER(TEXT(A1794,"MMMM"))</f>
        <v>OUTUBRO</v>
      </c>
      <c r="C1794" s="12" t="s">
        <v>16</v>
      </c>
      <c r="D1794" s="12" t="s">
        <v>12</v>
      </c>
      <c r="E1794" s="30">
        <v>306</v>
      </c>
      <c r="F1794" s="30">
        <v>300</v>
      </c>
      <c r="G1794" s="29">
        <v>9</v>
      </c>
      <c r="H1794" s="31">
        <v>9</v>
      </c>
      <c r="I1794" s="29">
        <f>IFERROR(IF(T_PROD[[#This Row],[PREVISTO]]-T_PROD[[#This Row],[EFETIVO]]&lt; 0,0,T_PROD[[#This Row],[PREVISTO]]-T_PROD[[#This Row],[EFETIVO]] ),"")</f>
        <v>0</v>
      </c>
      <c r="J1794" s="32">
        <f>IFERROR(IF(T_PROD[[#This Row],[META]]&gt;0,(T_PROD[[#This Row],[META]]/T_PROD[[#This Row],[PREVISTO]]),""),"")</f>
        <v>34</v>
      </c>
      <c r="K1794" s="32">
        <f>IFERROR(IF(T_PROD[[#This Row],[PRODUÇÃO]]&gt;0,(T_PROD[[#This Row],[PRODUÇÃO]]/T_PROD[[#This Row],[EFETIVO]]),""),"")</f>
        <v>33.333333333333336</v>
      </c>
    </row>
    <row r="1795" spans="1:11" x14ac:dyDescent="0.3">
      <c r="A1795" s="28">
        <v>46317</v>
      </c>
      <c r="B1795" s="29" t="str">
        <f t="shared" si="198"/>
        <v>OUTUBRO</v>
      </c>
      <c r="C1795" s="12" t="s">
        <v>17</v>
      </c>
      <c r="D1795" s="12" t="s">
        <v>12</v>
      </c>
      <c r="E1795" s="30">
        <v>286</v>
      </c>
      <c r="F1795" s="30">
        <v>170</v>
      </c>
      <c r="G1795" s="29">
        <v>13</v>
      </c>
      <c r="H1795" s="31">
        <v>13</v>
      </c>
      <c r="I1795" s="29">
        <f>IFERROR(IF(T_PROD[[#This Row],[PREVISTO]]-T_PROD[[#This Row],[EFETIVO]]&lt; 0,0,T_PROD[[#This Row],[PREVISTO]]-T_PROD[[#This Row],[EFETIVO]] ),"")</f>
        <v>0</v>
      </c>
      <c r="J1795" s="32">
        <f>IFERROR(IF(T_PROD[[#This Row],[META]]&gt;0,(T_PROD[[#This Row],[META]]/T_PROD[[#This Row],[PREVISTO]]),""),"")</f>
        <v>22</v>
      </c>
      <c r="K1795" s="32">
        <f>IFERROR(IF(T_PROD[[#This Row],[PRODUÇÃO]]&gt;0,(T_PROD[[#This Row],[PRODUÇÃO]]/T_PROD[[#This Row],[EFETIVO]]),""),"")</f>
        <v>13.076923076923077</v>
      </c>
    </row>
    <row r="1796" spans="1:11" x14ac:dyDescent="0.3">
      <c r="A1796" s="28">
        <v>46317</v>
      </c>
      <c r="B1796" s="29" t="str">
        <f t="shared" si="198"/>
        <v>OUTUBRO</v>
      </c>
      <c r="C1796" s="12" t="s">
        <v>18</v>
      </c>
      <c r="D1796" s="12" t="s">
        <v>12</v>
      </c>
      <c r="E1796" s="30"/>
      <c r="F1796" s="30"/>
      <c r="G1796" s="29"/>
      <c r="H1796" s="31"/>
      <c r="I1796" s="29">
        <f>IFERROR(IF(T_PROD[[#This Row],[PREVISTO]]-T_PROD[[#This Row],[EFETIVO]]&lt; 0,0,T_PROD[[#This Row],[PREVISTO]]-T_PROD[[#This Row],[EFETIVO]] ),"")</f>
        <v>0</v>
      </c>
      <c r="J1796" s="32" t="str">
        <f>IFERROR(IF(T_PROD[[#This Row],[META]]&gt;0,(T_PROD[[#This Row],[META]]/T_PROD[[#This Row],[PREVISTO]]),""),"")</f>
        <v/>
      </c>
      <c r="K1796" s="32" t="str">
        <f>IFERROR(IF(T_PROD[[#This Row],[PRODUÇÃO]]&gt;0,(T_PROD[[#This Row],[PRODUÇÃO]]/T_PROD[[#This Row],[EFETIVO]]),""),"")</f>
        <v/>
      </c>
    </row>
    <row r="1797" spans="1:11" x14ac:dyDescent="0.3">
      <c r="A1797" s="28">
        <v>46317</v>
      </c>
      <c r="B1797" s="29" t="str">
        <f t="shared" si="198"/>
        <v>OUTUBRO</v>
      </c>
      <c r="C1797" s="12" t="s">
        <v>19</v>
      </c>
      <c r="D1797" s="12" t="s">
        <v>12</v>
      </c>
      <c r="E1797" s="30"/>
      <c r="F1797" s="30"/>
      <c r="G1797" s="29"/>
      <c r="H1797" s="31"/>
      <c r="I1797" s="29">
        <f>IFERROR(IF(T_PROD[[#This Row],[PREVISTO]]-T_PROD[[#This Row],[EFETIVO]]&lt; 0,0,T_PROD[[#This Row],[PREVISTO]]-T_PROD[[#This Row],[EFETIVO]] ),"")</f>
        <v>0</v>
      </c>
      <c r="J1797" s="32" t="str">
        <f>IFERROR(IF(T_PROD[[#This Row],[META]]&gt;0,(T_PROD[[#This Row],[META]]/T_PROD[[#This Row],[PREVISTO]]),""),"")</f>
        <v/>
      </c>
      <c r="K1797" s="32" t="str">
        <f>IFERROR(IF(T_PROD[[#This Row],[PRODUÇÃO]]&gt;0,(T_PROD[[#This Row],[PRODUÇÃO]]/T_PROD[[#This Row],[EFETIVO]]),""),"")</f>
        <v/>
      </c>
    </row>
    <row r="1798" spans="1:11" x14ac:dyDescent="0.3">
      <c r="A1798" s="28">
        <v>46317</v>
      </c>
      <c r="B1798" s="29" t="str">
        <f t="shared" si="198"/>
        <v>OUTUBRO</v>
      </c>
      <c r="C1798" s="12" t="s">
        <v>20</v>
      </c>
      <c r="D1798" s="12" t="s">
        <v>12</v>
      </c>
      <c r="E1798" s="30">
        <v>667</v>
      </c>
      <c r="F1798" s="30">
        <v>530</v>
      </c>
      <c r="G1798" s="29">
        <v>120</v>
      </c>
      <c r="H1798" s="31">
        <v>120</v>
      </c>
      <c r="I1798" s="29">
        <f>IFERROR(IF(T_PROD[[#This Row],[PREVISTO]]-T_PROD[[#This Row],[EFETIVO]]&lt; 0,0,T_PROD[[#This Row],[PREVISTO]]-T_PROD[[#This Row],[EFETIVO]] ),"")</f>
        <v>0</v>
      </c>
      <c r="J1798" s="32">
        <f>IFERROR(IF(T_PROD[[#This Row],[META]]&gt;0,(T_PROD[[#This Row],[META]]/T_PROD[[#This Row],[PREVISTO]]),""),"")</f>
        <v>5.5583333333333336</v>
      </c>
      <c r="K1798" s="32">
        <f>IFERROR(IF(T_PROD[[#This Row],[PRODUÇÃO]]&gt;0,(T_PROD[[#This Row],[PRODUÇÃO]]/T_PROD[[#This Row],[EFETIVO]]),""),"")</f>
        <v>4.416666666666667</v>
      </c>
    </row>
    <row r="1799" spans="1:11" x14ac:dyDescent="0.3">
      <c r="A1799" s="28">
        <v>46317</v>
      </c>
      <c r="B1799" s="29" t="str">
        <f t="shared" si="198"/>
        <v>OUTUBRO</v>
      </c>
      <c r="C1799" s="12" t="s">
        <v>11</v>
      </c>
      <c r="D1799" s="12" t="s">
        <v>12</v>
      </c>
      <c r="E1799" s="30">
        <v>800</v>
      </c>
      <c r="F1799" s="30">
        <v>836</v>
      </c>
      <c r="G1799" s="29">
        <v>40</v>
      </c>
      <c r="H1799" s="31">
        <v>40</v>
      </c>
      <c r="I1799" s="29">
        <f>IFERROR(IF(T_PROD[[#This Row],[PREVISTO]]-T_PROD[[#This Row],[EFETIVO]]&lt; 0,0,T_PROD[[#This Row],[PREVISTO]]-T_PROD[[#This Row],[EFETIVO]] ),"")</f>
        <v>0</v>
      </c>
      <c r="J1799" s="32">
        <f>IFERROR(IF(T_PROD[[#This Row],[META]]&gt;0,(T_PROD[[#This Row],[META]]/T_PROD[[#This Row],[PREVISTO]]),""),"")</f>
        <v>20</v>
      </c>
      <c r="K1799" s="32">
        <f>IFERROR(IF(T_PROD[[#This Row],[PRODUÇÃO]]&gt;0,(T_PROD[[#This Row],[PRODUÇÃO]]/T_PROD[[#This Row],[EFETIVO]]),""),"")</f>
        <v>20.9</v>
      </c>
    </row>
    <row r="1800" spans="1:11" x14ac:dyDescent="0.3">
      <c r="A1800" s="28">
        <v>46317</v>
      </c>
      <c r="B1800" s="29" t="str">
        <f t="shared" si="198"/>
        <v>OUTUBRO</v>
      </c>
      <c r="C1800" s="12" t="s">
        <v>32</v>
      </c>
      <c r="D1800" s="12" t="s">
        <v>12</v>
      </c>
      <c r="E1800" s="30">
        <v>130</v>
      </c>
      <c r="F1800" s="30">
        <v>146</v>
      </c>
      <c r="G1800" s="29">
        <v>13</v>
      </c>
      <c r="H1800" s="31">
        <v>13</v>
      </c>
      <c r="I1800" s="29">
        <f>IFERROR(IF(T_PROD[[#This Row],[PREVISTO]]-T_PROD[[#This Row],[EFETIVO]]&lt; 0,0,T_PROD[[#This Row],[PREVISTO]]-T_PROD[[#This Row],[EFETIVO]] ),"")</f>
        <v>0</v>
      </c>
      <c r="J1800" s="32">
        <f>IFERROR(IF(T_PROD[[#This Row],[META]]&gt;0,(T_PROD[[#This Row],[META]]/T_PROD[[#This Row],[PREVISTO]]),""),"")</f>
        <v>10</v>
      </c>
      <c r="K1800" s="32">
        <f>IFERROR(IF(T_PROD[[#This Row],[PRODUÇÃO]]&gt;0,(T_PROD[[#This Row],[PRODUÇÃO]]/T_PROD[[#This Row],[EFETIVO]]),""),"")</f>
        <v>11.23076923076923</v>
      </c>
    </row>
    <row r="1801" spans="1:11" x14ac:dyDescent="0.3">
      <c r="A1801" s="28">
        <v>46317</v>
      </c>
      <c r="B1801" s="29" t="str">
        <f t="shared" si="198"/>
        <v>OUTUBRO</v>
      </c>
      <c r="C1801" s="12" t="s">
        <v>14</v>
      </c>
      <c r="D1801" s="12" t="s">
        <v>12</v>
      </c>
      <c r="E1801" s="30">
        <v>930</v>
      </c>
      <c r="F1801" s="30">
        <v>982</v>
      </c>
      <c r="G1801" s="29">
        <v>115</v>
      </c>
      <c r="H1801" s="31">
        <v>108</v>
      </c>
      <c r="I1801" s="29">
        <f>IFERROR(IF(T_PROD[[#This Row],[PREVISTO]]-T_PROD[[#This Row],[EFETIVO]]&lt; 0,0,T_PROD[[#This Row],[PREVISTO]]-T_PROD[[#This Row],[EFETIVO]] ),"")</f>
        <v>7</v>
      </c>
      <c r="J1801" s="32">
        <f>IFERROR(IF(T_PROD[[#This Row],[META]]&gt;0,(T_PROD[[#This Row],[META]]/T_PROD[[#This Row],[PREVISTO]]),""),"")</f>
        <v>8.0869565217391308</v>
      </c>
      <c r="K1801" s="32">
        <f>IFERROR(IF(T_PROD[[#This Row],[PRODUÇÃO]]&gt;0,(T_PROD[[#This Row],[PRODUÇÃO]]/T_PROD[[#This Row],[EFETIVO]]),""),"")</f>
        <v>9.0925925925925934</v>
      </c>
    </row>
    <row r="1802" spans="1:11" x14ac:dyDescent="0.3">
      <c r="A1802" s="28">
        <v>46318</v>
      </c>
      <c r="B1802" s="29" t="str">
        <f>UPPER(TEXT(A1802,"MMMM"))</f>
        <v>OUTUBRO</v>
      </c>
      <c r="C1802" s="6" t="s">
        <v>15</v>
      </c>
      <c r="D1802" s="12" t="s">
        <v>12</v>
      </c>
      <c r="E1802" s="30">
        <v>75</v>
      </c>
      <c r="F1802" s="30">
        <v>44</v>
      </c>
      <c r="G1802" s="29">
        <v>5</v>
      </c>
      <c r="H1802" s="31">
        <v>5</v>
      </c>
      <c r="I1802" s="29">
        <f>IFERROR(IF(T_PROD[[#This Row],[PREVISTO]]-T_PROD[[#This Row],[EFETIVO]]&lt; 0,0,T_PROD[[#This Row],[PREVISTO]]-T_PROD[[#This Row],[EFETIVO]] ),"")</f>
        <v>0</v>
      </c>
      <c r="J1802" s="32">
        <f>IFERROR(IF(T_PROD[[#This Row],[META]]&gt;0,(T_PROD[[#This Row],[META]]/T_PROD[[#This Row],[PREVISTO]]),""),"")</f>
        <v>15</v>
      </c>
      <c r="K1802" s="32">
        <f>IFERROR(IF(T_PROD[[#This Row],[PRODUÇÃO]]&gt;0,(T_PROD[[#This Row],[PRODUÇÃO]]/T_PROD[[#This Row],[EFETIVO]]),""),"")</f>
        <v>8.8000000000000007</v>
      </c>
    </row>
    <row r="1803" spans="1:11" x14ac:dyDescent="0.3">
      <c r="A1803" s="28">
        <v>46318</v>
      </c>
      <c r="B1803" s="29" t="str">
        <f t="shared" ref="B1803:B1810" si="199">UPPER(TEXT(A1803,"MMMM"))</f>
        <v>OUTUBRO</v>
      </c>
      <c r="C1803" s="12" t="s">
        <v>16</v>
      </c>
      <c r="D1803" s="12" t="s">
        <v>12</v>
      </c>
      <c r="E1803" s="30">
        <v>306</v>
      </c>
      <c r="F1803" s="30">
        <v>256</v>
      </c>
      <c r="G1803" s="29">
        <v>9</v>
      </c>
      <c r="H1803" s="31">
        <v>9</v>
      </c>
      <c r="I1803" s="29">
        <f>IFERROR(IF(T_PROD[[#This Row],[PREVISTO]]-T_PROD[[#This Row],[EFETIVO]]&lt; 0,0,T_PROD[[#This Row],[PREVISTO]]-T_PROD[[#This Row],[EFETIVO]] ),"")</f>
        <v>0</v>
      </c>
      <c r="J1803" s="32">
        <f>IFERROR(IF(T_PROD[[#This Row],[META]]&gt;0,(T_PROD[[#This Row],[META]]/T_PROD[[#This Row],[PREVISTO]]),""),"")</f>
        <v>34</v>
      </c>
      <c r="K1803" s="32">
        <f>IFERROR(IF(T_PROD[[#This Row],[PRODUÇÃO]]&gt;0,(T_PROD[[#This Row],[PRODUÇÃO]]/T_PROD[[#This Row],[EFETIVO]]),""),"")</f>
        <v>28.444444444444443</v>
      </c>
    </row>
    <row r="1804" spans="1:11" x14ac:dyDescent="0.3">
      <c r="A1804" s="28">
        <v>46318</v>
      </c>
      <c r="B1804" s="29" t="str">
        <f t="shared" si="199"/>
        <v>OUTUBRO</v>
      </c>
      <c r="C1804" s="12" t="s">
        <v>17</v>
      </c>
      <c r="D1804" s="12" t="s">
        <v>12</v>
      </c>
      <c r="E1804" s="30">
        <v>220</v>
      </c>
      <c r="F1804" s="30">
        <v>192</v>
      </c>
      <c r="G1804" s="29">
        <v>10</v>
      </c>
      <c r="H1804" s="31">
        <v>10</v>
      </c>
      <c r="I1804" s="29">
        <f>IFERROR(IF(T_PROD[[#This Row],[PREVISTO]]-T_PROD[[#This Row],[EFETIVO]]&lt; 0,0,T_PROD[[#This Row],[PREVISTO]]-T_PROD[[#This Row],[EFETIVO]] ),"")</f>
        <v>0</v>
      </c>
      <c r="J1804" s="32">
        <f>IFERROR(IF(T_PROD[[#This Row],[META]]&gt;0,(T_PROD[[#This Row],[META]]/T_PROD[[#This Row],[PREVISTO]]),""),"")</f>
        <v>22</v>
      </c>
      <c r="K1804" s="32">
        <f>IFERROR(IF(T_PROD[[#This Row],[PRODUÇÃO]]&gt;0,(T_PROD[[#This Row],[PRODUÇÃO]]/T_PROD[[#This Row],[EFETIVO]]),""),"")</f>
        <v>19.2</v>
      </c>
    </row>
    <row r="1805" spans="1:11" x14ac:dyDescent="0.3">
      <c r="A1805" s="28">
        <v>46318</v>
      </c>
      <c r="B1805" s="29" t="str">
        <f t="shared" si="199"/>
        <v>OUTUBRO</v>
      </c>
      <c r="C1805" s="12" t="s">
        <v>18</v>
      </c>
      <c r="D1805" s="12" t="s">
        <v>12</v>
      </c>
      <c r="E1805" s="30"/>
      <c r="F1805" s="30"/>
      <c r="G1805" s="29"/>
      <c r="H1805" s="31"/>
      <c r="I1805" s="29">
        <f>IFERROR(IF(T_PROD[[#This Row],[PREVISTO]]-T_PROD[[#This Row],[EFETIVO]]&lt; 0,0,T_PROD[[#This Row],[PREVISTO]]-T_PROD[[#This Row],[EFETIVO]] ),"")</f>
        <v>0</v>
      </c>
      <c r="J1805" s="32" t="str">
        <f>IFERROR(IF(T_PROD[[#This Row],[META]]&gt;0,(T_PROD[[#This Row],[META]]/T_PROD[[#This Row],[PREVISTO]]),""),"")</f>
        <v/>
      </c>
      <c r="K1805" s="32" t="str">
        <f>IFERROR(IF(T_PROD[[#This Row],[PRODUÇÃO]]&gt;0,(T_PROD[[#This Row],[PRODUÇÃO]]/T_PROD[[#This Row],[EFETIVO]]),""),"")</f>
        <v/>
      </c>
    </row>
    <row r="1806" spans="1:11" x14ac:dyDescent="0.3">
      <c r="A1806" s="28">
        <v>46318</v>
      </c>
      <c r="B1806" s="29" t="str">
        <f t="shared" si="199"/>
        <v>OUTUBRO</v>
      </c>
      <c r="C1806" s="12" t="s">
        <v>19</v>
      </c>
      <c r="D1806" s="12" t="s">
        <v>12</v>
      </c>
      <c r="E1806" s="30"/>
      <c r="F1806" s="30"/>
      <c r="G1806" s="29"/>
      <c r="H1806" s="31"/>
      <c r="I1806" s="29">
        <f>IFERROR(IF(T_PROD[[#This Row],[PREVISTO]]-T_PROD[[#This Row],[EFETIVO]]&lt; 0,0,T_PROD[[#This Row],[PREVISTO]]-T_PROD[[#This Row],[EFETIVO]] ),"")</f>
        <v>0</v>
      </c>
      <c r="J1806" s="32" t="str">
        <f>IFERROR(IF(T_PROD[[#This Row],[META]]&gt;0,(T_PROD[[#This Row],[META]]/T_PROD[[#This Row],[PREVISTO]]),""),"")</f>
        <v/>
      </c>
      <c r="K1806" s="32" t="str">
        <f>IFERROR(IF(T_PROD[[#This Row],[PRODUÇÃO]]&gt;0,(T_PROD[[#This Row],[PRODUÇÃO]]/T_PROD[[#This Row],[EFETIVO]]),""),"")</f>
        <v/>
      </c>
    </row>
    <row r="1807" spans="1:11" x14ac:dyDescent="0.3">
      <c r="A1807" s="28">
        <v>46318</v>
      </c>
      <c r="B1807" s="29" t="str">
        <f t="shared" si="199"/>
        <v>OUTUBRO</v>
      </c>
      <c r="C1807" s="12" t="s">
        <v>20</v>
      </c>
      <c r="D1807" s="12" t="s">
        <v>12</v>
      </c>
      <c r="E1807" s="30">
        <v>601</v>
      </c>
      <c r="F1807" s="30">
        <v>492</v>
      </c>
      <c r="G1807" s="29">
        <v>120</v>
      </c>
      <c r="H1807" s="31">
        <v>120</v>
      </c>
      <c r="I1807" s="29">
        <f>IFERROR(IF(T_PROD[[#This Row],[PREVISTO]]-T_PROD[[#This Row],[EFETIVO]]&lt; 0,0,T_PROD[[#This Row],[PREVISTO]]-T_PROD[[#This Row],[EFETIVO]] ),"")</f>
        <v>0</v>
      </c>
      <c r="J1807" s="32">
        <f>IFERROR(IF(T_PROD[[#This Row],[META]]&gt;0,(T_PROD[[#This Row],[META]]/T_PROD[[#This Row],[PREVISTO]]),""),"")</f>
        <v>5.0083333333333337</v>
      </c>
      <c r="K1807" s="32">
        <f>IFERROR(IF(T_PROD[[#This Row],[PRODUÇÃO]]&gt;0,(T_PROD[[#This Row],[PRODUÇÃO]]/T_PROD[[#This Row],[EFETIVO]]),""),"")</f>
        <v>4.0999999999999996</v>
      </c>
    </row>
    <row r="1808" spans="1:11" x14ac:dyDescent="0.3">
      <c r="A1808" s="28">
        <v>46318</v>
      </c>
      <c r="B1808" s="29" t="str">
        <f t="shared" si="199"/>
        <v>OUTUBRO</v>
      </c>
      <c r="C1808" s="12" t="s">
        <v>11</v>
      </c>
      <c r="D1808" s="12" t="s">
        <v>12</v>
      </c>
      <c r="E1808" s="30"/>
      <c r="F1808" s="30"/>
      <c r="G1808" s="29"/>
      <c r="H1808" s="31"/>
      <c r="I1808" s="29">
        <f>IFERROR(IF(T_PROD[[#This Row],[PREVISTO]]-T_PROD[[#This Row],[EFETIVO]]&lt; 0,0,T_PROD[[#This Row],[PREVISTO]]-T_PROD[[#This Row],[EFETIVO]] ),"")</f>
        <v>0</v>
      </c>
      <c r="J1808" s="32" t="str">
        <f>IFERROR(IF(T_PROD[[#This Row],[META]]&gt;0,(T_PROD[[#This Row],[META]]/T_PROD[[#This Row],[PREVISTO]]),""),"")</f>
        <v/>
      </c>
      <c r="K1808" s="32" t="str">
        <f>IFERROR(IF(T_PROD[[#This Row],[PRODUÇÃO]]&gt;0,(T_PROD[[#This Row],[PRODUÇÃO]]/T_PROD[[#This Row],[EFETIVO]]),""),"")</f>
        <v/>
      </c>
    </row>
    <row r="1809" spans="1:11" x14ac:dyDescent="0.3">
      <c r="A1809" s="28">
        <v>46318</v>
      </c>
      <c r="B1809" s="29" t="str">
        <f t="shared" si="199"/>
        <v>OUTUBRO</v>
      </c>
      <c r="C1809" s="12" t="s">
        <v>32</v>
      </c>
      <c r="D1809" s="12" t="s">
        <v>12</v>
      </c>
      <c r="E1809" s="30">
        <v>120</v>
      </c>
      <c r="F1809" s="30">
        <v>125</v>
      </c>
      <c r="G1809" s="29">
        <v>10</v>
      </c>
      <c r="H1809" s="31">
        <v>10</v>
      </c>
      <c r="I1809" s="29">
        <f>IFERROR(IF(T_PROD[[#This Row],[PREVISTO]]-T_PROD[[#This Row],[EFETIVO]]&lt; 0,0,T_PROD[[#This Row],[PREVISTO]]-T_PROD[[#This Row],[EFETIVO]] ),"")</f>
        <v>0</v>
      </c>
      <c r="J1809" s="32">
        <f>IFERROR(IF(T_PROD[[#This Row],[META]]&gt;0,(T_PROD[[#This Row],[META]]/T_PROD[[#This Row],[PREVISTO]]),""),"")</f>
        <v>12</v>
      </c>
      <c r="K1809" s="32">
        <f>IFERROR(IF(T_PROD[[#This Row],[PRODUÇÃO]]&gt;0,(T_PROD[[#This Row],[PRODUÇÃO]]/T_PROD[[#This Row],[EFETIVO]]),""),"")</f>
        <v>12.5</v>
      </c>
    </row>
    <row r="1810" spans="1:11" x14ac:dyDescent="0.3">
      <c r="A1810" s="28">
        <v>46318</v>
      </c>
      <c r="B1810" s="29" t="str">
        <f t="shared" si="199"/>
        <v>OUTUBRO</v>
      </c>
      <c r="C1810" s="12" t="s">
        <v>14</v>
      </c>
      <c r="D1810" s="12" t="s">
        <v>12</v>
      </c>
      <c r="E1810" s="30">
        <v>120</v>
      </c>
      <c r="F1810" s="30">
        <v>125</v>
      </c>
      <c r="G1810" s="29">
        <v>90</v>
      </c>
      <c r="H1810" s="31">
        <v>90</v>
      </c>
      <c r="I1810" s="29">
        <f>IFERROR(IF(T_PROD[[#This Row],[PREVISTO]]-T_PROD[[#This Row],[EFETIVO]]&lt; 0,0,T_PROD[[#This Row],[PREVISTO]]-T_PROD[[#This Row],[EFETIVO]] ),"")</f>
        <v>0</v>
      </c>
      <c r="J1810" s="32">
        <f>IFERROR(IF(T_PROD[[#This Row],[META]]&gt;0,(T_PROD[[#This Row],[META]]/T_PROD[[#This Row],[PREVISTO]]),""),"")</f>
        <v>1.3333333333333333</v>
      </c>
      <c r="K1810" s="32">
        <f>IFERROR(IF(T_PROD[[#This Row],[PRODUÇÃO]]&gt;0,(T_PROD[[#This Row],[PRODUÇÃO]]/T_PROD[[#This Row],[EFETIVO]]),""),"")</f>
        <v>1.3888888888888888</v>
      </c>
    </row>
    <row r="1811" spans="1:11" x14ac:dyDescent="0.3">
      <c r="A1811" s="28">
        <v>46321</v>
      </c>
      <c r="B1811" s="29" t="str">
        <f>UPPER(TEXT(A1811,"MMMM"))</f>
        <v>OUTUBRO</v>
      </c>
      <c r="C1811" s="6" t="s">
        <v>15</v>
      </c>
      <c r="D1811" s="12" t="s">
        <v>12</v>
      </c>
      <c r="E1811" s="30">
        <v>67.5</v>
      </c>
      <c r="F1811" s="30">
        <v>33</v>
      </c>
      <c r="G1811" s="29">
        <v>4.5</v>
      </c>
      <c r="H1811" s="31">
        <v>4.5</v>
      </c>
      <c r="I1811" s="29">
        <f>IFERROR(IF(T_PROD[[#This Row],[PREVISTO]]-T_PROD[[#This Row],[EFETIVO]]&lt; 0,0,T_PROD[[#This Row],[PREVISTO]]-T_PROD[[#This Row],[EFETIVO]] ),"")</f>
        <v>0</v>
      </c>
      <c r="J1811" s="32">
        <f>IFERROR(IF(T_PROD[[#This Row],[META]]&gt;0,(T_PROD[[#This Row],[META]]/T_PROD[[#This Row],[PREVISTO]]),""),"")</f>
        <v>15</v>
      </c>
      <c r="K1811" s="32">
        <f>IFERROR(IF(T_PROD[[#This Row],[PRODUÇÃO]]&gt;0,(T_PROD[[#This Row],[PRODUÇÃO]]/T_PROD[[#This Row],[EFETIVO]]),""),"")</f>
        <v>7.333333333333333</v>
      </c>
    </row>
    <row r="1812" spans="1:11" x14ac:dyDescent="0.3">
      <c r="A1812" s="28">
        <v>46321</v>
      </c>
      <c r="B1812" s="29" t="str">
        <f t="shared" ref="B1812:B1819" si="200">UPPER(TEXT(A1812,"MMMM"))</f>
        <v>OUTUBRO</v>
      </c>
      <c r="C1812" s="12" t="s">
        <v>16</v>
      </c>
      <c r="D1812" s="12" t="s">
        <v>12</v>
      </c>
      <c r="E1812" s="30">
        <v>340</v>
      </c>
      <c r="F1812" s="30">
        <v>309</v>
      </c>
      <c r="G1812" s="29">
        <v>10</v>
      </c>
      <c r="H1812" s="31">
        <v>10</v>
      </c>
      <c r="I1812" s="29">
        <f>IFERROR(IF(T_PROD[[#This Row],[PREVISTO]]-T_PROD[[#This Row],[EFETIVO]]&lt; 0,0,T_PROD[[#This Row],[PREVISTO]]-T_PROD[[#This Row],[EFETIVO]] ),"")</f>
        <v>0</v>
      </c>
      <c r="J1812" s="32">
        <f>IFERROR(IF(T_PROD[[#This Row],[META]]&gt;0,(T_PROD[[#This Row],[META]]/T_PROD[[#This Row],[PREVISTO]]),""),"")</f>
        <v>34</v>
      </c>
      <c r="K1812" s="32">
        <f>IFERROR(IF(T_PROD[[#This Row],[PRODUÇÃO]]&gt;0,(T_PROD[[#This Row],[PRODUÇÃO]]/T_PROD[[#This Row],[EFETIVO]]),""),"")</f>
        <v>30.9</v>
      </c>
    </row>
    <row r="1813" spans="1:11" x14ac:dyDescent="0.3">
      <c r="A1813" s="28">
        <v>46321</v>
      </c>
      <c r="B1813" s="29" t="str">
        <f t="shared" si="200"/>
        <v>OUTUBRO</v>
      </c>
      <c r="C1813" s="12" t="s">
        <v>17</v>
      </c>
      <c r="D1813" s="12" t="s">
        <v>12</v>
      </c>
      <c r="E1813" s="30">
        <v>220</v>
      </c>
      <c r="F1813" s="30">
        <v>207</v>
      </c>
      <c r="G1813" s="29">
        <v>10</v>
      </c>
      <c r="H1813" s="31">
        <v>10</v>
      </c>
      <c r="I1813" s="29">
        <f>IFERROR(IF(T_PROD[[#This Row],[PREVISTO]]-T_PROD[[#This Row],[EFETIVO]]&lt; 0,0,T_PROD[[#This Row],[PREVISTO]]-T_PROD[[#This Row],[EFETIVO]] ),"")</f>
        <v>0</v>
      </c>
      <c r="J1813" s="32">
        <f>IFERROR(IF(T_PROD[[#This Row],[META]]&gt;0,(T_PROD[[#This Row],[META]]/T_PROD[[#This Row],[PREVISTO]]),""),"")</f>
        <v>22</v>
      </c>
      <c r="K1813" s="32">
        <f>IFERROR(IF(T_PROD[[#This Row],[PRODUÇÃO]]&gt;0,(T_PROD[[#This Row],[PRODUÇÃO]]/T_PROD[[#This Row],[EFETIVO]]),""),"")</f>
        <v>20.7</v>
      </c>
    </row>
    <row r="1814" spans="1:11" x14ac:dyDescent="0.3">
      <c r="A1814" s="28">
        <v>46321</v>
      </c>
      <c r="B1814" s="29" t="str">
        <f t="shared" si="200"/>
        <v>OUTUBRO</v>
      </c>
      <c r="C1814" s="12" t="s">
        <v>18</v>
      </c>
      <c r="D1814" s="12" t="s">
        <v>12</v>
      </c>
      <c r="E1814" s="30"/>
      <c r="F1814" s="30"/>
      <c r="G1814" s="29"/>
      <c r="H1814" s="31"/>
      <c r="I1814" s="29">
        <f>IFERROR(IF(T_PROD[[#This Row],[PREVISTO]]-T_PROD[[#This Row],[EFETIVO]]&lt; 0,0,T_PROD[[#This Row],[PREVISTO]]-T_PROD[[#This Row],[EFETIVO]] ),"")</f>
        <v>0</v>
      </c>
      <c r="J1814" s="32" t="str">
        <f>IFERROR(IF(T_PROD[[#This Row],[META]]&gt;0,(T_PROD[[#This Row],[META]]/T_PROD[[#This Row],[PREVISTO]]),""),"")</f>
        <v/>
      </c>
      <c r="K1814" s="32" t="str">
        <f>IFERROR(IF(T_PROD[[#This Row],[PRODUÇÃO]]&gt;0,(T_PROD[[#This Row],[PRODUÇÃO]]/T_PROD[[#This Row],[EFETIVO]]),""),"")</f>
        <v/>
      </c>
    </row>
    <row r="1815" spans="1:11" x14ac:dyDescent="0.3">
      <c r="A1815" s="28">
        <v>46321</v>
      </c>
      <c r="B1815" s="29" t="str">
        <f t="shared" si="200"/>
        <v>OUTUBRO</v>
      </c>
      <c r="C1815" s="12" t="s">
        <v>19</v>
      </c>
      <c r="D1815" s="12" t="s">
        <v>12</v>
      </c>
      <c r="E1815" s="30"/>
      <c r="F1815" s="30"/>
      <c r="G1815" s="29"/>
      <c r="H1815" s="31"/>
      <c r="I1815" s="29">
        <f>IFERROR(IF(T_PROD[[#This Row],[PREVISTO]]-T_PROD[[#This Row],[EFETIVO]]&lt; 0,0,T_PROD[[#This Row],[PREVISTO]]-T_PROD[[#This Row],[EFETIVO]] ),"")</f>
        <v>0</v>
      </c>
      <c r="J1815" s="32" t="str">
        <f>IFERROR(IF(T_PROD[[#This Row],[META]]&gt;0,(T_PROD[[#This Row],[META]]/T_PROD[[#This Row],[PREVISTO]]),""),"")</f>
        <v/>
      </c>
      <c r="K1815" s="32" t="str">
        <f>IFERROR(IF(T_PROD[[#This Row],[PRODUÇÃO]]&gt;0,(T_PROD[[#This Row],[PRODUÇÃO]]/T_PROD[[#This Row],[EFETIVO]]),""),"")</f>
        <v/>
      </c>
    </row>
    <row r="1816" spans="1:11" x14ac:dyDescent="0.3">
      <c r="A1816" s="28">
        <v>46321</v>
      </c>
      <c r="B1816" s="29" t="str">
        <f t="shared" si="200"/>
        <v>OUTUBRO</v>
      </c>
      <c r="C1816" s="12" t="s">
        <v>20</v>
      </c>
      <c r="D1816" s="12" t="s">
        <v>12</v>
      </c>
      <c r="E1816" s="30">
        <v>628</v>
      </c>
      <c r="F1816" s="30">
        <v>549</v>
      </c>
      <c r="G1816" s="29">
        <v>120</v>
      </c>
      <c r="H1816" s="31">
        <v>120</v>
      </c>
      <c r="I1816" s="29">
        <f>IFERROR(IF(T_PROD[[#This Row],[PREVISTO]]-T_PROD[[#This Row],[EFETIVO]]&lt; 0,0,T_PROD[[#This Row],[PREVISTO]]-T_PROD[[#This Row],[EFETIVO]] ),"")</f>
        <v>0</v>
      </c>
      <c r="J1816" s="32">
        <f>IFERROR(IF(T_PROD[[#This Row],[META]]&gt;0,(T_PROD[[#This Row],[META]]/T_PROD[[#This Row],[PREVISTO]]),""),"")</f>
        <v>5.2333333333333334</v>
      </c>
      <c r="K1816" s="32">
        <f>IFERROR(IF(T_PROD[[#This Row],[PRODUÇÃO]]&gt;0,(T_PROD[[#This Row],[PRODUÇÃO]]/T_PROD[[#This Row],[EFETIVO]]),""),"")</f>
        <v>4.5750000000000002</v>
      </c>
    </row>
    <row r="1817" spans="1:11" x14ac:dyDescent="0.3">
      <c r="A1817" s="28">
        <v>46321</v>
      </c>
      <c r="B1817" s="29" t="str">
        <f t="shared" si="200"/>
        <v>OUTUBRO</v>
      </c>
      <c r="C1817" s="12" t="s">
        <v>11</v>
      </c>
      <c r="D1817" s="12" t="s">
        <v>12</v>
      </c>
      <c r="E1817" s="30">
        <v>740</v>
      </c>
      <c r="F1817" s="30">
        <v>700</v>
      </c>
      <c r="G1817" s="29">
        <v>37</v>
      </c>
      <c r="H1817" s="31">
        <v>37</v>
      </c>
      <c r="I1817" s="29">
        <f>IFERROR(IF(T_PROD[[#This Row],[PREVISTO]]-T_PROD[[#This Row],[EFETIVO]]&lt; 0,0,T_PROD[[#This Row],[PREVISTO]]-T_PROD[[#This Row],[EFETIVO]] ),"")</f>
        <v>0</v>
      </c>
      <c r="J1817" s="32">
        <f>IFERROR(IF(T_PROD[[#This Row],[META]]&gt;0,(T_PROD[[#This Row],[META]]/T_PROD[[#This Row],[PREVISTO]]),""),"")</f>
        <v>20</v>
      </c>
      <c r="K1817" s="32">
        <f>IFERROR(IF(T_PROD[[#This Row],[PRODUÇÃO]]&gt;0,(T_PROD[[#This Row],[PRODUÇÃO]]/T_PROD[[#This Row],[EFETIVO]]),""),"")</f>
        <v>18.918918918918919</v>
      </c>
    </row>
    <row r="1818" spans="1:11" x14ac:dyDescent="0.3">
      <c r="A1818" s="28">
        <v>46321</v>
      </c>
      <c r="B1818" s="29" t="str">
        <f t="shared" si="200"/>
        <v>OUTUBRO</v>
      </c>
      <c r="C1818" s="12" t="s">
        <v>32</v>
      </c>
      <c r="D1818" s="12" t="s">
        <v>12</v>
      </c>
      <c r="E1818" s="30">
        <v>240</v>
      </c>
      <c r="F1818" s="30">
        <v>250</v>
      </c>
      <c r="G1818" s="29">
        <v>21.5</v>
      </c>
      <c r="H1818" s="31">
        <v>21</v>
      </c>
      <c r="I1818" s="29">
        <f>IFERROR(IF(T_PROD[[#This Row],[PREVISTO]]-T_PROD[[#This Row],[EFETIVO]]&lt; 0,0,T_PROD[[#This Row],[PREVISTO]]-T_PROD[[#This Row],[EFETIVO]] ),"")</f>
        <v>0.5</v>
      </c>
      <c r="J1818" s="32">
        <f>IFERROR(IF(T_PROD[[#This Row],[META]]&gt;0,(T_PROD[[#This Row],[META]]/T_PROD[[#This Row],[PREVISTO]]),""),"")</f>
        <v>11.162790697674419</v>
      </c>
      <c r="K1818" s="32">
        <f>IFERROR(IF(T_PROD[[#This Row],[PRODUÇÃO]]&gt;0,(T_PROD[[#This Row],[PRODUÇÃO]]/T_PROD[[#This Row],[EFETIVO]]),""),"")</f>
        <v>11.904761904761905</v>
      </c>
    </row>
    <row r="1819" spans="1:11" x14ac:dyDescent="0.3">
      <c r="A1819" s="28">
        <v>46321</v>
      </c>
      <c r="B1819" s="29" t="str">
        <f t="shared" si="200"/>
        <v>OUTUBRO</v>
      </c>
      <c r="C1819" s="12" t="s">
        <v>14</v>
      </c>
      <c r="D1819" s="12" t="s">
        <v>12</v>
      </c>
      <c r="E1819" s="30">
        <v>980</v>
      </c>
      <c r="F1819" s="30">
        <v>950</v>
      </c>
      <c r="G1819" s="29">
        <v>110</v>
      </c>
      <c r="H1819" s="31">
        <v>105</v>
      </c>
      <c r="I1819" s="29">
        <f>IFERROR(IF(T_PROD[[#This Row],[PREVISTO]]-T_PROD[[#This Row],[EFETIVO]]&lt; 0,0,T_PROD[[#This Row],[PREVISTO]]-T_PROD[[#This Row],[EFETIVO]] ),"")</f>
        <v>5</v>
      </c>
      <c r="J1819" s="32">
        <f>IFERROR(IF(T_PROD[[#This Row],[META]]&gt;0,(T_PROD[[#This Row],[META]]/T_PROD[[#This Row],[PREVISTO]]),""),"")</f>
        <v>8.9090909090909083</v>
      </c>
      <c r="K1819" s="32">
        <f>IFERROR(IF(T_PROD[[#This Row],[PRODUÇÃO]]&gt;0,(T_PROD[[#This Row],[PRODUÇÃO]]/T_PROD[[#This Row],[EFETIVO]]),""),"")</f>
        <v>9.0476190476190474</v>
      </c>
    </row>
    <row r="1820" spans="1:11" x14ac:dyDescent="0.3">
      <c r="A1820" s="33">
        <v>46322</v>
      </c>
      <c r="B1820" s="34" t="str">
        <f>UPPER(TEXT(A1820,"MMMM"))</f>
        <v>OUTUBRO</v>
      </c>
      <c r="C1820" s="6" t="s">
        <v>15</v>
      </c>
      <c r="D1820" s="12" t="s">
        <v>12</v>
      </c>
      <c r="E1820" s="35">
        <v>90</v>
      </c>
      <c r="F1820" s="35">
        <v>59</v>
      </c>
      <c r="G1820" s="34">
        <v>6</v>
      </c>
      <c r="H1820" s="36">
        <v>6</v>
      </c>
      <c r="I1820" s="34">
        <f>IFERROR(IF(T_PROD[[#This Row],[PREVISTO]]-T_PROD[[#This Row],[EFETIVO]]&lt; 0,0,T_PROD[[#This Row],[PREVISTO]]-T_PROD[[#This Row],[EFETIVO]] ),"")</f>
        <v>0</v>
      </c>
      <c r="J1820" s="32">
        <f>IFERROR(IF(T_PROD[[#This Row],[META]]&gt;0,(T_PROD[[#This Row],[META]]/T_PROD[[#This Row],[PREVISTO]]),""),"")</f>
        <v>15</v>
      </c>
      <c r="K1820" s="32">
        <f>IFERROR(IF(T_PROD[[#This Row],[PRODUÇÃO]]&gt;0,(T_PROD[[#This Row],[PRODUÇÃO]]/T_PROD[[#This Row],[EFETIVO]]),""),"")</f>
        <v>9.8333333333333339</v>
      </c>
    </row>
    <row r="1821" spans="1:11" x14ac:dyDescent="0.3">
      <c r="A1821" s="33">
        <v>46322</v>
      </c>
      <c r="B1821" s="34" t="str">
        <f t="shared" ref="B1821:B1828" si="201">UPPER(TEXT(A1821,"MMMM"))</f>
        <v>OUTUBRO</v>
      </c>
      <c r="C1821" s="12" t="s">
        <v>16</v>
      </c>
      <c r="D1821" s="12" t="s">
        <v>12</v>
      </c>
      <c r="E1821" s="35">
        <v>306</v>
      </c>
      <c r="F1821" s="35">
        <v>315</v>
      </c>
      <c r="G1821" s="34">
        <v>9</v>
      </c>
      <c r="H1821" s="36">
        <v>9</v>
      </c>
      <c r="I1821" s="34">
        <f>IFERROR(IF(T_PROD[[#This Row],[PREVISTO]]-T_PROD[[#This Row],[EFETIVO]]&lt; 0,0,T_PROD[[#This Row],[PREVISTO]]-T_PROD[[#This Row],[EFETIVO]] ),"")</f>
        <v>0</v>
      </c>
      <c r="J1821" s="32">
        <f>IFERROR(IF(T_PROD[[#This Row],[META]]&gt;0,(T_PROD[[#This Row],[META]]/T_PROD[[#This Row],[PREVISTO]]),""),"")</f>
        <v>34</v>
      </c>
      <c r="K1821" s="32">
        <f>IFERROR(IF(T_PROD[[#This Row],[PRODUÇÃO]]&gt;0,(T_PROD[[#This Row],[PRODUÇÃO]]/T_PROD[[#This Row],[EFETIVO]]),""),"")</f>
        <v>35</v>
      </c>
    </row>
    <row r="1822" spans="1:11" x14ac:dyDescent="0.3">
      <c r="A1822" s="33">
        <v>46322</v>
      </c>
      <c r="B1822" s="34" t="str">
        <f t="shared" si="201"/>
        <v>OUTUBRO</v>
      </c>
      <c r="C1822" s="12" t="s">
        <v>17</v>
      </c>
      <c r="D1822" s="12" t="s">
        <v>12</v>
      </c>
      <c r="E1822" s="35">
        <v>330</v>
      </c>
      <c r="F1822" s="35">
        <v>222</v>
      </c>
      <c r="G1822" s="34">
        <v>15</v>
      </c>
      <c r="H1822" s="36">
        <v>15</v>
      </c>
      <c r="I1822" s="34">
        <f>IFERROR(IF(T_PROD[[#This Row],[PREVISTO]]-T_PROD[[#This Row],[EFETIVO]]&lt; 0,0,T_PROD[[#This Row],[PREVISTO]]-T_PROD[[#This Row],[EFETIVO]] ),"")</f>
        <v>0</v>
      </c>
      <c r="J1822" s="32">
        <f>IFERROR(IF(T_PROD[[#This Row],[META]]&gt;0,(T_PROD[[#This Row],[META]]/T_PROD[[#This Row],[PREVISTO]]),""),"")</f>
        <v>22</v>
      </c>
      <c r="K1822" s="32">
        <f>IFERROR(IF(T_PROD[[#This Row],[PRODUÇÃO]]&gt;0,(T_PROD[[#This Row],[PRODUÇÃO]]/T_PROD[[#This Row],[EFETIVO]]),""),"")</f>
        <v>14.8</v>
      </c>
    </row>
    <row r="1823" spans="1:11" x14ac:dyDescent="0.3">
      <c r="A1823" s="33">
        <v>46322</v>
      </c>
      <c r="B1823" s="34" t="str">
        <f t="shared" si="201"/>
        <v>OUTUBRO</v>
      </c>
      <c r="C1823" s="12" t="s">
        <v>18</v>
      </c>
      <c r="D1823" s="12" t="s">
        <v>12</v>
      </c>
      <c r="E1823" s="35"/>
      <c r="F1823" s="35"/>
      <c r="G1823" s="34"/>
      <c r="H1823" s="36"/>
      <c r="I1823" s="34">
        <f>IFERROR(IF(T_PROD[[#This Row],[PREVISTO]]-T_PROD[[#This Row],[EFETIVO]]&lt; 0,0,T_PROD[[#This Row],[PREVISTO]]-T_PROD[[#This Row],[EFETIVO]] ),"")</f>
        <v>0</v>
      </c>
      <c r="J1823" s="32" t="str">
        <f>IFERROR(IF(T_PROD[[#This Row],[META]]&gt;0,(T_PROD[[#This Row],[META]]/T_PROD[[#This Row],[PREVISTO]]),""),"")</f>
        <v/>
      </c>
      <c r="K1823" s="32" t="str">
        <f>IFERROR(IF(T_PROD[[#This Row],[PRODUÇÃO]]&gt;0,(T_PROD[[#This Row],[PRODUÇÃO]]/T_PROD[[#This Row],[EFETIVO]]),""),"")</f>
        <v/>
      </c>
    </row>
    <row r="1824" spans="1:11" x14ac:dyDescent="0.3">
      <c r="A1824" s="33">
        <v>46322</v>
      </c>
      <c r="B1824" s="34" t="str">
        <f t="shared" si="201"/>
        <v>OUTUBRO</v>
      </c>
      <c r="C1824" s="12" t="s">
        <v>19</v>
      </c>
      <c r="D1824" s="12" t="s">
        <v>12</v>
      </c>
      <c r="E1824" s="35"/>
      <c r="F1824" s="35"/>
      <c r="G1824" s="34"/>
      <c r="H1824" s="36"/>
      <c r="I1824" s="34">
        <f>IFERROR(IF(T_PROD[[#This Row],[PREVISTO]]-T_PROD[[#This Row],[EFETIVO]]&lt; 0,0,T_PROD[[#This Row],[PREVISTO]]-T_PROD[[#This Row],[EFETIVO]] ),"")</f>
        <v>0</v>
      </c>
      <c r="J1824" s="32" t="str">
        <f>IFERROR(IF(T_PROD[[#This Row],[META]]&gt;0,(T_PROD[[#This Row],[META]]/T_PROD[[#This Row],[PREVISTO]]),""),"")</f>
        <v/>
      </c>
      <c r="K1824" s="32" t="str">
        <f>IFERROR(IF(T_PROD[[#This Row],[PRODUÇÃO]]&gt;0,(T_PROD[[#This Row],[PRODUÇÃO]]/T_PROD[[#This Row],[EFETIVO]]),""),"")</f>
        <v/>
      </c>
    </row>
    <row r="1825" spans="1:11" x14ac:dyDescent="0.3">
      <c r="A1825" s="33">
        <v>46322</v>
      </c>
      <c r="B1825" s="34" t="str">
        <f t="shared" si="201"/>
        <v>OUTUBRO</v>
      </c>
      <c r="C1825" s="12" t="s">
        <v>20</v>
      </c>
      <c r="D1825" s="12" t="s">
        <v>12</v>
      </c>
      <c r="E1825" s="35">
        <v>726</v>
      </c>
      <c r="F1825" s="35">
        <v>596</v>
      </c>
      <c r="G1825" s="34">
        <v>120</v>
      </c>
      <c r="H1825" s="36">
        <v>120</v>
      </c>
      <c r="I1825" s="34">
        <f>IFERROR(IF(T_PROD[[#This Row],[PREVISTO]]-T_PROD[[#This Row],[EFETIVO]]&lt; 0,0,T_PROD[[#This Row],[PREVISTO]]-T_PROD[[#This Row],[EFETIVO]] ),"")</f>
        <v>0</v>
      </c>
      <c r="J1825" s="32">
        <f>IFERROR(IF(T_PROD[[#This Row],[META]]&gt;0,(T_PROD[[#This Row],[META]]/T_PROD[[#This Row],[PREVISTO]]),""),"")</f>
        <v>6.05</v>
      </c>
      <c r="K1825" s="32">
        <f>IFERROR(IF(T_PROD[[#This Row],[PRODUÇÃO]]&gt;0,(T_PROD[[#This Row],[PRODUÇÃO]]/T_PROD[[#This Row],[EFETIVO]]),""),"")</f>
        <v>4.9666666666666668</v>
      </c>
    </row>
    <row r="1826" spans="1:11" x14ac:dyDescent="0.3">
      <c r="A1826" s="33">
        <v>46322</v>
      </c>
      <c r="B1826" s="34" t="str">
        <f t="shared" si="201"/>
        <v>OUTUBRO</v>
      </c>
      <c r="C1826" s="12" t="s">
        <v>11</v>
      </c>
      <c r="D1826" s="12" t="s">
        <v>12</v>
      </c>
      <c r="E1826" s="35">
        <v>600</v>
      </c>
      <c r="F1826" s="35">
        <v>540</v>
      </c>
      <c r="G1826" s="34">
        <v>30</v>
      </c>
      <c r="H1826" s="36">
        <v>27</v>
      </c>
      <c r="I1826" s="34">
        <f>IFERROR(IF(T_PROD[[#This Row],[PREVISTO]]-T_PROD[[#This Row],[EFETIVO]]&lt; 0,0,T_PROD[[#This Row],[PREVISTO]]-T_PROD[[#This Row],[EFETIVO]] ),"")</f>
        <v>3</v>
      </c>
      <c r="J1826" s="32">
        <f>IFERROR(IF(T_PROD[[#This Row],[META]]&gt;0,(T_PROD[[#This Row],[META]]/T_PROD[[#This Row],[PREVISTO]]),""),"")</f>
        <v>20</v>
      </c>
      <c r="K1826" s="32">
        <f>IFERROR(IF(T_PROD[[#This Row],[PRODUÇÃO]]&gt;0,(T_PROD[[#This Row],[PRODUÇÃO]]/T_PROD[[#This Row],[EFETIVO]]),""),"")</f>
        <v>20</v>
      </c>
    </row>
    <row r="1827" spans="1:11" x14ac:dyDescent="0.3">
      <c r="A1827" s="33">
        <v>46322</v>
      </c>
      <c r="B1827" s="34" t="str">
        <f t="shared" si="201"/>
        <v>OUTUBRO</v>
      </c>
      <c r="C1827" s="12" t="s">
        <v>32</v>
      </c>
      <c r="D1827" s="12" t="s">
        <v>12</v>
      </c>
      <c r="E1827" s="35">
        <v>180</v>
      </c>
      <c r="F1827" s="35">
        <v>195</v>
      </c>
      <c r="G1827" s="34">
        <v>17</v>
      </c>
      <c r="H1827" s="36">
        <v>17</v>
      </c>
      <c r="I1827" s="34">
        <f>IFERROR(IF(T_PROD[[#This Row],[PREVISTO]]-T_PROD[[#This Row],[EFETIVO]]&lt; 0,0,T_PROD[[#This Row],[PREVISTO]]-T_PROD[[#This Row],[EFETIVO]] ),"")</f>
        <v>0</v>
      </c>
      <c r="J1827" s="32">
        <f>IFERROR(IF(T_PROD[[#This Row],[META]]&gt;0,(T_PROD[[#This Row],[META]]/T_PROD[[#This Row],[PREVISTO]]),""),"")</f>
        <v>10.588235294117647</v>
      </c>
      <c r="K1827" s="32">
        <f>IFERROR(IF(T_PROD[[#This Row],[PRODUÇÃO]]&gt;0,(T_PROD[[#This Row],[PRODUÇÃO]]/T_PROD[[#This Row],[EFETIVO]]),""),"")</f>
        <v>11.470588235294118</v>
      </c>
    </row>
    <row r="1828" spans="1:11" x14ac:dyDescent="0.3">
      <c r="A1828" s="33">
        <v>46322</v>
      </c>
      <c r="B1828" s="34" t="str">
        <f t="shared" si="201"/>
        <v>OUTUBRO</v>
      </c>
      <c r="C1828" s="12" t="s">
        <v>14</v>
      </c>
      <c r="D1828" s="12" t="s">
        <v>12</v>
      </c>
      <c r="E1828" s="35">
        <v>780</v>
      </c>
      <c r="F1828" s="35">
        <v>735</v>
      </c>
      <c r="G1828" s="34">
        <v>95</v>
      </c>
      <c r="H1828" s="36">
        <v>93</v>
      </c>
      <c r="I1828" s="34">
        <f>IFERROR(IF(T_PROD[[#This Row],[PREVISTO]]-T_PROD[[#This Row],[EFETIVO]]&lt; 0,0,T_PROD[[#This Row],[PREVISTO]]-T_PROD[[#This Row],[EFETIVO]] ),"")</f>
        <v>2</v>
      </c>
      <c r="J1828" s="32">
        <f>IFERROR(IF(T_PROD[[#This Row],[META]]&gt;0,(T_PROD[[#This Row],[META]]/T_PROD[[#This Row],[PREVISTO]]),""),"")</f>
        <v>8.2105263157894743</v>
      </c>
      <c r="K1828" s="32">
        <f>IFERROR(IF(T_PROD[[#This Row],[PRODUÇÃO]]&gt;0,(T_PROD[[#This Row],[PRODUÇÃO]]/T_PROD[[#This Row],[EFETIVO]]),""),"")</f>
        <v>7.903225806451613</v>
      </c>
    </row>
    <row r="1829" spans="1:11" x14ac:dyDescent="0.3">
      <c r="A1829" s="33">
        <v>46323</v>
      </c>
      <c r="B1829" s="34" t="str">
        <f>UPPER(TEXT(A1829,"MMMM"))</f>
        <v>OUTUBRO</v>
      </c>
      <c r="C1829" s="6" t="s">
        <v>15</v>
      </c>
      <c r="D1829" s="12" t="s">
        <v>12</v>
      </c>
      <c r="E1829" s="35">
        <v>75</v>
      </c>
      <c r="F1829" s="35">
        <v>40</v>
      </c>
      <c r="G1829" s="34">
        <v>5</v>
      </c>
      <c r="H1829" s="36">
        <v>5</v>
      </c>
      <c r="I1829" s="34">
        <f>IFERROR(IF(T_PROD[[#This Row],[PREVISTO]]-T_PROD[[#This Row],[EFETIVO]]&lt; 0,0,T_PROD[[#This Row],[PREVISTO]]-T_PROD[[#This Row],[EFETIVO]] ),"")</f>
        <v>0</v>
      </c>
      <c r="J1829" s="32">
        <f>IFERROR(IF(T_PROD[[#This Row],[META]]&gt;0,(T_PROD[[#This Row],[META]]/T_PROD[[#This Row],[PREVISTO]]),""),"")</f>
        <v>15</v>
      </c>
      <c r="K1829" s="32">
        <f>IFERROR(IF(T_PROD[[#This Row],[PRODUÇÃO]]&gt;0,(T_PROD[[#This Row],[PRODUÇÃO]]/T_PROD[[#This Row],[EFETIVO]]),""),"")</f>
        <v>8</v>
      </c>
    </row>
    <row r="1830" spans="1:11" x14ac:dyDescent="0.3">
      <c r="A1830" s="33">
        <v>46323</v>
      </c>
      <c r="B1830" s="34" t="str">
        <f t="shared" ref="B1830:B1837" si="202">UPPER(TEXT(A1830,"MMMM"))</f>
        <v>OUTUBRO</v>
      </c>
      <c r="C1830" s="12" t="s">
        <v>16</v>
      </c>
      <c r="D1830" s="12" t="s">
        <v>12</v>
      </c>
      <c r="E1830" s="35">
        <v>374</v>
      </c>
      <c r="F1830" s="35">
        <v>295</v>
      </c>
      <c r="G1830" s="34">
        <v>11</v>
      </c>
      <c r="H1830" s="36">
        <v>11</v>
      </c>
      <c r="I1830" s="34">
        <f>IFERROR(IF(T_PROD[[#This Row],[PREVISTO]]-T_PROD[[#This Row],[EFETIVO]]&lt; 0,0,T_PROD[[#This Row],[PREVISTO]]-T_PROD[[#This Row],[EFETIVO]] ),"")</f>
        <v>0</v>
      </c>
      <c r="J1830" s="32">
        <f>IFERROR(IF(T_PROD[[#This Row],[META]]&gt;0,(T_PROD[[#This Row],[META]]/T_PROD[[#This Row],[PREVISTO]]),""),"")</f>
        <v>34</v>
      </c>
      <c r="K1830" s="32">
        <f>IFERROR(IF(T_PROD[[#This Row],[PRODUÇÃO]]&gt;0,(T_PROD[[#This Row],[PRODUÇÃO]]/T_PROD[[#This Row],[EFETIVO]]),""),"")</f>
        <v>26.818181818181817</v>
      </c>
    </row>
    <row r="1831" spans="1:11" x14ac:dyDescent="0.3">
      <c r="A1831" s="33">
        <v>46323</v>
      </c>
      <c r="B1831" s="34" t="str">
        <f t="shared" si="202"/>
        <v>OUTUBRO</v>
      </c>
      <c r="C1831" s="12" t="s">
        <v>17</v>
      </c>
      <c r="D1831" s="12" t="s">
        <v>12</v>
      </c>
      <c r="E1831" s="35">
        <v>264</v>
      </c>
      <c r="F1831" s="35">
        <v>221</v>
      </c>
      <c r="G1831" s="34">
        <v>12</v>
      </c>
      <c r="H1831" s="36">
        <v>12</v>
      </c>
      <c r="I1831" s="34">
        <f>IFERROR(IF(T_PROD[[#This Row],[PREVISTO]]-T_PROD[[#This Row],[EFETIVO]]&lt; 0,0,T_PROD[[#This Row],[PREVISTO]]-T_PROD[[#This Row],[EFETIVO]] ),"")</f>
        <v>0</v>
      </c>
      <c r="J1831" s="32">
        <f>IFERROR(IF(T_PROD[[#This Row],[META]]&gt;0,(T_PROD[[#This Row],[META]]/T_PROD[[#This Row],[PREVISTO]]),""),"")</f>
        <v>22</v>
      </c>
      <c r="K1831" s="32">
        <f>IFERROR(IF(T_PROD[[#This Row],[PRODUÇÃO]]&gt;0,(T_PROD[[#This Row],[PRODUÇÃO]]/T_PROD[[#This Row],[EFETIVO]]),""),"")</f>
        <v>18.416666666666668</v>
      </c>
    </row>
    <row r="1832" spans="1:11" x14ac:dyDescent="0.3">
      <c r="A1832" s="33">
        <v>46323</v>
      </c>
      <c r="B1832" s="34" t="str">
        <f t="shared" si="202"/>
        <v>OUTUBRO</v>
      </c>
      <c r="C1832" s="12" t="s">
        <v>18</v>
      </c>
      <c r="D1832" s="12" t="s">
        <v>12</v>
      </c>
      <c r="E1832" s="35"/>
      <c r="F1832" s="35"/>
      <c r="G1832" s="34"/>
      <c r="H1832" s="36"/>
      <c r="I1832" s="34">
        <f>IFERROR(IF(T_PROD[[#This Row],[PREVISTO]]-T_PROD[[#This Row],[EFETIVO]]&lt; 0,0,T_PROD[[#This Row],[PREVISTO]]-T_PROD[[#This Row],[EFETIVO]] ),"")</f>
        <v>0</v>
      </c>
      <c r="J1832" s="32" t="str">
        <f>IFERROR(IF(T_PROD[[#This Row],[META]]&gt;0,(T_PROD[[#This Row],[META]]/T_PROD[[#This Row],[PREVISTO]]),""),"")</f>
        <v/>
      </c>
      <c r="K1832" s="32" t="str">
        <f>IFERROR(IF(T_PROD[[#This Row],[PRODUÇÃO]]&gt;0,(T_PROD[[#This Row],[PRODUÇÃO]]/T_PROD[[#This Row],[EFETIVO]]),""),"")</f>
        <v/>
      </c>
    </row>
    <row r="1833" spans="1:11" x14ac:dyDescent="0.3">
      <c r="A1833" s="33">
        <v>46323</v>
      </c>
      <c r="B1833" s="34" t="str">
        <f t="shared" si="202"/>
        <v>OUTUBRO</v>
      </c>
      <c r="C1833" s="12" t="s">
        <v>19</v>
      </c>
      <c r="D1833" s="12" t="s">
        <v>12</v>
      </c>
      <c r="E1833" s="35"/>
      <c r="F1833" s="35"/>
      <c r="G1833" s="34"/>
      <c r="H1833" s="36"/>
      <c r="I1833" s="34">
        <f>IFERROR(IF(T_PROD[[#This Row],[PREVISTO]]-T_PROD[[#This Row],[EFETIVO]]&lt; 0,0,T_PROD[[#This Row],[PREVISTO]]-T_PROD[[#This Row],[EFETIVO]] ),"")</f>
        <v>0</v>
      </c>
      <c r="J1833" s="32" t="str">
        <f>IFERROR(IF(T_PROD[[#This Row],[META]]&gt;0,(T_PROD[[#This Row],[META]]/T_PROD[[#This Row],[PREVISTO]]),""),"")</f>
        <v/>
      </c>
      <c r="K1833" s="32" t="str">
        <f>IFERROR(IF(T_PROD[[#This Row],[PRODUÇÃO]]&gt;0,(T_PROD[[#This Row],[PRODUÇÃO]]/T_PROD[[#This Row],[EFETIVO]]),""),"")</f>
        <v/>
      </c>
    </row>
    <row r="1834" spans="1:11" x14ac:dyDescent="0.3">
      <c r="A1834" s="33">
        <v>46323</v>
      </c>
      <c r="B1834" s="34" t="str">
        <f t="shared" si="202"/>
        <v>OUTUBRO</v>
      </c>
      <c r="C1834" s="12" t="s">
        <v>20</v>
      </c>
      <c r="D1834" s="12" t="s">
        <v>12</v>
      </c>
      <c r="E1834" s="35">
        <v>713</v>
      </c>
      <c r="F1834" s="35">
        <v>556</v>
      </c>
      <c r="G1834" s="34">
        <v>120</v>
      </c>
      <c r="H1834" s="36">
        <v>120</v>
      </c>
      <c r="I1834" s="34">
        <f>IFERROR(IF(T_PROD[[#This Row],[PREVISTO]]-T_PROD[[#This Row],[EFETIVO]]&lt; 0,0,T_PROD[[#This Row],[PREVISTO]]-T_PROD[[#This Row],[EFETIVO]] ),"")</f>
        <v>0</v>
      </c>
      <c r="J1834" s="32">
        <f>IFERROR(IF(T_PROD[[#This Row],[META]]&gt;0,(T_PROD[[#This Row],[META]]/T_PROD[[#This Row],[PREVISTO]]),""),"")</f>
        <v>5.9416666666666664</v>
      </c>
      <c r="K1834" s="32">
        <f>IFERROR(IF(T_PROD[[#This Row],[PRODUÇÃO]]&gt;0,(T_PROD[[#This Row],[PRODUÇÃO]]/T_PROD[[#This Row],[EFETIVO]]),""),"")</f>
        <v>4.6333333333333337</v>
      </c>
    </row>
    <row r="1835" spans="1:11" x14ac:dyDescent="0.3">
      <c r="A1835" s="33">
        <v>46323</v>
      </c>
      <c r="B1835" s="34" t="str">
        <f t="shared" si="202"/>
        <v>OUTUBRO</v>
      </c>
      <c r="C1835" s="12" t="s">
        <v>11</v>
      </c>
      <c r="D1835" s="12" t="s">
        <v>12</v>
      </c>
      <c r="E1835" s="35">
        <v>700</v>
      </c>
      <c r="F1835" s="35">
        <v>680</v>
      </c>
      <c r="G1835" s="34">
        <v>35</v>
      </c>
      <c r="H1835" s="36">
        <v>35</v>
      </c>
      <c r="I1835" s="34">
        <f>IFERROR(IF(T_PROD[[#This Row],[PREVISTO]]-T_PROD[[#This Row],[EFETIVO]]&lt; 0,0,T_PROD[[#This Row],[PREVISTO]]-T_PROD[[#This Row],[EFETIVO]] ),"")</f>
        <v>0</v>
      </c>
      <c r="J1835" s="32">
        <f>IFERROR(IF(T_PROD[[#This Row],[META]]&gt;0,(T_PROD[[#This Row],[META]]/T_PROD[[#This Row],[PREVISTO]]),""),"")</f>
        <v>20</v>
      </c>
      <c r="K1835" s="32">
        <f>IFERROR(IF(T_PROD[[#This Row],[PRODUÇÃO]]&gt;0,(T_PROD[[#This Row],[PRODUÇÃO]]/T_PROD[[#This Row],[EFETIVO]]),""),"")</f>
        <v>19.428571428571427</v>
      </c>
    </row>
    <row r="1836" spans="1:11" x14ac:dyDescent="0.3">
      <c r="A1836" s="33">
        <v>46323</v>
      </c>
      <c r="B1836" s="34" t="str">
        <f t="shared" si="202"/>
        <v>OUTUBRO</v>
      </c>
      <c r="C1836" s="12" t="s">
        <v>32</v>
      </c>
      <c r="D1836" s="12" t="s">
        <v>12</v>
      </c>
      <c r="E1836" s="35">
        <v>220</v>
      </c>
      <c r="F1836" s="35">
        <v>240</v>
      </c>
      <c r="G1836" s="34">
        <v>20</v>
      </c>
      <c r="H1836" s="36">
        <v>21</v>
      </c>
      <c r="I1836" s="34">
        <f>IFERROR(IF(T_PROD[[#This Row],[PREVISTO]]-T_PROD[[#This Row],[EFETIVO]]&lt; 0,0,T_PROD[[#This Row],[PREVISTO]]-T_PROD[[#This Row],[EFETIVO]] ),"")</f>
        <v>0</v>
      </c>
      <c r="J1836" s="32">
        <f>IFERROR(IF(T_PROD[[#This Row],[META]]&gt;0,(T_PROD[[#This Row],[META]]/T_PROD[[#This Row],[PREVISTO]]),""),"")</f>
        <v>11</v>
      </c>
      <c r="K1836" s="32">
        <f>IFERROR(IF(T_PROD[[#This Row],[PRODUÇÃO]]&gt;0,(T_PROD[[#This Row],[PRODUÇÃO]]/T_PROD[[#This Row],[EFETIVO]]),""),"")</f>
        <v>11.428571428571429</v>
      </c>
    </row>
    <row r="1837" spans="1:11" x14ac:dyDescent="0.3">
      <c r="A1837" s="33">
        <v>46323</v>
      </c>
      <c r="B1837" s="34" t="str">
        <f t="shared" si="202"/>
        <v>OUTUBRO</v>
      </c>
      <c r="C1837" s="12" t="s">
        <v>14</v>
      </c>
      <c r="D1837" s="12" t="s">
        <v>12</v>
      </c>
      <c r="E1837" s="35">
        <v>920</v>
      </c>
      <c r="F1837" s="35">
        <v>920</v>
      </c>
      <c r="G1837" s="34">
        <v>100</v>
      </c>
      <c r="H1837" s="36">
        <v>100</v>
      </c>
      <c r="I1837" s="34">
        <f>IFERROR(IF(T_PROD[[#This Row],[PREVISTO]]-T_PROD[[#This Row],[EFETIVO]]&lt; 0,0,T_PROD[[#This Row],[PREVISTO]]-T_PROD[[#This Row],[EFETIVO]] ),"")</f>
        <v>0</v>
      </c>
      <c r="J1837" s="32">
        <f>IFERROR(IF(T_PROD[[#This Row],[META]]&gt;0,(T_PROD[[#This Row],[META]]/T_PROD[[#This Row],[PREVISTO]]),""),"")</f>
        <v>9.1999999999999993</v>
      </c>
      <c r="K1837" s="32">
        <f>IFERROR(IF(T_PROD[[#This Row],[PRODUÇÃO]]&gt;0,(T_PROD[[#This Row],[PRODUÇÃO]]/T_PROD[[#This Row],[EFETIVO]]),""),"")</f>
        <v>9.1999999999999993</v>
      </c>
    </row>
    <row r="1838" spans="1:11" x14ac:dyDescent="0.3">
      <c r="A1838" s="7"/>
      <c r="B1838" s="6"/>
      <c r="C1838" s="6"/>
      <c r="D1838" s="6"/>
      <c r="E1838" s="8"/>
      <c r="F1838" s="8"/>
      <c r="G1838" s="6"/>
      <c r="H1838" s="9"/>
      <c r="I1838" s="6"/>
      <c r="J1838" s="10"/>
      <c r="K1838" s="10"/>
    </row>
    <row r="1839" spans="1:11" x14ac:dyDescent="0.3">
      <c r="A1839" s="7"/>
      <c r="B1839" s="6"/>
      <c r="C1839" s="6"/>
      <c r="D1839" s="6"/>
      <c r="E1839" s="8"/>
      <c r="F1839" s="8"/>
      <c r="G1839" s="6"/>
      <c r="H1839" s="9"/>
      <c r="I1839" s="6"/>
      <c r="J1839" s="10"/>
      <c r="K1839" s="10"/>
    </row>
    <row r="1840" spans="1:11" x14ac:dyDescent="0.3">
      <c r="A1840" s="7"/>
      <c r="B1840" s="6"/>
      <c r="C1840" s="6"/>
      <c r="D1840" s="6"/>
      <c r="E1840" s="8"/>
      <c r="F1840" s="8"/>
      <c r="G1840" s="6"/>
      <c r="H1840" s="9"/>
      <c r="I1840" s="6"/>
      <c r="J1840" s="10"/>
      <c r="K1840" s="10"/>
    </row>
    <row r="1841" spans="1:11" x14ac:dyDescent="0.3">
      <c r="A1841" s="7"/>
      <c r="B1841" s="6"/>
      <c r="C1841" s="6"/>
      <c r="D1841" s="6"/>
      <c r="E1841" s="8"/>
      <c r="F1841" s="8"/>
      <c r="G1841" s="6"/>
      <c r="H1841" s="9"/>
      <c r="I1841" s="6"/>
      <c r="J1841" s="10"/>
      <c r="K1841" s="10"/>
    </row>
    <row r="1842" spans="1:11" x14ac:dyDescent="0.3">
      <c r="A1842" s="7"/>
      <c r="B1842" s="6"/>
      <c r="C1842" s="6"/>
      <c r="D1842" s="6"/>
      <c r="E1842" s="8"/>
      <c r="F1842" s="8"/>
      <c r="G1842" s="6"/>
      <c r="H1842" s="9"/>
      <c r="I1842" s="6"/>
      <c r="J1842" s="10"/>
      <c r="K1842" s="10"/>
    </row>
    <row r="1843" spans="1:11" x14ac:dyDescent="0.3">
      <c r="A1843" s="7"/>
      <c r="B1843" s="6"/>
      <c r="C1843" s="6"/>
      <c r="D1843" s="6"/>
      <c r="E1843" s="8"/>
      <c r="F1843" s="8"/>
      <c r="G1843" s="6"/>
      <c r="H1843" s="9"/>
      <c r="I1843" s="6"/>
      <c r="J1843" s="10"/>
      <c r="K1843" s="10"/>
    </row>
    <row r="1844" spans="1:11" x14ac:dyDescent="0.3">
      <c r="A1844" s="7"/>
      <c r="B1844" s="6"/>
      <c r="C1844" s="6"/>
      <c r="D1844" s="6"/>
      <c r="E1844" s="8"/>
      <c r="F1844" s="8"/>
      <c r="G1844" s="6"/>
      <c r="H1844" s="9"/>
      <c r="I1844" s="6"/>
      <c r="J1844" s="10"/>
      <c r="K1844" s="10"/>
    </row>
    <row r="1845" spans="1:11" x14ac:dyDescent="0.3">
      <c r="A1845" s="7"/>
      <c r="B1845" s="6"/>
      <c r="C1845" s="6"/>
      <c r="D1845" s="6"/>
      <c r="E1845" s="8"/>
      <c r="F1845" s="8"/>
      <c r="G1845" s="6"/>
      <c r="H1845" s="9"/>
      <c r="I1845" s="6"/>
      <c r="J1845" s="10"/>
      <c r="K1845" s="10"/>
    </row>
    <row r="1846" spans="1:11" x14ac:dyDescent="0.3">
      <c r="A1846" s="7"/>
      <c r="B1846" s="6"/>
      <c r="C1846" s="6"/>
      <c r="D1846" s="6"/>
      <c r="E1846" s="8"/>
      <c r="F1846" s="8"/>
      <c r="G1846" s="6"/>
      <c r="H1846" s="9"/>
      <c r="I1846" s="6"/>
      <c r="J1846" s="10"/>
      <c r="K1846" s="10"/>
    </row>
    <row r="1847" spans="1:11" x14ac:dyDescent="0.3">
      <c r="A1847" s="7"/>
      <c r="B1847" s="6"/>
      <c r="C1847" s="6"/>
      <c r="D1847" s="6"/>
      <c r="E1847" s="8"/>
      <c r="F1847" s="8"/>
      <c r="G1847" s="6"/>
      <c r="H1847" s="9"/>
      <c r="I1847" s="6"/>
      <c r="J1847" s="10"/>
      <c r="K1847" s="10"/>
    </row>
    <row r="1848" spans="1:11" x14ac:dyDescent="0.3">
      <c r="A1848" s="7"/>
      <c r="B1848" s="6"/>
      <c r="C1848" s="6"/>
      <c r="D1848" s="6"/>
      <c r="E1848" s="8"/>
      <c r="F1848" s="8"/>
      <c r="G1848" s="6"/>
      <c r="H1848" s="9"/>
      <c r="I1848" s="6"/>
      <c r="J1848" s="10"/>
      <c r="K1848" s="10"/>
    </row>
    <row r="1849" spans="1:11" x14ac:dyDescent="0.3">
      <c r="A1849" s="7"/>
      <c r="B1849" s="6"/>
      <c r="C1849" s="6"/>
      <c r="D1849" s="6"/>
      <c r="E1849" s="8"/>
      <c r="F1849" s="8"/>
      <c r="G1849" s="6"/>
      <c r="H1849" s="9"/>
      <c r="I1849" s="6"/>
      <c r="J1849" s="10"/>
      <c r="K1849" s="10"/>
    </row>
    <row r="1850" spans="1:11" x14ac:dyDescent="0.3">
      <c r="A1850" s="7"/>
      <c r="B1850" s="6"/>
      <c r="C1850" s="6"/>
      <c r="D1850" s="6"/>
      <c r="E1850" s="8"/>
      <c r="F1850" s="8"/>
      <c r="G1850" s="6"/>
      <c r="H1850" s="9"/>
      <c r="I1850" s="6"/>
      <c r="J1850" s="10"/>
      <c r="K1850" s="10"/>
    </row>
    <row r="1851" spans="1:11" x14ac:dyDescent="0.3">
      <c r="A1851" s="7"/>
      <c r="B1851" s="6"/>
      <c r="C1851" s="6"/>
      <c r="D1851" s="6"/>
      <c r="E1851" s="8"/>
      <c r="F1851" s="8"/>
      <c r="G1851" s="6"/>
      <c r="H1851" s="9"/>
      <c r="I1851" s="6"/>
      <c r="J1851" s="10"/>
      <c r="K1851" s="10"/>
    </row>
    <row r="1852" spans="1:11" x14ac:dyDescent="0.3">
      <c r="A1852" s="7"/>
      <c r="B1852" s="6"/>
      <c r="C1852" s="6"/>
      <c r="D1852" s="6"/>
      <c r="E1852" s="8"/>
      <c r="F1852" s="8"/>
      <c r="G1852" s="6"/>
      <c r="H1852" s="9"/>
      <c r="I1852" s="6"/>
      <c r="J1852" s="10"/>
      <c r="K1852" s="10"/>
    </row>
    <row r="1853" spans="1:11" x14ac:dyDescent="0.3">
      <c r="A1853" s="7"/>
      <c r="B1853" s="6"/>
      <c r="C1853" s="6"/>
      <c r="D1853" s="6"/>
      <c r="E1853" s="8"/>
      <c r="F1853" s="8"/>
      <c r="G1853" s="6"/>
      <c r="H1853" s="9"/>
      <c r="I1853" s="6"/>
      <c r="J1853" s="10"/>
      <c r="K1853" s="10"/>
    </row>
    <row r="1854" spans="1:11" x14ac:dyDescent="0.3">
      <c r="A1854" s="7"/>
      <c r="B1854" s="6"/>
      <c r="C1854" s="6"/>
      <c r="D1854" s="6"/>
      <c r="E1854" s="8"/>
      <c r="F1854" s="8"/>
      <c r="G1854" s="6"/>
      <c r="H1854" s="9"/>
      <c r="I1854" s="6"/>
      <c r="J1854" s="10"/>
      <c r="K1854" s="10"/>
    </row>
    <row r="1855" spans="1:11" x14ac:dyDescent="0.3">
      <c r="A1855" s="7"/>
      <c r="B1855" s="6"/>
      <c r="C1855" s="6"/>
      <c r="D1855" s="6"/>
      <c r="E1855" s="8"/>
      <c r="F1855" s="8"/>
      <c r="G1855" s="6"/>
      <c r="H1855" s="9"/>
      <c r="I1855" s="6"/>
      <c r="J1855" s="10"/>
      <c r="K1855" s="10"/>
    </row>
    <row r="1856" spans="1:11" x14ac:dyDescent="0.3">
      <c r="A1856" s="7"/>
      <c r="B1856" s="6"/>
      <c r="C1856" s="6"/>
      <c r="D1856" s="6"/>
      <c r="E1856" s="8"/>
      <c r="F1856" s="8"/>
      <c r="G1856" s="6"/>
      <c r="H1856" s="9"/>
      <c r="I1856" s="6"/>
      <c r="J1856" s="10"/>
      <c r="K1856" s="10"/>
    </row>
    <row r="1857" spans="1:11" x14ac:dyDescent="0.3">
      <c r="A1857" s="7"/>
      <c r="B1857" s="6"/>
      <c r="C1857" s="6"/>
      <c r="D1857" s="6"/>
      <c r="E1857" s="8"/>
      <c r="F1857" s="8"/>
      <c r="G1857" s="6"/>
      <c r="H1857" s="9"/>
      <c r="I1857" s="6"/>
      <c r="J1857" s="10"/>
      <c r="K1857" s="10"/>
    </row>
    <row r="1858" spans="1:11" x14ac:dyDescent="0.3">
      <c r="A1858" s="7"/>
      <c r="B1858" s="6"/>
      <c r="C1858" s="6"/>
      <c r="D1858" s="6"/>
      <c r="E1858" s="8"/>
      <c r="F1858" s="8"/>
      <c r="G1858" s="6"/>
      <c r="H1858" s="9"/>
      <c r="I1858" s="6"/>
      <c r="J1858" s="10"/>
      <c r="K1858" s="10"/>
    </row>
    <row r="1859" spans="1:11" x14ac:dyDescent="0.3">
      <c r="A1859" s="7"/>
      <c r="B1859" s="6"/>
      <c r="C1859" s="6"/>
      <c r="D1859" s="6"/>
      <c r="E1859" s="8"/>
      <c r="F1859" s="8"/>
      <c r="G1859" s="6"/>
      <c r="H1859" s="9"/>
      <c r="I1859" s="6"/>
      <c r="J1859" s="10"/>
      <c r="K1859" s="10"/>
    </row>
    <row r="1860" spans="1:11" x14ac:dyDescent="0.3">
      <c r="A1860" s="7"/>
      <c r="B1860" s="6"/>
      <c r="C1860" s="6"/>
      <c r="D1860" s="6"/>
      <c r="E1860" s="8"/>
      <c r="F1860" s="8"/>
      <c r="G1860" s="6"/>
      <c r="H1860" s="9"/>
      <c r="I1860" s="6"/>
      <c r="J1860" s="10"/>
      <c r="K1860" s="10"/>
    </row>
    <row r="1861" spans="1:11" x14ac:dyDescent="0.3">
      <c r="A1861" s="7"/>
      <c r="B1861" s="6"/>
      <c r="C1861" s="6"/>
      <c r="D1861" s="6"/>
      <c r="E1861" s="8"/>
      <c r="F1861" s="8"/>
      <c r="G1861" s="6"/>
      <c r="H1861" s="9"/>
      <c r="I1861" s="6"/>
      <c r="J1861" s="10"/>
      <c r="K1861" s="10"/>
    </row>
    <row r="1862" spans="1:11" x14ac:dyDescent="0.3">
      <c r="A1862" s="7"/>
      <c r="B1862" s="6"/>
      <c r="C1862" s="6"/>
      <c r="D1862" s="6"/>
      <c r="E1862" s="8"/>
      <c r="F1862" s="8"/>
      <c r="G1862" s="6"/>
      <c r="H1862" s="9"/>
      <c r="I1862" s="6"/>
      <c r="J1862" s="10"/>
      <c r="K1862" s="10"/>
    </row>
    <row r="1863" spans="1:11" x14ac:dyDescent="0.3">
      <c r="A1863" s="7"/>
      <c r="B1863" s="6"/>
      <c r="C1863" s="6"/>
      <c r="D1863" s="6"/>
      <c r="E1863" s="8"/>
      <c r="F1863" s="8"/>
      <c r="G1863" s="6"/>
      <c r="H1863" s="9"/>
      <c r="I1863" s="6"/>
      <c r="J1863" s="10"/>
      <c r="K1863" s="10"/>
    </row>
    <row r="1864" spans="1:11" x14ac:dyDescent="0.3">
      <c r="A1864" s="7"/>
      <c r="B1864" s="6"/>
      <c r="C1864" s="6"/>
      <c r="D1864" s="6"/>
      <c r="E1864" s="8"/>
      <c r="F1864" s="8"/>
      <c r="G1864" s="6"/>
      <c r="H1864" s="9"/>
      <c r="I1864" s="6"/>
      <c r="J1864" s="10"/>
      <c r="K1864" s="10"/>
    </row>
    <row r="1865" spans="1:11" x14ac:dyDescent="0.3">
      <c r="A1865" s="7"/>
      <c r="B1865" s="6"/>
      <c r="C1865" s="6"/>
      <c r="D1865" s="6"/>
      <c r="E1865" s="8"/>
      <c r="F1865" s="8"/>
      <c r="G1865" s="6"/>
      <c r="H1865" s="9"/>
      <c r="I1865" s="6"/>
      <c r="J1865" s="10"/>
      <c r="K1865" s="10"/>
    </row>
    <row r="1866" spans="1:11" x14ac:dyDescent="0.3">
      <c r="A1866" s="7"/>
      <c r="B1866" s="6"/>
      <c r="C1866" s="6"/>
      <c r="D1866" s="6"/>
      <c r="E1866" s="8"/>
      <c r="F1866" s="8"/>
      <c r="G1866" s="6"/>
      <c r="H1866" s="9"/>
      <c r="I1866" s="6"/>
      <c r="J1866" s="10"/>
      <c r="K1866" s="10"/>
    </row>
    <row r="1867" spans="1:11" x14ac:dyDescent="0.3">
      <c r="A1867" s="7"/>
      <c r="B1867" s="6"/>
      <c r="C1867" s="6"/>
      <c r="D1867" s="6"/>
      <c r="E1867" s="8"/>
      <c r="F1867" s="8"/>
      <c r="G1867" s="6"/>
      <c r="H1867" s="9"/>
      <c r="I1867" s="6"/>
      <c r="J1867" s="10"/>
      <c r="K1867" s="10"/>
    </row>
    <row r="1868" spans="1:11" x14ac:dyDescent="0.3">
      <c r="A1868" s="7"/>
      <c r="B1868" s="6"/>
      <c r="C1868" s="6"/>
      <c r="D1868" s="6"/>
      <c r="E1868" s="8"/>
      <c r="F1868" s="8"/>
      <c r="G1868" s="6"/>
      <c r="H1868" s="9"/>
      <c r="I1868" s="6"/>
      <c r="J1868" s="10"/>
      <c r="K1868" s="10"/>
    </row>
    <row r="1869" spans="1:11" x14ac:dyDescent="0.3">
      <c r="A1869" s="7"/>
      <c r="B1869" s="6"/>
      <c r="C1869" s="6"/>
      <c r="D1869" s="6"/>
      <c r="E1869" s="8"/>
      <c r="F1869" s="8"/>
      <c r="G1869" s="6"/>
      <c r="H1869" s="9"/>
      <c r="I1869" s="6"/>
      <c r="J1869" s="10"/>
      <c r="K1869" s="10"/>
    </row>
    <row r="1870" spans="1:11" x14ac:dyDescent="0.3">
      <c r="A1870" s="7"/>
      <c r="B1870" s="6"/>
      <c r="C1870" s="6"/>
      <c r="D1870" s="6"/>
      <c r="E1870" s="8"/>
      <c r="F1870" s="8"/>
      <c r="G1870" s="6"/>
      <c r="H1870" s="9"/>
      <c r="I1870" s="6"/>
      <c r="J1870" s="10"/>
      <c r="K1870" s="10"/>
    </row>
    <row r="1871" spans="1:11" x14ac:dyDescent="0.3">
      <c r="A1871" s="7"/>
      <c r="B1871" s="6"/>
      <c r="C1871" s="6"/>
      <c r="D1871" s="6"/>
      <c r="E1871" s="8"/>
      <c r="F1871" s="8"/>
      <c r="G1871" s="6"/>
      <c r="H1871" s="9"/>
      <c r="I1871" s="6"/>
      <c r="J1871" s="10"/>
      <c r="K1871" s="10"/>
    </row>
    <row r="1872" spans="1:11" x14ac:dyDescent="0.3">
      <c r="A1872" s="7"/>
      <c r="B1872" s="6"/>
      <c r="C1872" s="6"/>
      <c r="D1872" s="6"/>
      <c r="E1872" s="8"/>
      <c r="F1872" s="8"/>
      <c r="G1872" s="6"/>
      <c r="H1872" s="9"/>
      <c r="I1872" s="6"/>
      <c r="J1872" s="10"/>
      <c r="K1872" s="10"/>
    </row>
    <row r="1873" spans="1:11" x14ac:dyDescent="0.3">
      <c r="A1873" s="7"/>
      <c r="B1873" s="6"/>
      <c r="C1873" s="6"/>
      <c r="D1873" s="6"/>
      <c r="E1873" s="8"/>
      <c r="F1873" s="8"/>
      <c r="G1873" s="6"/>
      <c r="H1873" s="9"/>
      <c r="I1873" s="6"/>
      <c r="J1873" s="10"/>
      <c r="K1873" s="10"/>
    </row>
    <row r="1874" spans="1:11" x14ac:dyDescent="0.3">
      <c r="A1874" s="7"/>
      <c r="B1874" s="6"/>
      <c r="C1874" s="6"/>
      <c r="D1874" s="6"/>
      <c r="E1874" s="8"/>
      <c r="F1874" s="8"/>
      <c r="G1874" s="6"/>
      <c r="H1874" s="9"/>
      <c r="I1874" s="6"/>
      <c r="J1874" s="10"/>
      <c r="K1874" s="10"/>
    </row>
    <row r="1875" spans="1:11" x14ac:dyDescent="0.3">
      <c r="A1875" s="7"/>
      <c r="B1875" s="6"/>
      <c r="C1875" s="6"/>
      <c r="D1875" s="6"/>
      <c r="E1875" s="8"/>
      <c r="F1875" s="8"/>
      <c r="G1875" s="6"/>
      <c r="H1875" s="9"/>
      <c r="I1875" s="6"/>
      <c r="J1875" s="10"/>
      <c r="K1875" s="10"/>
    </row>
    <row r="1876" spans="1:11" x14ac:dyDescent="0.3">
      <c r="A1876" s="7"/>
      <c r="B1876" s="6"/>
      <c r="C1876" s="6"/>
      <c r="D1876" s="6"/>
      <c r="E1876" s="8"/>
      <c r="F1876" s="8"/>
      <c r="G1876" s="6"/>
      <c r="H1876" s="9"/>
      <c r="I1876" s="6"/>
      <c r="J1876" s="10"/>
      <c r="K1876" s="10"/>
    </row>
    <row r="1877" spans="1:11" x14ac:dyDescent="0.3">
      <c r="A1877" s="7"/>
      <c r="B1877" s="6"/>
      <c r="C1877" s="6"/>
      <c r="D1877" s="6"/>
      <c r="E1877" s="8"/>
      <c r="F1877" s="8"/>
      <c r="G1877" s="6"/>
      <c r="H1877" s="9"/>
      <c r="I1877" s="6"/>
      <c r="J1877" s="10"/>
      <c r="K1877" s="10"/>
    </row>
    <row r="1878" spans="1:11" x14ac:dyDescent="0.3">
      <c r="A1878" s="7"/>
      <c r="B1878" s="6"/>
      <c r="C1878" s="6"/>
      <c r="D1878" s="6"/>
      <c r="E1878" s="8"/>
      <c r="F1878" s="8"/>
      <c r="G1878" s="6"/>
      <c r="H1878" s="9"/>
      <c r="I1878" s="6"/>
      <c r="J1878" s="10"/>
      <c r="K1878" s="10"/>
    </row>
    <row r="1879" spans="1:11" x14ac:dyDescent="0.3">
      <c r="A1879" s="7"/>
      <c r="B1879" s="6"/>
      <c r="C1879" s="6"/>
      <c r="D1879" s="6"/>
      <c r="E1879" s="8"/>
      <c r="F1879" s="8"/>
      <c r="G1879" s="6"/>
      <c r="H1879" s="9"/>
      <c r="I1879" s="6"/>
      <c r="J1879" s="10"/>
      <c r="K1879" s="10"/>
    </row>
    <row r="1880" spans="1:11" x14ac:dyDescent="0.3">
      <c r="A1880" s="7"/>
      <c r="B1880" s="6"/>
      <c r="C1880" s="6"/>
      <c r="D1880" s="6"/>
      <c r="E1880" s="8"/>
      <c r="F1880" s="8"/>
      <c r="G1880" s="6"/>
      <c r="H1880" s="9"/>
      <c r="I1880" s="6"/>
      <c r="J1880" s="10"/>
      <c r="K1880" s="10"/>
    </row>
    <row r="1881" spans="1:11" x14ac:dyDescent="0.3">
      <c r="A1881" s="7"/>
      <c r="B1881" s="6"/>
      <c r="C1881" s="6"/>
      <c r="D1881" s="6"/>
      <c r="E1881" s="8"/>
      <c r="F1881" s="8"/>
      <c r="G1881" s="6"/>
      <c r="H1881" s="9"/>
      <c r="I1881" s="6"/>
      <c r="J1881" s="10"/>
      <c r="K1881" s="10"/>
    </row>
    <row r="1882" spans="1:11" x14ac:dyDescent="0.3">
      <c r="A1882" s="7"/>
      <c r="B1882" s="6"/>
      <c r="C1882" s="6"/>
      <c r="D1882" s="6"/>
      <c r="E1882" s="8"/>
      <c r="F1882" s="8"/>
      <c r="G1882" s="6"/>
      <c r="H1882" s="9"/>
      <c r="I1882" s="6"/>
      <c r="J1882" s="10"/>
      <c r="K1882" s="10"/>
    </row>
    <row r="1883" spans="1:11" x14ac:dyDescent="0.3">
      <c r="A1883" s="7"/>
      <c r="B1883" s="6"/>
      <c r="C1883" s="6"/>
      <c r="D1883" s="6"/>
      <c r="E1883" s="8"/>
      <c r="F1883" s="8"/>
      <c r="G1883" s="6"/>
      <c r="H1883" s="9"/>
      <c r="I1883" s="6"/>
      <c r="J1883" s="10"/>
      <c r="K1883" s="10"/>
    </row>
    <row r="1884" spans="1:11" x14ac:dyDescent="0.3">
      <c r="A1884" s="7"/>
      <c r="B1884" s="6"/>
      <c r="C1884" s="6"/>
      <c r="D1884" s="6"/>
      <c r="E1884" s="8"/>
      <c r="F1884" s="8"/>
      <c r="G1884" s="6"/>
      <c r="H1884" s="9"/>
      <c r="I1884" s="6"/>
      <c r="J1884" s="10"/>
      <c r="K1884" s="10"/>
    </row>
    <row r="1885" spans="1:11" x14ac:dyDescent="0.3">
      <c r="A1885" s="7"/>
      <c r="B1885" s="6"/>
      <c r="C1885" s="6"/>
      <c r="D1885" s="6"/>
      <c r="E1885" s="8"/>
      <c r="F1885" s="8"/>
      <c r="G1885" s="6"/>
      <c r="H1885" s="9"/>
      <c r="I1885" s="6"/>
      <c r="J1885" s="10"/>
      <c r="K1885" s="10"/>
    </row>
    <row r="1886" spans="1:11" x14ac:dyDescent="0.3">
      <c r="A1886" s="7"/>
      <c r="B1886" s="6"/>
      <c r="C1886" s="6"/>
      <c r="D1886" s="6"/>
      <c r="E1886" s="8"/>
      <c r="F1886" s="8"/>
      <c r="G1886" s="6"/>
      <c r="H1886" s="9"/>
      <c r="I1886" s="6"/>
      <c r="J1886" s="10"/>
      <c r="K1886" s="10"/>
    </row>
    <row r="1887" spans="1:11" x14ac:dyDescent="0.3">
      <c r="A1887" s="7"/>
      <c r="B1887" s="6"/>
      <c r="C1887" s="6"/>
      <c r="D1887" s="6"/>
      <c r="E1887" s="8"/>
      <c r="F1887" s="8"/>
      <c r="G1887" s="6"/>
      <c r="H1887" s="9"/>
      <c r="I1887" s="6"/>
      <c r="J1887" s="10"/>
      <c r="K1887" s="10"/>
    </row>
    <row r="1888" spans="1:11" x14ac:dyDescent="0.3">
      <c r="A1888" s="7"/>
      <c r="B1888" s="6"/>
      <c r="C1888" s="6"/>
      <c r="D1888" s="6"/>
      <c r="E1888" s="8"/>
      <c r="F1888" s="8"/>
      <c r="G1888" s="6"/>
      <c r="H1888" s="9"/>
      <c r="I1888" s="6"/>
      <c r="J1888" s="10"/>
      <c r="K1888" s="10"/>
    </row>
    <row r="1889" spans="1:11" x14ac:dyDescent="0.3">
      <c r="A1889" s="7"/>
      <c r="B1889" s="6"/>
      <c r="C1889" s="6"/>
      <c r="D1889" s="6"/>
      <c r="E1889" s="8"/>
      <c r="F1889" s="8"/>
      <c r="G1889" s="6"/>
      <c r="H1889" s="9"/>
      <c r="I1889" s="6"/>
      <c r="J1889" s="10"/>
      <c r="K1889" s="10"/>
    </row>
    <row r="1890" spans="1:11" x14ac:dyDescent="0.3">
      <c r="A1890" s="7"/>
      <c r="B1890" s="6"/>
      <c r="C1890" s="6"/>
      <c r="D1890" s="6"/>
      <c r="E1890" s="8"/>
      <c r="F1890" s="8"/>
      <c r="G1890" s="6"/>
      <c r="H1890" s="9"/>
      <c r="I1890" s="6"/>
      <c r="J1890" s="10"/>
      <c r="K1890" s="10"/>
    </row>
    <row r="1891" spans="1:11" x14ac:dyDescent="0.3">
      <c r="A1891" s="7"/>
      <c r="B1891" s="6"/>
      <c r="C1891" s="6"/>
      <c r="D1891" s="6"/>
      <c r="E1891" s="8"/>
      <c r="F1891" s="8"/>
      <c r="G1891" s="6"/>
      <c r="H1891" s="9"/>
      <c r="I1891" s="6"/>
      <c r="J1891" s="10"/>
      <c r="K1891" s="10"/>
    </row>
    <row r="1892" spans="1:11" x14ac:dyDescent="0.3">
      <c r="A1892" s="7"/>
      <c r="B1892" s="6"/>
      <c r="C1892" s="6"/>
      <c r="D1892" s="6"/>
      <c r="E1892" s="8"/>
      <c r="F1892" s="8"/>
      <c r="G1892" s="6"/>
      <c r="H1892" s="9"/>
      <c r="I1892" s="6"/>
      <c r="J1892" s="10"/>
      <c r="K1892" s="10"/>
    </row>
    <row r="1893" spans="1:11" x14ac:dyDescent="0.3">
      <c r="A1893" s="7"/>
      <c r="B1893" s="6"/>
      <c r="C1893" s="6"/>
      <c r="D1893" s="6"/>
      <c r="E1893" s="8"/>
      <c r="F1893" s="8"/>
      <c r="G1893" s="6"/>
      <c r="H1893" s="9"/>
      <c r="I1893" s="6"/>
      <c r="J1893" s="10"/>
      <c r="K1893" s="10"/>
    </row>
    <row r="1894" spans="1:11" x14ac:dyDescent="0.3">
      <c r="A1894" s="7"/>
      <c r="B1894" s="6"/>
      <c r="C1894" s="6"/>
      <c r="D1894" s="6"/>
      <c r="E1894" s="8"/>
      <c r="F1894" s="8"/>
      <c r="G1894" s="6"/>
      <c r="H1894" s="9"/>
      <c r="I1894" s="6"/>
      <c r="J1894" s="10"/>
      <c r="K1894" s="10"/>
    </row>
    <row r="1895" spans="1:11" x14ac:dyDescent="0.3">
      <c r="A1895" s="7"/>
      <c r="B1895" s="6"/>
      <c r="C1895" s="6"/>
      <c r="D1895" s="6"/>
      <c r="E1895" s="8"/>
      <c r="F1895" s="8"/>
      <c r="G1895" s="6"/>
      <c r="H1895" s="9"/>
      <c r="I1895" s="6"/>
      <c r="J1895" s="10"/>
      <c r="K1895" s="10"/>
    </row>
    <row r="1896" spans="1:11" x14ac:dyDescent="0.3">
      <c r="A1896" s="7"/>
      <c r="B1896" s="6"/>
      <c r="C1896" s="6"/>
      <c r="D1896" s="6"/>
      <c r="E1896" s="8"/>
      <c r="F1896" s="8"/>
      <c r="G1896" s="6"/>
      <c r="H1896" s="9"/>
      <c r="I1896" s="6"/>
      <c r="J1896" s="10"/>
      <c r="K1896" s="10"/>
    </row>
    <row r="1897" spans="1:11" x14ac:dyDescent="0.3">
      <c r="A1897" s="7"/>
      <c r="B1897" s="6"/>
      <c r="C1897" s="6"/>
      <c r="D1897" s="6"/>
      <c r="E1897" s="8"/>
      <c r="F1897" s="8"/>
      <c r="G1897" s="6"/>
      <c r="H1897" s="9"/>
      <c r="I1897" s="6"/>
      <c r="J1897" s="10"/>
      <c r="K1897" s="10"/>
    </row>
    <row r="1898" spans="1:11" x14ac:dyDescent="0.3">
      <c r="A1898" s="7"/>
      <c r="B1898" s="6"/>
      <c r="C1898" s="6"/>
      <c r="D1898" s="6"/>
      <c r="E1898" s="8"/>
      <c r="F1898" s="8"/>
      <c r="G1898" s="6"/>
      <c r="H1898" s="9"/>
      <c r="I1898" s="6"/>
      <c r="J1898" s="10"/>
      <c r="K1898" s="10"/>
    </row>
    <row r="1899" spans="1:11" x14ac:dyDescent="0.3">
      <c r="A1899" s="7"/>
      <c r="B1899" s="6"/>
      <c r="C1899" s="6"/>
      <c r="D1899" s="6"/>
      <c r="E1899" s="8"/>
      <c r="F1899" s="8"/>
      <c r="G1899" s="6"/>
      <c r="H1899" s="9"/>
      <c r="I1899" s="6"/>
      <c r="J1899" s="10"/>
      <c r="K1899" s="10"/>
    </row>
    <row r="1900" spans="1:11" x14ac:dyDescent="0.3">
      <c r="A1900" s="7"/>
      <c r="B1900" s="6"/>
      <c r="C1900" s="6"/>
      <c r="D1900" s="6"/>
      <c r="E1900" s="8"/>
      <c r="F1900" s="8"/>
      <c r="G1900" s="6"/>
      <c r="H1900" s="9"/>
      <c r="I1900" s="6"/>
      <c r="J1900" s="10"/>
      <c r="K1900" s="10"/>
    </row>
    <row r="1901" spans="1:11" x14ac:dyDescent="0.3">
      <c r="A1901" s="7"/>
      <c r="B1901" s="6"/>
      <c r="C1901" s="6"/>
      <c r="D1901" s="6"/>
      <c r="E1901" s="8"/>
      <c r="F1901" s="8"/>
      <c r="G1901" s="6"/>
      <c r="H1901" s="9"/>
      <c r="I1901" s="6"/>
      <c r="J1901" s="10"/>
      <c r="K1901" s="10"/>
    </row>
    <row r="1902" spans="1:11" x14ac:dyDescent="0.3">
      <c r="A1902" s="7"/>
      <c r="B1902" s="6"/>
      <c r="C1902" s="6"/>
      <c r="D1902" s="6"/>
      <c r="E1902" s="8"/>
      <c r="F1902" s="8"/>
      <c r="G1902" s="6"/>
      <c r="H1902" s="9"/>
      <c r="I1902" s="6"/>
      <c r="J1902" s="10"/>
      <c r="K1902" s="10"/>
    </row>
    <row r="1903" spans="1:11" x14ac:dyDescent="0.3">
      <c r="A1903" s="7"/>
      <c r="B1903" s="6"/>
      <c r="C1903" s="6"/>
      <c r="D1903" s="6"/>
      <c r="E1903" s="8"/>
      <c r="F1903" s="8"/>
      <c r="G1903" s="6"/>
      <c r="H1903" s="9"/>
      <c r="I1903" s="6"/>
      <c r="J1903" s="10"/>
      <c r="K1903" s="10"/>
    </row>
    <row r="1904" spans="1:11" x14ac:dyDescent="0.3">
      <c r="A1904" s="7"/>
      <c r="B1904" s="6"/>
      <c r="C1904" s="6"/>
      <c r="D1904" s="6"/>
      <c r="E1904" s="8"/>
      <c r="F1904" s="8"/>
      <c r="G1904" s="6"/>
      <c r="H1904" s="9"/>
      <c r="I1904" s="6"/>
      <c r="J1904" s="10"/>
      <c r="K1904" s="10"/>
    </row>
    <row r="1905" spans="1:11" x14ac:dyDescent="0.3">
      <c r="A1905" s="7"/>
      <c r="B1905" s="6"/>
      <c r="C1905" s="6"/>
      <c r="D1905" s="6"/>
      <c r="E1905" s="8"/>
      <c r="F1905" s="8"/>
      <c r="G1905" s="6"/>
      <c r="H1905" s="9"/>
      <c r="I1905" s="6"/>
      <c r="J1905" s="10"/>
      <c r="K1905" s="10"/>
    </row>
    <row r="1906" spans="1:11" x14ac:dyDescent="0.3">
      <c r="A1906" s="7"/>
      <c r="B1906" s="6"/>
      <c r="C1906" s="6"/>
      <c r="D1906" s="6"/>
      <c r="E1906" s="8"/>
      <c r="F1906" s="8"/>
      <c r="G1906" s="6"/>
      <c r="H1906" s="9"/>
      <c r="I1906" s="6"/>
      <c r="J1906" s="10"/>
      <c r="K1906" s="10"/>
    </row>
    <row r="1907" spans="1:11" x14ac:dyDescent="0.3">
      <c r="A1907" s="7"/>
      <c r="B1907" s="6"/>
      <c r="C1907" s="6"/>
      <c r="D1907" s="6"/>
      <c r="E1907" s="8"/>
      <c r="F1907" s="8"/>
      <c r="G1907" s="6"/>
      <c r="H1907" s="9"/>
      <c r="I1907" s="6"/>
      <c r="J1907" s="10"/>
      <c r="K1907" s="10"/>
    </row>
    <row r="1908" spans="1:11" x14ac:dyDescent="0.3">
      <c r="A1908" s="7"/>
      <c r="B1908" s="6"/>
      <c r="C1908" s="6"/>
      <c r="D1908" s="6"/>
      <c r="E1908" s="8"/>
      <c r="F1908" s="8"/>
      <c r="G1908" s="6"/>
      <c r="H1908" s="9"/>
      <c r="I1908" s="6"/>
      <c r="J1908" s="10"/>
      <c r="K1908" s="10"/>
    </row>
    <row r="1909" spans="1:11" x14ac:dyDescent="0.3">
      <c r="A1909" s="7"/>
      <c r="B1909" s="6"/>
      <c r="C1909" s="6"/>
      <c r="D1909" s="6"/>
      <c r="E1909" s="8"/>
      <c r="F1909" s="8"/>
      <c r="G1909" s="6"/>
      <c r="H1909" s="9"/>
      <c r="I1909" s="6"/>
      <c r="J1909" s="10"/>
      <c r="K1909" s="10"/>
    </row>
    <row r="1910" spans="1:11" x14ac:dyDescent="0.3">
      <c r="A1910" s="7"/>
      <c r="B1910" s="6"/>
      <c r="C1910" s="6"/>
      <c r="D1910" s="6"/>
      <c r="E1910" s="8"/>
      <c r="F1910" s="8"/>
      <c r="G1910" s="6"/>
      <c r="H1910" s="9"/>
      <c r="I1910" s="6"/>
      <c r="J1910" s="10"/>
      <c r="K1910" s="10"/>
    </row>
    <row r="1911" spans="1:11" x14ac:dyDescent="0.3">
      <c r="A1911" s="7"/>
      <c r="B1911" s="6"/>
      <c r="C1911" s="6"/>
      <c r="D1911" s="6"/>
      <c r="E1911" s="8"/>
      <c r="F1911" s="8"/>
      <c r="G1911" s="6"/>
      <c r="H1911" s="9"/>
      <c r="I1911" s="6"/>
      <c r="J1911" s="10"/>
      <c r="K1911" s="10"/>
    </row>
    <row r="1912" spans="1:11" x14ac:dyDescent="0.3">
      <c r="A1912" s="7"/>
      <c r="B1912" s="6"/>
      <c r="C1912" s="6"/>
      <c r="D1912" s="6"/>
      <c r="E1912" s="8"/>
      <c r="F1912" s="8"/>
      <c r="G1912" s="6"/>
      <c r="H1912" s="9"/>
      <c r="I1912" s="6"/>
      <c r="J1912" s="10"/>
      <c r="K1912" s="10"/>
    </row>
    <row r="1913" spans="1:11" x14ac:dyDescent="0.3">
      <c r="A1913" s="7"/>
      <c r="B1913" s="6"/>
      <c r="C1913" s="6"/>
      <c r="D1913" s="6"/>
      <c r="E1913" s="8"/>
      <c r="F1913" s="8"/>
      <c r="G1913" s="6"/>
      <c r="H1913" s="9"/>
      <c r="I1913" s="6"/>
      <c r="J1913" s="10"/>
      <c r="K1913" s="10"/>
    </row>
    <row r="1914" spans="1:11" x14ac:dyDescent="0.3">
      <c r="A1914" s="7"/>
      <c r="B1914" s="6"/>
      <c r="C1914" s="6"/>
      <c r="D1914" s="6"/>
      <c r="E1914" s="8"/>
      <c r="F1914" s="8"/>
      <c r="G1914" s="6"/>
      <c r="H1914" s="9"/>
      <c r="I1914" s="6"/>
      <c r="J1914" s="10"/>
      <c r="K1914" s="10"/>
    </row>
    <row r="1915" spans="1:11" x14ac:dyDescent="0.3">
      <c r="A1915" s="7"/>
      <c r="B1915" s="6"/>
      <c r="C1915" s="6"/>
      <c r="D1915" s="6"/>
      <c r="E1915" s="8"/>
      <c r="F1915" s="8"/>
      <c r="G1915" s="6"/>
      <c r="H1915" s="9"/>
      <c r="I1915" s="6"/>
      <c r="J1915" s="10"/>
      <c r="K1915" s="10"/>
    </row>
    <row r="1916" spans="1:11" x14ac:dyDescent="0.3">
      <c r="A1916" s="7"/>
      <c r="B1916" s="6"/>
      <c r="C1916" s="6"/>
      <c r="D1916" s="6"/>
      <c r="E1916" s="8"/>
      <c r="F1916" s="8"/>
      <c r="G1916" s="6"/>
      <c r="H1916" s="9"/>
      <c r="I1916" s="6"/>
      <c r="J1916" s="10"/>
      <c r="K1916" s="10"/>
    </row>
    <row r="1917" spans="1:11" x14ac:dyDescent="0.3">
      <c r="A1917" s="7"/>
      <c r="B1917" s="6"/>
      <c r="C1917" s="6"/>
      <c r="D1917" s="6"/>
      <c r="E1917" s="8"/>
      <c r="F1917" s="8"/>
      <c r="G1917" s="6"/>
      <c r="H1917" s="9"/>
      <c r="I1917" s="6"/>
      <c r="J1917" s="10"/>
      <c r="K1917" s="10"/>
    </row>
    <row r="1918" spans="1:11" x14ac:dyDescent="0.3">
      <c r="A1918" s="7"/>
      <c r="B1918" s="6"/>
      <c r="C1918" s="6"/>
      <c r="D1918" s="6"/>
      <c r="E1918" s="8"/>
      <c r="F1918" s="8"/>
      <c r="G1918" s="6"/>
      <c r="H1918" s="9"/>
      <c r="I1918" s="6"/>
      <c r="J1918" s="10"/>
      <c r="K1918" s="10"/>
    </row>
    <row r="1919" spans="1:11" x14ac:dyDescent="0.3">
      <c r="A1919" s="7"/>
      <c r="B1919" s="6"/>
      <c r="C1919" s="6"/>
      <c r="D1919" s="6"/>
      <c r="E1919" s="8"/>
      <c r="F1919" s="8"/>
      <c r="G1919" s="6"/>
      <c r="H1919" s="9"/>
      <c r="I1919" s="6"/>
      <c r="J1919" s="10"/>
      <c r="K1919" s="10"/>
    </row>
    <row r="1920" spans="1:11" x14ac:dyDescent="0.3">
      <c r="A1920" s="7"/>
      <c r="B1920" s="6"/>
      <c r="C1920" s="6"/>
      <c r="D1920" s="6"/>
      <c r="E1920" s="8"/>
      <c r="F1920" s="8"/>
      <c r="G1920" s="6"/>
      <c r="H1920" s="9"/>
      <c r="I1920" s="6"/>
      <c r="J1920" s="10"/>
      <c r="K1920" s="10"/>
    </row>
    <row r="1921" spans="1:11" x14ac:dyDescent="0.3">
      <c r="A1921" s="7"/>
      <c r="B1921" s="6"/>
      <c r="C1921" s="6"/>
      <c r="D1921" s="6"/>
      <c r="E1921" s="8"/>
      <c r="F1921" s="8"/>
      <c r="G1921" s="6"/>
      <c r="H1921" s="9"/>
      <c r="I1921" s="6"/>
      <c r="J1921" s="10"/>
      <c r="K1921" s="10"/>
    </row>
    <row r="1922" spans="1:11" x14ac:dyDescent="0.3">
      <c r="A1922" s="7"/>
      <c r="B1922" s="6"/>
      <c r="C1922" s="6"/>
      <c r="D1922" s="6"/>
      <c r="E1922" s="8"/>
      <c r="F1922" s="8"/>
      <c r="G1922" s="6"/>
      <c r="H1922" s="9"/>
      <c r="I1922" s="6"/>
      <c r="J1922" s="10"/>
      <c r="K1922" s="10"/>
    </row>
    <row r="1923" spans="1:11" x14ac:dyDescent="0.3">
      <c r="A1923" s="7"/>
      <c r="B1923" s="6"/>
      <c r="C1923" s="6"/>
      <c r="D1923" s="6"/>
      <c r="E1923" s="8"/>
      <c r="F1923" s="8"/>
      <c r="G1923" s="6"/>
      <c r="H1923" s="9"/>
      <c r="I1923" s="6"/>
      <c r="J1923" s="10"/>
      <c r="K1923" s="10"/>
    </row>
    <row r="1924" spans="1:11" x14ac:dyDescent="0.3">
      <c r="A1924" s="7"/>
      <c r="B1924" s="6"/>
      <c r="C1924" s="6"/>
      <c r="D1924" s="6"/>
      <c r="E1924" s="8"/>
      <c r="F1924" s="8"/>
      <c r="G1924" s="6"/>
      <c r="H1924" s="9"/>
      <c r="I1924" s="6"/>
      <c r="J1924" s="10"/>
      <c r="K1924" s="10"/>
    </row>
    <row r="1925" spans="1:11" x14ac:dyDescent="0.3">
      <c r="A1925" s="7"/>
      <c r="B1925" s="6"/>
      <c r="C1925" s="6"/>
      <c r="D1925" s="6"/>
      <c r="E1925" s="8"/>
      <c r="F1925" s="8"/>
      <c r="G1925" s="6"/>
      <c r="H1925" s="9"/>
      <c r="I1925" s="6"/>
      <c r="J1925" s="10"/>
      <c r="K1925" s="10"/>
    </row>
    <row r="1926" spans="1:11" x14ac:dyDescent="0.3">
      <c r="A1926" s="7"/>
      <c r="B1926" s="6"/>
      <c r="C1926" s="6"/>
      <c r="D1926" s="6"/>
      <c r="E1926" s="8"/>
      <c r="F1926" s="8"/>
      <c r="G1926" s="6"/>
      <c r="H1926" s="9"/>
      <c r="I1926" s="6"/>
      <c r="J1926" s="10"/>
      <c r="K1926" s="10"/>
    </row>
    <row r="1927" spans="1:11" x14ac:dyDescent="0.3">
      <c r="A1927" s="7"/>
      <c r="B1927" s="6"/>
      <c r="C1927" s="6"/>
      <c r="D1927" s="6"/>
      <c r="E1927" s="8"/>
      <c r="F1927" s="8"/>
      <c r="G1927" s="6"/>
      <c r="H1927" s="9"/>
      <c r="I1927" s="6"/>
      <c r="J1927" s="10"/>
      <c r="K1927" s="10"/>
    </row>
    <row r="1928" spans="1:11" x14ac:dyDescent="0.3">
      <c r="A1928" s="7"/>
      <c r="B1928" s="6"/>
      <c r="C1928" s="6"/>
      <c r="D1928" s="6"/>
      <c r="E1928" s="8"/>
      <c r="F1928" s="8"/>
      <c r="G1928" s="6"/>
      <c r="H1928" s="9"/>
      <c r="I1928" s="6"/>
      <c r="J1928" s="10"/>
      <c r="K1928" s="10"/>
    </row>
    <row r="1929" spans="1:11" x14ac:dyDescent="0.3">
      <c r="A1929" s="7"/>
      <c r="B1929" s="6"/>
      <c r="C1929" s="6"/>
      <c r="D1929" s="6"/>
      <c r="E1929" s="8"/>
      <c r="F1929" s="8"/>
      <c r="G1929" s="6"/>
      <c r="H1929" s="9"/>
      <c r="I1929" s="6"/>
      <c r="J1929" s="10"/>
      <c r="K1929" s="10"/>
    </row>
    <row r="1930" spans="1:11" x14ac:dyDescent="0.3">
      <c r="A1930" s="7"/>
      <c r="B1930" s="6"/>
      <c r="C1930" s="6"/>
      <c r="D1930" s="6"/>
      <c r="E1930" s="8"/>
      <c r="F1930" s="8"/>
      <c r="G1930" s="6"/>
      <c r="H1930" s="9"/>
      <c r="I1930" s="6"/>
      <c r="J1930" s="10"/>
      <c r="K1930" s="10"/>
    </row>
    <row r="1931" spans="1:11" x14ac:dyDescent="0.3">
      <c r="A1931" s="7"/>
      <c r="B1931" s="6"/>
      <c r="C1931" s="6"/>
      <c r="D1931" s="6"/>
      <c r="E1931" s="8"/>
      <c r="F1931" s="8"/>
      <c r="G1931" s="6"/>
      <c r="H1931" s="9"/>
      <c r="I1931" s="6"/>
      <c r="J1931" s="10"/>
      <c r="K1931" s="10"/>
    </row>
    <row r="1932" spans="1:11" x14ac:dyDescent="0.3">
      <c r="A1932" s="7"/>
      <c r="B1932" s="6"/>
      <c r="C1932" s="6"/>
      <c r="D1932" s="6"/>
      <c r="E1932" s="8"/>
      <c r="F1932" s="8"/>
      <c r="G1932" s="6"/>
      <c r="H1932" s="9"/>
      <c r="I1932" s="6"/>
      <c r="J1932" s="10"/>
      <c r="K1932" s="10"/>
    </row>
    <row r="1933" spans="1:11" x14ac:dyDescent="0.3">
      <c r="A1933" s="7"/>
      <c r="B1933" s="6"/>
      <c r="C1933" s="6"/>
      <c r="D1933" s="6"/>
      <c r="E1933" s="8"/>
      <c r="F1933" s="8"/>
      <c r="G1933" s="6"/>
      <c r="H1933" s="9"/>
      <c r="I1933" s="6"/>
      <c r="J1933" s="10"/>
      <c r="K1933" s="10"/>
    </row>
    <row r="1934" spans="1:11" x14ac:dyDescent="0.3">
      <c r="A1934" s="7"/>
      <c r="B1934" s="6"/>
      <c r="C1934" s="6"/>
      <c r="D1934" s="6"/>
      <c r="E1934" s="8"/>
      <c r="F1934" s="8"/>
      <c r="G1934" s="6"/>
      <c r="H1934" s="9"/>
      <c r="I1934" s="6"/>
      <c r="J1934" s="10"/>
      <c r="K1934" s="10"/>
    </row>
    <row r="1935" spans="1:11" x14ac:dyDescent="0.3">
      <c r="A1935" s="7"/>
      <c r="B1935" s="6"/>
      <c r="C1935" s="6"/>
      <c r="D1935" s="6"/>
      <c r="E1935" s="8"/>
      <c r="F1935" s="8"/>
      <c r="G1935" s="6"/>
      <c r="H1935" s="9"/>
      <c r="I1935" s="6"/>
      <c r="J1935" s="10"/>
      <c r="K1935" s="10"/>
    </row>
    <row r="1936" spans="1:11" x14ac:dyDescent="0.3">
      <c r="A1936" s="7"/>
      <c r="B1936" s="6"/>
      <c r="C1936" s="6"/>
      <c r="D1936" s="6"/>
      <c r="E1936" s="8"/>
      <c r="F1936" s="8"/>
      <c r="G1936" s="6"/>
      <c r="H1936" s="9"/>
      <c r="I1936" s="6"/>
      <c r="J1936" s="10"/>
      <c r="K1936" s="10"/>
    </row>
    <row r="1937" spans="1:11" x14ac:dyDescent="0.3">
      <c r="A1937" s="7"/>
      <c r="B1937" s="6"/>
      <c r="C1937" s="6"/>
      <c r="D1937" s="6"/>
      <c r="E1937" s="8"/>
      <c r="F1937" s="8"/>
      <c r="G1937" s="6"/>
      <c r="H1937" s="9"/>
      <c r="I1937" s="6"/>
      <c r="J1937" s="10"/>
      <c r="K1937" s="10"/>
    </row>
    <row r="1938" spans="1:11" x14ac:dyDescent="0.3">
      <c r="A1938" s="7"/>
      <c r="B1938" s="6"/>
      <c r="C1938" s="6"/>
      <c r="D1938" s="6"/>
      <c r="E1938" s="8"/>
      <c r="F1938" s="8"/>
      <c r="G1938" s="6"/>
      <c r="H1938" s="9"/>
      <c r="I1938" s="6"/>
      <c r="J1938" s="10"/>
      <c r="K1938" s="10"/>
    </row>
    <row r="1939" spans="1:11" x14ac:dyDescent="0.3">
      <c r="A1939" s="7"/>
      <c r="B1939" s="6"/>
      <c r="C1939" s="6"/>
      <c r="D1939" s="6"/>
      <c r="E1939" s="8"/>
      <c r="F1939" s="8"/>
      <c r="G1939" s="6"/>
      <c r="H1939" s="9"/>
      <c r="I1939" s="6"/>
      <c r="J1939" s="10"/>
      <c r="K1939" s="10"/>
    </row>
    <row r="1940" spans="1:11" x14ac:dyDescent="0.3">
      <c r="A1940" s="7"/>
      <c r="B1940" s="6"/>
      <c r="C1940" s="6"/>
      <c r="D1940" s="6"/>
      <c r="E1940" s="8"/>
      <c r="F1940" s="8"/>
      <c r="G1940" s="6"/>
      <c r="H1940" s="9"/>
      <c r="I1940" s="6"/>
      <c r="J1940" s="10"/>
      <c r="K1940" s="10"/>
    </row>
    <row r="1941" spans="1:11" x14ac:dyDescent="0.3">
      <c r="A1941" s="7"/>
      <c r="B1941" s="6"/>
      <c r="C1941" s="6"/>
      <c r="D1941" s="6"/>
      <c r="E1941" s="8"/>
      <c r="F1941" s="8"/>
      <c r="G1941" s="6"/>
      <c r="H1941" s="9"/>
      <c r="I1941" s="6"/>
      <c r="J1941" s="10"/>
      <c r="K1941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2026-10-29T16:46:31Z</dcterms:modified>
</cp:coreProperties>
</file>