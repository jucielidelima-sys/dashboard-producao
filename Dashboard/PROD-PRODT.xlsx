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17BF561A-D435-4D74-B6EC-A8A020D88AFE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LANC.!$A$1:$K$397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90" i="1" l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J397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D6" i="3"/>
  <c r="C6" i="3"/>
  <c r="D5" i="3"/>
  <c r="C5" i="3"/>
  <c r="C4" i="3"/>
  <c r="D3" i="3"/>
  <c r="C3" i="3"/>
  <c r="E3" i="3" s="1"/>
  <c r="E8" i="3"/>
  <c r="E4" i="3"/>
  <c r="E5" i="3"/>
  <c r="E6" i="3"/>
  <c r="E7" i="3"/>
  <c r="E2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J379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J370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<sst xmlns="http://schemas.openxmlformats.org/spreadsheetml/2006/main" count="850" uniqueCount="34">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</sst>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397" totalsRowShown="0" headerRowDxfId="13" dataDxfId="12" tableBorderDxfId="11">
  <autoFilter ref="A1:K397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361" activePane="bottomLeft" state="frozen"/>
      <selection pane="bottomLeft" activeCell="J378" sqref="J378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26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5.2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34</v>
      </c>
      <c r="G367" s="12">
        <v>92</v>
      </c>
      <c r="H367" s="14">
        <v>0</v>
      </c>
      <c r="I367" s="12">
        <f>IFERROR(IF(T_PROD[[#This Row],[PREVISTO]]-T_PROD[[#This Row],[EFETIVO]]&lt; 0,0,T_PROD[[#This Row],[PREVISTO]]-T_PROD[[#This Row],[EFETIVO]] ),"")</f>
        <v>92</v>
      </c>
      <c r="J367" s="15">
        <f>IFERROR(IF(T_PROD[[#This Row],[META]]&gt;0,(T_PROD[[#This Row],[META]]/T_PROD[[#This Row],[PREVISTO]]),""),"")</f>
        <v>5.2826086956521738</v>
      </c>
      <c r="K367" s="15" t="str">
        <f>IFERROR(IF(T_PROD[[#This Row],[PRODUÇÃO]]&gt;0,(T_PROD[[#This Row],[PRODUÇÃO]]/T_PROD[[#This Row],[EFETIVO]]),""),"")</f>
        <v/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f>IFERROR(IF(T_PROD[[#This Row],[META]]&gt;0,(T_PROD[[#This Row],[META]]/T_PROD[[#This Row],[PREVISTO]]),""),"")</f>
        <v>1.1764705882352942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54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10.8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62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0.6966292134831461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f>IFERROR(IF(T_PROD[[#This Row],[META]]&gt;0,(T_PROD[[#This Row],[META]]/T_PROD[[#This Row],[PREVISTO]]),""),"")</f>
        <v>7.1428571428571432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33">
        <v>46085</v>
      </c>
      <c r="B380" s="34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35">
        <v>40</v>
      </c>
      <c r="G380" s="12">
        <v>4</v>
      </c>
      <c r="H380" s="36">
        <v>4</v>
      </c>
      <c r="I380" s="34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33">
        <v>46085</v>
      </c>
      <c r="B381" s="34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35">
        <v>0</v>
      </c>
      <c r="G381" s="12">
        <v>6</v>
      </c>
      <c r="H381" s="36">
        <v>0</v>
      </c>
      <c r="I381" s="34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33">
        <v>46085</v>
      </c>
      <c r="B382" s="34" t="str">
        <f t="shared" si="41"/>
        <v>MARÇO</v>
      </c>
      <c r="C382" s="12" t="s">
        <v>17</v>
      </c>
      <c r="D382" s="12" t="s">
        <v>12</v>
      </c>
      <c r="E382" s="13">
        <v>128</v>
      </c>
      <c r="F382" s="35">
        <v>84</v>
      </c>
      <c r="G382" s="12">
        <v>8</v>
      </c>
      <c r="H382" s="36">
        <v>5</v>
      </c>
      <c r="I382" s="34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33">
        <v>46085</v>
      </c>
      <c r="B383" s="34" t="str">
        <f t="shared" si="41"/>
        <v>MARÇO</v>
      </c>
      <c r="C383" s="12" t="s">
        <v>18</v>
      </c>
      <c r="D383" s="12" t="s">
        <v>12</v>
      </c>
      <c r="E383" s="13">
        <v>100</v>
      </c>
      <c r="F383" s="35">
        <v>0</v>
      </c>
      <c r="G383" s="12">
        <v>4</v>
      </c>
      <c r="H383" s="36">
        <v>0</v>
      </c>
      <c r="I383" s="34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33">
        <v>46085</v>
      </c>
      <c r="B384" s="34" t="str">
        <f t="shared" si="41"/>
        <v>MARÇO</v>
      </c>
      <c r="C384" s="12" t="s">
        <v>19</v>
      </c>
      <c r="D384" s="12" t="s">
        <v>12</v>
      </c>
      <c r="E384" s="13">
        <v>100</v>
      </c>
      <c r="F384" s="35">
        <v>0</v>
      </c>
      <c r="G384" s="12">
        <v>11</v>
      </c>
      <c r="H384" s="36"/>
      <c r="I384" s="34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33">
        <v>46085</v>
      </c>
      <c r="B385" s="34" t="str">
        <f t="shared" si="41"/>
        <v>MARÇO</v>
      </c>
      <c r="C385" s="12" t="s">
        <v>20</v>
      </c>
      <c r="D385" s="12" t="s">
        <v>12</v>
      </c>
      <c r="E385" s="13">
        <v>486</v>
      </c>
      <c r="F385" s="35">
        <v>124</v>
      </c>
      <c r="G385" s="12">
        <v>92</v>
      </c>
      <c r="H385" s="36">
        <v>90</v>
      </c>
      <c r="I385" s="34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33">
        <v>46085</v>
      </c>
      <c r="B386" s="34" t="str">
        <f t="shared" si="41"/>
        <v>MARÇO</v>
      </c>
      <c r="C386" s="12" t="s">
        <v>11</v>
      </c>
      <c r="D386" s="12" t="s">
        <v>12</v>
      </c>
      <c r="E386" s="13">
        <v>600</v>
      </c>
      <c r="F386" s="35">
        <v>370</v>
      </c>
      <c r="G386" s="12">
        <v>33</v>
      </c>
      <c r="H386" s="36">
        <v>25</v>
      </c>
      <c r="I386" s="34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33">
        <v>46085</v>
      </c>
      <c r="B387" s="34" t="str">
        <f t="shared" si="41"/>
        <v>MARÇO</v>
      </c>
      <c r="C387" s="6" t="s">
        <v>32</v>
      </c>
      <c r="D387" s="12" t="s">
        <v>12</v>
      </c>
      <c r="E387" s="13">
        <v>0</v>
      </c>
      <c r="F387" s="35">
        <v>0</v>
      </c>
      <c r="G387" s="12">
        <v>10</v>
      </c>
      <c r="H387" s="36">
        <v>0</v>
      </c>
      <c r="I387" s="34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33">
        <v>46085</v>
      </c>
      <c r="B388" s="34" t="str">
        <f t="shared" si="41"/>
        <v>MARÇO</v>
      </c>
      <c r="C388" s="12" t="s">
        <v>14</v>
      </c>
      <c r="D388" s="12" t="s">
        <v>12</v>
      </c>
      <c r="E388" s="13">
        <v>600</v>
      </c>
      <c r="F388" s="35">
        <v>370</v>
      </c>
      <c r="G388" s="12">
        <v>84</v>
      </c>
      <c r="H388" s="36">
        <v>80</v>
      </c>
      <c r="I388" s="34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33">
        <v>46086</v>
      </c>
      <c r="B389" s="34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35">
        <v>24</v>
      </c>
      <c r="G389" s="12">
        <v>4</v>
      </c>
      <c r="H389" s="36">
        <v>4</v>
      </c>
      <c r="I389" s="34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6</v>
      </c>
    </row>
    <row r="390" spans="1:11" s="6" customFormat="1" x14ac:dyDescent="0.3">
      <c r="A390" s="33">
        <v>46086</v>
      </c>
      <c r="B390" s="34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35">
        <v>32</v>
      </c>
      <c r="G390" s="12">
        <v>6</v>
      </c>
      <c r="H390" s="36">
        <v>5</v>
      </c>
      <c r="I390" s="34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33">
        <v>46086</v>
      </c>
      <c r="B391" s="34" t="str">
        <f t="shared" si="42"/>
        <v>MARÇO</v>
      </c>
      <c r="C391" s="12" t="s">
        <v>17</v>
      </c>
      <c r="D391" s="12" t="s">
        <v>12</v>
      </c>
      <c r="E391" s="13">
        <v>128</v>
      </c>
      <c r="F391" s="35">
        <v>88</v>
      </c>
      <c r="G391" s="12">
        <v>8</v>
      </c>
      <c r="H391" s="36">
        <v>6</v>
      </c>
      <c r="I391" s="34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14.666666666666666</v>
      </c>
    </row>
    <row r="392" spans="1:11" s="6" customFormat="1" x14ac:dyDescent="0.3">
      <c r="A392" s="33">
        <v>46086</v>
      </c>
      <c r="B392" s="34" t="str">
        <f t="shared" si="42"/>
        <v>MARÇO</v>
      </c>
      <c r="C392" s="12" t="s">
        <v>18</v>
      </c>
      <c r="D392" s="12" t="s">
        <v>12</v>
      </c>
      <c r="E392" s="13">
        <v>100</v>
      </c>
      <c r="F392" s="35">
        <v>75</v>
      </c>
      <c r="G392" s="12">
        <v>4</v>
      </c>
      <c r="H392" s="36">
        <v>8</v>
      </c>
      <c r="I392" s="34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>
        <f>IFERROR(IF(T_PROD[[#This Row],[PRODUÇÃO]]&gt;0,(T_PROD[[#This Row],[PRODUÇÃO]]/T_PROD[[#This Row],[EFETIVO]]),""),"")</f>
        <v>9.375</v>
      </c>
    </row>
    <row r="393" spans="1:11" s="6" customFormat="1" x14ac:dyDescent="0.3">
      <c r="A393" s="33">
        <v>46086</v>
      </c>
      <c r="B393" s="34" t="str">
        <f t="shared" si="42"/>
        <v>MARÇO</v>
      </c>
      <c r="C393" s="12" t="s">
        <v>19</v>
      </c>
      <c r="D393" s="12" t="s">
        <v>12</v>
      </c>
      <c r="E393" s="13">
        <v>100</v>
      </c>
      <c r="F393" s="35">
        <v>0</v>
      </c>
      <c r="G393" s="12">
        <v>11</v>
      </c>
      <c r="H393" s="36"/>
      <c r="I393" s="34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33">
        <v>46086</v>
      </c>
      <c r="B394" s="34" t="str">
        <f t="shared" si="42"/>
        <v>MARÇO</v>
      </c>
      <c r="C394" s="12" t="s">
        <v>20</v>
      </c>
      <c r="D394" s="12" t="s">
        <v>12</v>
      </c>
      <c r="E394" s="13">
        <v>486</v>
      </c>
      <c r="F394" s="35">
        <v>219</v>
      </c>
      <c r="G394" s="12">
        <v>92</v>
      </c>
      <c r="H394" s="36">
        <v>90</v>
      </c>
      <c r="I394" s="34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2.4333333333333331</v>
      </c>
    </row>
    <row r="395" spans="1:11" s="6" customFormat="1" x14ac:dyDescent="0.3">
      <c r="A395" s="33">
        <v>46086</v>
      </c>
      <c r="B395" s="34" t="str">
        <f t="shared" si="42"/>
        <v>MARÇO</v>
      </c>
      <c r="C395" s="12" t="s">
        <v>11</v>
      </c>
      <c r="D395" s="12" t="s">
        <v>12</v>
      </c>
      <c r="E395" s="13">
        <v>600</v>
      </c>
      <c r="F395" s="35">
        <v>452</v>
      </c>
      <c r="G395" s="12">
        <v>33</v>
      </c>
      <c r="H395" s="36">
        <v>28</v>
      </c>
      <c r="I395" s="34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33">
        <v>46086</v>
      </c>
      <c r="B396" s="34" t="str">
        <f t="shared" si="42"/>
        <v>MARÇO</v>
      </c>
      <c r="C396" s="6" t="s">
        <v>32</v>
      </c>
      <c r="D396" s="12" t="s">
        <v>12</v>
      </c>
      <c r="E396" s="13">
        <v>0</v>
      </c>
      <c r="F396" s="35">
        <v>0</v>
      </c>
      <c r="G396" s="12">
        <v>10</v>
      </c>
      <c r="H396" s="36"/>
      <c r="I396" s="34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33">
        <v>46086</v>
      </c>
      <c r="B397" s="34" t="str">
        <f t="shared" si="42"/>
        <v>MARÇO</v>
      </c>
      <c r="C397" s="12" t="s">
        <v>14</v>
      </c>
      <c r="D397" s="12" t="s">
        <v>12</v>
      </c>
      <c r="E397" s="13">
        <v>600</v>
      </c>
      <c r="F397" s="35">
        <v>452</v>
      </c>
      <c r="G397" s="12">
        <v>84</v>
      </c>
      <c r="H397" s="36">
        <v>80</v>
      </c>
      <c r="I397" s="34">
        <f>IFERROR(IF(T_PROD[[#This Row],[PREVISTO]]-T_PROD[[#This Row],[EFETIVO]]&lt; 0,0,T_PROD[[#This Row],[PREVISTO]]-T_PROD[[#This Row],[EFETIVO]] ),"")</f>
        <v>4</v>
      </c>
      <c r="J397" s="15">
        <f>IFERROR(IF(T_PROD[[#This Row],[META]]&gt;0,(T_PROD[[#This Row],[META]]/T_PROD[[#This Row],[PREVISTO]]),""),"")</f>
        <v>7.1428571428571432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6"/>
      <c r="B398" s="17"/>
      <c r="C398" s="17"/>
      <c r="D398" s="17"/>
      <c r="E398" s="18"/>
      <c r="F398" s="18"/>
      <c r="G398" s="17"/>
      <c r="H398" s="19"/>
      <c r="I398" s="17"/>
      <c r="J398" s="20"/>
      <c r="K398" s="20"/>
    </row>
    <row r="399" spans="1:11" s="6" customFormat="1" x14ac:dyDescent="0.3">
      <c r="A399" s="16"/>
      <c r="B399" s="17"/>
      <c r="C399" s="17"/>
      <c r="D399" s="17"/>
      <c r="E399" s="18"/>
      <c r="F399" s="18"/>
      <c r="G399" s="17"/>
      <c r="H399" s="19"/>
      <c r="I399" s="17"/>
      <c r="J399" s="20"/>
      <c r="K399" s="20"/>
    </row>
    <row r="400" spans="1:11" s="6" customFormat="1" x14ac:dyDescent="0.3">
      <c r="A400" s="16"/>
      <c r="B400" s="17"/>
      <c r="C400" s="17"/>
      <c r="D400" s="17"/>
      <c r="E400" s="18"/>
      <c r="F400" s="18"/>
      <c r="G400" s="17"/>
      <c r="H400" s="19"/>
      <c r="I400" s="17"/>
      <c r="J400" s="20"/>
      <c r="K400" s="20"/>
    </row>
    <row r="401" spans="1:11" s="6" customFormat="1" x14ac:dyDescent="0.3">
      <c r="A401" s="16"/>
      <c r="B401" s="17"/>
      <c r="C401" s="17"/>
      <c r="D401" s="17"/>
      <c r="E401" s="18"/>
      <c r="F401" s="18"/>
      <c r="G401" s="17"/>
      <c r="H401" s="19"/>
      <c r="I401" s="17"/>
      <c r="J401" s="20"/>
      <c r="K401" s="20"/>
    </row>
    <row r="402" spans="1:11" s="6" customFormat="1" x14ac:dyDescent="0.3">
      <c r="A402" s="16"/>
      <c r="B402" s="17"/>
      <c r="C402" s="17"/>
      <c r="D402" s="17"/>
      <c r="E402" s="18"/>
      <c r="F402" s="18"/>
      <c r="G402" s="17"/>
      <c r="H402" s="19"/>
      <c r="I402" s="17"/>
      <c r="J402" s="20"/>
      <c r="K402" s="20"/>
    </row>
    <row r="403" spans="1:11" s="6" customFormat="1" x14ac:dyDescent="0.3">
      <c r="A403" s="16"/>
      <c r="B403" s="17"/>
      <c r="C403" s="17"/>
      <c r="D403" s="17"/>
      <c r="E403" s="18"/>
      <c r="F403" s="18"/>
      <c r="G403" s="17"/>
      <c r="H403" s="19"/>
      <c r="I403" s="17"/>
      <c r="J403" s="20"/>
      <c r="K403" s="20"/>
    </row>
    <row r="404" spans="1:11" s="6" customFormat="1" x14ac:dyDescent="0.3">
      <c r="A404" s="16"/>
      <c r="B404" s="17"/>
      <c r="C404" s="17"/>
      <c r="D404" s="17"/>
      <c r="E404" s="18"/>
      <c r="F404" s="18"/>
      <c r="G404" s="17"/>
      <c r="H404" s="19"/>
      <c r="I404" s="17"/>
      <c r="J404" s="20"/>
      <c r="K404" s="20"/>
    </row>
    <row r="405" spans="1:11" s="6" customFormat="1" x14ac:dyDescent="0.3">
      <c r="A405" s="16"/>
      <c r="B405" s="17"/>
      <c r="C405" s="17"/>
      <c r="D405" s="17"/>
      <c r="E405" s="18"/>
      <c r="F405" s="18"/>
      <c r="G405" s="17"/>
      <c r="H405" s="19"/>
      <c r="I405" s="17"/>
      <c r="J405" s="20"/>
      <c r="K405" s="20"/>
    </row>
    <row r="406" spans="1:11" s="6" customFormat="1" x14ac:dyDescent="0.3">
      <c r="A406" s="16"/>
      <c r="B406" s="17"/>
      <c r="C406" s="17"/>
      <c r="D406" s="17"/>
      <c r="E406" s="18"/>
      <c r="F406" s="18"/>
      <c r="G406" s="17"/>
      <c r="H406" s="19"/>
      <c r="I406" s="17"/>
      <c r="J406" s="20"/>
      <c r="K406" s="20"/>
    </row>
    <row r="407" spans="1:11" s="6" customFormat="1" x14ac:dyDescent="0.3">
      <c r="A407" s="16"/>
      <c r="B407" s="17"/>
      <c r="C407" s="17"/>
      <c r="D407" s="17"/>
      <c r="E407" s="18"/>
      <c r="F407" s="18"/>
      <c r="G407" s="17"/>
      <c r="H407" s="19"/>
      <c r="I407" s="17"/>
      <c r="J407" s="20"/>
      <c r="K407" s="20"/>
    </row>
    <row r="408" spans="1:11" s="6" customFormat="1" x14ac:dyDescent="0.3">
      <c r="A408" s="16"/>
      <c r="B408" s="17"/>
      <c r="C408" s="17"/>
      <c r="D408" s="17"/>
      <c r="E408" s="18"/>
      <c r="F408" s="18"/>
      <c r="G408" s="17"/>
      <c r="H408" s="19"/>
      <c r="I408" s="17"/>
      <c r="J408" s="20"/>
      <c r="K408" s="20"/>
    </row>
    <row r="409" spans="1:11" s="6" customFormat="1" x14ac:dyDescent="0.3">
      <c r="A409" s="16"/>
      <c r="B409" s="17"/>
      <c r="C409" s="17"/>
      <c r="D409" s="17"/>
      <c r="E409" s="18"/>
      <c r="F409" s="18"/>
      <c r="G409" s="17"/>
      <c r="H409" s="19"/>
      <c r="I409" s="17"/>
      <c r="J409" s="20"/>
      <c r="K409" s="20"/>
    </row>
    <row r="410" spans="1:11" s="6" customFormat="1" x14ac:dyDescent="0.3">
      <c r="A410" s="16"/>
      <c r="B410" s="17"/>
      <c r="C410" s="17"/>
      <c r="D410" s="17"/>
      <c r="E410" s="18"/>
      <c r="F410" s="18"/>
      <c r="G410" s="17"/>
      <c r="H410" s="19"/>
      <c r="I410" s="17"/>
      <c r="J410" s="20"/>
      <c r="K410" s="20"/>
    </row>
    <row r="411" spans="1:11" s="6" customFormat="1" x14ac:dyDescent="0.3">
      <c r="A411" s="16"/>
      <c r="B411" s="17"/>
      <c r="C411" s="17"/>
      <c r="D411" s="17"/>
      <c r="E411" s="18"/>
      <c r="F411" s="18"/>
      <c r="G411" s="17"/>
      <c r="H411" s="19"/>
      <c r="I411" s="17"/>
      <c r="J411" s="20"/>
      <c r="K411" s="20"/>
    </row>
    <row r="412" spans="1:11" s="6" customFormat="1" x14ac:dyDescent="0.3">
      <c r="A412" s="16"/>
      <c r="B412" s="17"/>
      <c r="C412" s="17"/>
      <c r="D412" s="17"/>
      <c r="E412" s="18"/>
      <c r="F412" s="18"/>
      <c r="G412" s="17"/>
      <c r="H412" s="19"/>
      <c r="I412" s="17"/>
      <c r="J412" s="20"/>
      <c r="K412" s="20"/>
    </row>
    <row r="413" spans="1:11" s="6" customFormat="1" x14ac:dyDescent="0.3">
      <c r="A413" s="16"/>
      <c r="B413" s="17"/>
      <c r="C413" s="17"/>
      <c r="D413" s="17"/>
      <c r="E413" s="18"/>
      <c r="F413" s="18"/>
      <c r="G413" s="17"/>
      <c r="H413" s="19"/>
      <c r="I413" s="17"/>
      <c r="J413" s="20"/>
      <c r="K413" s="20"/>
    </row>
    <row r="414" spans="1:11" s="6" customFormat="1" x14ac:dyDescent="0.3">
      <c r="A414" s="16"/>
      <c r="B414" s="17"/>
      <c r="C414" s="17"/>
      <c r="D414" s="17"/>
      <c r="E414" s="18"/>
      <c r="F414" s="18"/>
      <c r="G414" s="17"/>
      <c r="H414" s="19"/>
      <c r="I414" s="17"/>
      <c r="J414" s="20"/>
      <c r="K414" s="20"/>
    </row>
    <row r="415" spans="1:11" s="6" customFormat="1" x14ac:dyDescent="0.3">
      <c r="A415" s="16"/>
      <c r="B415" s="17"/>
      <c r="C415" s="17"/>
      <c r="D415" s="17"/>
      <c r="E415" s="18"/>
      <c r="F415" s="18"/>
      <c r="G415" s="17"/>
      <c r="H415" s="19"/>
      <c r="I415" s="17"/>
      <c r="J415" s="20"/>
      <c r="K415" s="20"/>
    </row>
    <row r="416" spans="1:11" s="6" customFormat="1" x14ac:dyDescent="0.3">
      <c r="A416" s="16"/>
      <c r="B416" s="17"/>
      <c r="C416" s="17"/>
      <c r="D416" s="17"/>
      <c r="E416" s="18"/>
      <c r="F416" s="18"/>
      <c r="G416" s="17"/>
      <c r="H416" s="19"/>
      <c r="I416" s="17"/>
      <c r="J416" s="20"/>
      <c r="K416" s="20"/>
    </row>
    <row r="417" spans="1:11" s="6" customFormat="1" x14ac:dyDescent="0.3">
      <c r="A417" s="16"/>
      <c r="B417" s="17"/>
      <c r="C417" s="17"/>
      <c r="D417" s="17"/>
      <c r="E417" s="18"/>
      <c r="F417" s="18"/>
      <c r="G417" s="17"/>
      <c r="H417" s="19"/>
      <c r="I417" s="17"/>
      <c r="J417" s="20"/>
      <c r="K417" s="20"/>
    </row>
    <row r="418" spans="1:11" s="6" customFormat="1" x14ac:dyDescent="0.3">
      <c r="A418" s="16"/>
      <c r="B418" s="17"/>
      <c r="C418" s="17"/>
      <c r="D418" s="17"/>
      <c r="E418" s="18"/>
      <c r="F418" s="18"/>
      <c r="G418" s="17"/>
      <c r="H418" s="19"/>
      <c r="I418" s="17"/>
      <c r="J418" s="20"/>
      <c r="K418" s="20"/>
    </row>
    <row r="419" spans="1:11" s="6" customFormat="1" x14ac:dyDescent="0.3">
      <c r="A419" s="16"/>
      <c r="B419" s="17"/>
      <c r="C419" s="17"/>
      <c r="D419" s="17"/>
      <c r="E419" s="18"/>
      <c r="F419" s="18"/>
      <c r="G419" s="17"/>
      <c r="H419" s="19"/>
      <c r="I419" s="17"/>
      <c r="J419" s="20"/>
      <c r="K419" s="20"/>
    </row>
    <row r="420" spans="1:11" s="6" customFormat="1" x14ac:dyDescent="0.3">
      <c r="A420" s="16"/>
      <c r="B420" s="17"/>
      <c r="C420" s="17"/>
      <c r="D420" s="17"/>
      <c r="E420" s="18"/>
      <c r="F420" s="18"/>
      <c r="G420" s="17"/>
      <c r="H420" s="19"/>
      <c r="I420" s="17"/>
      <c r="J420" s="20"/>
      <c r="K420" s="20"/>
    </row>
    <row r="421" spans="1:11" s="6" customFormat="1" x14ac:dyDescent="0.3">
      <c r="A421" s="16"/>
      <c r="B421" s="17"/>
      <c r="C421" s="17"/>
      <c r="D421" s="17"/>
      <c r="E421" s="18"/>
      <c r="F421" s="18"/>
      <c r="G421" s="17"/>
      <c r="H421" s="19"/>
      <c r="I421" s="17"/>
      <c r="J421" s="20"/>
      <c r="K421" s="20"/>
    </row>
    <row r="422" spans="1:11" s="6" customFormat="1" x14ac:dyDescent="0.3">
      <c r="A422" s="16"/>
      <c r="B422" s="17"/>
      <c r="C422" s="17"/>
      <c r="D422" s="17"/>
      <c r="E422" s="18"/>
      <c r="F422" s="18"/>
      <c r="G422" s="17"/>
      <c r="H422" s="19"/>
      <c r="I422" s="17"/>
      <c r="J422" s="20"/>
      <c r="K422" s="2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E8"/>
  <sheetViews>
    <sheetView workbookViewId="0">
      <selection activeCell="F20" sqref="F20"/>
    </sheetView>
  </sheetViews>
  <sheetFormatPr defaultRowHeight="14.4" x14ac:dyDescent="0.3"/>
  <cols>
    <col min="1" max="1" width="21.5546875" bestFit="1" customWidth="1"/>
  </cols>
  <sheetData>
    <row r="1" spans="1:5" x14ac:dyDescent="0.3">
      <c r="A1" s="26" t="s">
        <v>21</v>
      </c>
      <c r="B1" s="27" t="s">
        <v>29</v>
      </c>
      <c r="C1" s="27" t="s">
        <v>30</v>
      </c>
      <c r="D1" s="27" t="s">
        <v>33</v>
      </c>
      <c r="E1" s="27" t="s">
        <v>31</v>
      </c>
    </row>
    <row r="2" spans="1:5" x14ac:dyDescent="0.3">
      <c r="A2" s="28" t="s">
        <v>19</v>
      </c>
      <c r="B2" s="29">
        <v>1469</v>
      </c>
      <c r="C2" s="29">
        <v>664</v>
      </c>
      <c r="D2" s="29">
        <v>245</v>
      </c>
      <c r="E2" s="29">
        <f>SUM(B2:D2)</f>
        <v>2378</v>
      </c>
    </row>
    <row r="3" spans="1:5" x14ac:dyDescent="0.3">
      <c r="A3" s="32" t="s">
        <v>11</v>
      </c>
      <c r="B3" s="29">
        <v>8917</v>
      </c>
      <c r="C3" s="29">
        <f>94+578+347+5325+334</f>
        <v>6678</v>
      </c>
      <c r="D3" s="29">
        <f>5+30+30+84+29</f>
        <v>178</v>
      </c>
      <c r="E3" s="29">
        <f t="shared" ref="E3:E7" si="0">SUM(B3:D3)</f>
        <v>15773</v>
      </c>
    </row>
    <row r="4" spans="1:5" x14ac:dyDescent="0.3">
      <c r="A4" s="32" t="s">
        <v>18</v>
      </c>
      <c r="B4" s="29">
        <v>970</v>
      </c>
      <c r="C4" s="29">
        <f>9+109</f>
        <v>118</v>
      </c>
      <c r="D4" s="29">
        <v>0</v>
      </c>
      <c r="E4" s="29">
        <f t="shared" si="0"/>
        <v>1088</v>
      </c>
    </row>
    <row r="5" spans="1:5" x14ac:dyDescent="0.3">
      <c r="A5" s="32" t="s">
        <v>16</v>
      </c>
      <c r="B5" s="29">
        <v>3118</v>
      </c>
      <c r="C5" s="29">
        <f>1187+1749+101+3+45+2</f>
        <v>3087</v>
      </c>
      <c r="D5" s="29">
        <f>401+102+11+1+5</f>
        <v>520</v>
      </c>
      <c r="E5" s="29">
        <f t="shared" si="0"/>
        <v>6725</v>
      </c>
    </row>
    <row r="6" spans="1:5" x14ac:dyDescent="0.3">
      <c r="A6" s="28" t="s">
        <v>15</v>
      </c>
      <c r="B6" s="29">
        <v>628</v>
      </c>
      <c r="C6" s="29">
        <f>322+45+73+159+318</f>
        <v>917</v>
      </c>
      <c r="D6" s="29">
        <f>47+27+35+63+62</f>
        <v>234</v>
      </c>
      <c r="E6" s="29">
        <f t="shared" si="0"/>
        <v>1779</v>
      </c>
    </row>
    <row r="7" spans="1:5" x14ac:dyDescent="0.3">
      <c r="A7" s="28" t="s">
        <v>17</v>
      </c>
      <c r="B7" s="29">
        <v>661</v>
      </c>
      <c r="C7" s="29">
        <v>993</v>
      </c>
      <c r="D7" s="29">
        <v>60</v>
      </c>
      <c r="E7" s="29">
        <f t="shared" si="0"/>
        <v>1714</v>
      </c>
    </row>
    <row r="8" spans="1:5" x14ac:dyDescent="0.3">
      <c r="A8" s="28" t="s">
        <v>13</v>
      </c>
      <c r="B8" s="29">
        <v>1020</v>
      </c>
      <c r="C8" s="29">
        <v>85</v>
      </c>
      <c r="D8" s="29">
        <v>4</v>
      </c>
      <c r="E8" s="29">
        <f>SUM(B8:D8)</f>
        <v>1109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2026-03-06T15:10:53Z</dcterms:modified>
</cp:coreProperties>
</file>