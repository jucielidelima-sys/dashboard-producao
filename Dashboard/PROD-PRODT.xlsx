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18E2926B-7A39-4FD4-8646-BFFFD00F4BB6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LANC.!$A$1:$K$892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G3" i="3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<sst xmlns="http://schemas.openxmlformats.org/spreadsheetml/2006/main" count="1845" uniqueCount="39">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</sst>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92" totalsRowShown="0" headerRowDxfId="13" dataDxfId="12" tableBorderDxfId="11">
  <autoFilter ref="A1:K89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100"/>
  <sheetViews>
    <sheetView showGridLines="0" tabSelected="1" zoomScale="70" zoomScaleNormal="70" zoomScaleSheetLayoutView="70" workbookViewId="0">
      <pane ySplit="1" topLeftCell="A867" activePane="bottomLeft" state="frozen"/>
      <selection pane="bottomLeft" activeCell="H890" sqref="H89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28">
        <v>46169</v>
      </c>
      <c r="B866" s="29" t="str">
        <f>UPPER(TEXT(A866,"MMMM"))</f>
        <v>MAIO</v>
      </c>
      <c r="C866" s="12" t="s">
        <v>15</v>
      </c>
      <c r="D866" s="12" t="s">
        <v>12</v>
      </c>
      <c r="E866" s="30">
        <v>75</v>
      </c>
      <c r="F866" s="30">
        <v>60</v>
      </c>
      <c r="G866" s="29">
        <v>5</v>
      </c>
      <c r="H866" s="31">
        <v>5</v>
      </c>
      <c r="I866" s="29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28">
        <v>46169</v>
      </c>
      <c r="B867" s="29" t="str">
        <f t="shared" ref="B867:B874" si="95">UPPER(TEXT(A867,"MMMM"))</f>
        <v>MAIO</v>
      </c>
      <c r="C867" s="12" t="s">
        <v>16</v>
      </c>
      <c r="D867" s="12" t="s">
        <v>12</v>
      </c>
      <c r="E867" s="30">
        <v>153</v>
      </c>
      <c r="F867" s="30">
        <v>155</v>
      </c>
      <c r="G867" s="29">
        <v>4.5</v>
      </c>
      <c r="H867" s="31">
        <v>4.5</v>
      </c>
      <c r="I867" s="29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28">
        <v>46169</v>
      </c>
      <c r="B868" s="29" t="str">
        <f t="shared" si="95"/>
        <v>MAIO</v>
      </c>
      <c r="C868" s="12" t="s">
        <v>17</v>
      </c>
      <c r="D868" s="12" t="s">
        <v>12</v>
      </c>
      <c r="E868" s="30">
        <v>160</v>
      </c>
      <c r="F868" s="30">
        <v>30</v>
      </c>
      <c r="G868" s="29">
        <v>10</v>
      </c>
      <c r="H868" s="31">
        <v>10</v>
      </c>
      <c r="I868" s="29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28">
        <v>46169</v>
      </c>
      <c r="B869" s="29" t="str">
        <f t="shared" si="95"/>
        <v>MAIO</v>
      </c>
      <c r="C869" s="12" t="s">
        <v>18</v>
      </c>
      <c r="D869" s="12" t="s">
        <v>12</v>
      </c>
      <c r="E869" s="30"/>
      <c r="F869" s="30"/>
      <c r="G869" s="29"/>
      <c r="H869" s="31"/>
      <c r="I869" s="29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28">
        <v>46169</v>
      </c>
      <c r="B870" s="29" t="str">
        <f t="shared" si="95"/>
        <v>MAIO</v>
      </c>
      <c r="C870" s="12" t="s">
        <v>19</v>
      </c>
      <c r="D870" s="12" t="s">
        <v>12</v>
      </c>
      <c r="E870" s="30"/>
      <c r="F870" s="30"/>
      <c r="G870" s="29"/>
      <c r="H870" s="31"/>
      <c r="I870" s="29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28">
        <v>46169</v>
      </c>
      <c r="B871" s="29" t="str">
        <f t="shared" si="95"/>
        <v>MAIO</v>
      </c>
      <c r="C871" s="12" t="s">
        <v>20</v>
      </c>
      <c r="D871" s="12" t="s">
        <v>12</v>
      </c>
      <c r="E871" s="30">
        <v>388</v>
      </c>
      <c r="F871" s="30">
        <v>245</v>
      </c>
      <c r="G871" s="29">
        <v>90</v>
      </c>
      <c r="H871" s="31">
        <v>90</v>
      </c>
      <c r="I871" s="29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28">
        <v>46169</v>
      </c>
      <c r="B872" s="29" t="str">
        <f t="shared" si="95"/>
        <v>MAIO</v>
      </c>
      <c r="C872" s="12" t="s">
        <v>11</v>
      </c>
      <c r="D872" s="12" t="s">
        <v>12</v>
      </c>
      <c r="E872" s="30">
        <v>620</v>
      </c>
      <c r="F872" s="30">
        <v>650</v>
      </c>
      <c r="G872" s="29">
        <v>31</v>
      </c>
      <c r="H872" s="31">
        <v>31</v>
      </c>
      <c r="I872" s="29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28">
        <v>46169</v>
      </c>
      <c r="B873" s="29" t="str">
        <f t="shared" si="95"/>
        <v>MAIO</v>
      </c>
      <c r="C873" s="12" t="s">
        <v>32</v>
      </c>
      <c r="D873" s="12" t="s">
        <v>12</v>
      </c>
      <c r="E873" s="30">
        <v>99</v>
      </c>
      <c r="F873" s="30">
        <v>92</v>
      </c>
      <c r="G873" s="29">
        <v>9</v>
      </c>
      <c r="H873" s="31">
        <v>9</v>
      </c>
      <c r="I873" s="29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28">
        <v>46169</v>
      </c>
      <c r="B874" s="29" t="str">
        <f t="shared" si="95"/>
        <v>MAIO</v>
      </c>
      <c r="C874" s="12" t="s">
        <v>14</v>
      </c>
      <c r="D874" s="12" t="s">
        <v>12</v>
      </c>
      <c r="E874" s="30">
        <v>719</v>
      </c>
      <c r="F874" s="30">
        <v>742</v>
      </c>
      <c r="G874" s="29">
        <v>88</v>
      </c>
      <c r="H874" s="31">
        <v>84</v>
      </c>
      <c r="I874" s="29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28">
        <v>46170</v>
      </c>
      <c r="B875" s="29" t="str">
        <f>UPPER(TEXT(A875,"MMMM"))</f>
        <v>MAIO</v>
      </c>
      <c r="C875" s="12" t="s">
        <v>15</v>
      </c>
      <c r="D875" s="12" t="s">
        <v>12</v>
      </c>
      <c r="E875" s="30">
        <v>67.5</v>
      </c>
      <c r="F875" s="30">
        <v>67</v>
      </c>
      <c r="G875" s="29">
        <v>4.5</v>
      </c>
      <c r="H875" s="31">
        <v>4.5</v>
      </c>
      <c r="I875" s="29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28">
        <v>46170</v>
      </c>
      <c r="B876" s="29" t="str">
        <f t="shared" ref="B876:B883" si="96">UPPER(TEXT(A876,"MMMM"))</f>
        <v>MAIO</v>
      </c>
      <c r="C876" s="12" t="s">
        <v>16</v>
      </c>
      <c r="D876" s="12" t="s">
        <v>12</v>
      </c>
      <c r="E876" s="30">
        <v>119</v>
      </c>
      <c r="F876" s="30">
        <v>50</v>
      </c>
      <c r="G876" s="29">
        <v>3.5</v>
      </c>
      <c r="H876" s="31">
        <v>3.5</v>
      </c>
      <c r="I876" s="29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28">
        <v>46170</v>
      </c>
      <c r="B877" s="29" t="str">
        <f t="shared" si="96"/>
        <v>MAIO</v>
      </c>
      <c r="C877" s="12" t="s">
        <v>17</v>
      </c>
      <c r="D877" s="12" t="s">
        <v>12</v>
      </c>
      <c r="E877" s="30">
        <v>136</v>
      </c>
      <c r="F877" s="30">
        <v>63</v>
      </c>
      <c r="G877" s="29">
        <v>8.5</v>
      </c>
      <c r="H877" s="31">
        <v>8.5</v>
      </c>
      <c r="I877" s="29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28">
        <v>46170</v>
      </c>
      <c r="B878" s="29" t="str">
        <f t="shared" si="96"/>
        <v>MAIO</v>
      </c>
      <c r="C878" s="12" t="s">
        <v>18</v>
      </c>
      <c r="D878" s="12" t="s">
        <v>12</v>
      </c>
      <c r="E878" s="30"/>
      <c r="F878" s="30"/>
      <c r="G878" s="29"/>
      <c r="H878" s="31"/>
      <c r="I878" s="29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28">
        <v>46170</v>
      </c>
      <c r="B879" s="29" t="str">
        <f t="shared" si="96"/>
        <v>MAIO</v>
      </c>
      <c r="C879" s="12" t="s">
        <v>19</v>
      </c>
      <c r="D879" s="12" t="s">
        <v>12</v>
      </c>
      <c r="E879" s="30"/>
      <c r="F879" s="30"/>
      <c r="G879" s="29"/>
      <c r="H879" s="31"/>
      <c r="I879" s="29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28">
        <v>46170</v>
      </c>
      <c r="B880" s="29" t="str">
        <f t="shared" si="96"/>
        <v>MAIO</v>
      </c>
      <c r="C880" s="12" t="s">
        <v>20</v>
      </c>
      <c r="D880" s="12" t="s">
        <v>12</v>
      </c>
      <c r="E880" s="30">
        <v>323</v>
      </c>
      <c r="F880" s="30">
        <v>180</v>
      </c>
      <c r="G880" s="29">
        <v>90</v>
      </c>
      <c r="H880" s="31">
        <v>90</v>
      </c>
      <c r="I880" s="29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28">
        <v>46170</v>
      </c>
      <c r="B881" s="29" t="str">
        <f t="shared" si="96"/>
        <v>MAIO</v>
      </c>
      <c r="C881" s="12" t="s">
        <v>11</v>
      </c>
      <c r="D881" s="12" t="s">
        <v>12</v>
      </c>
      <c r="E881" s="30">
        <v>640</v>
      </c>
      <c r="F881" s="30">
        <v>649</v>
      </c>
      <c r="G881" s="29">
        <v>32</v>
      </c>
      <c r="H881" s="31">
        <v>32</v>
      </c>
      <c r="I881" s="29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28">
        <v>46170</v>
      </c>
      <c r="B882" s="29" t="str">
        <f t="shared" si="96"/>
        <v>MAIO</v>
      </c>
      <c r="C882" s="12" t="s">
        <v>32</v>
      </c>
      <c r="D882" s="12" t="s">
        <v>12</v>
      </c>
      <c r="E882" s="30">
        <v>110</v>
      </c>
      <c r="F882" s="30">
        <v>117</v>
      </c>
      <c r="G882" s="29">
        <v>10</v>
      </c>
      <c r="H882" s="31">
        <v>10</v>
      </c>
      <c r="I882" s="29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28">
        <v>46170</v>
      </c>
      <c r="B883" s="29" t="str">
        <f t="shared" si="96"/>
        <v>MAIO</v>
      </c>
      <c r="C883" s="12" t="s">
        <v>14</v>
      </c>
      <c r="D883" s="12" t="s">
        <v>12</v>
      </c>
      <c r="E883" s="30">
        <v>750</v>
      </c>
      <c r="F883" s="30">
        <v>766</v>
      </c>
      <c r="G883" s="29">
        <v>90</v>
      </c>
      <c r="H883" s="31">
        <v>88</v>
      </c>
      <c r="I883" s="29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28">
        <v>46171</v>
      </c>
      <c r="B884" s="29" t="str">
        <f>UPPER(TEXT(A884,"MMMM"))</f>
        <v>MAIO</v>
      </c>
      <c r="C884" s="12" t="s">
        <v>15</v>
      </c>
      <c r="D884" s="12" t="s">
        <v>12</v>
      </c>
      <c r="E884" s="30">
        <v>52.5</v>
      </c>
      <c r="F884" s="30">
        <v>1</v>
      </c>
      <c r="G884" s="29">
        <v>3.5</v>
      </c>
      <c r="H884" s="31">
        <v>3.5</v>
      </c>
      <c r="I884" s="29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28">
        <v>46171</v>
      </c>
      <c r="B885" s="29" t="str">
        <f t="shared" ref="B885:B892" si="97">UPPER(TEXT(A885,"MMMM"))</f>
        <v>MAIO</v>
      </c>
      <c r="C885" s="12" t="s">
        <v>16</v>
      </c>
      <c r="D885" s="12" t="s">
        <v>12</v>
      </c>
      <c r="E885" s="30">
        <v>153</v>
      </c>
      <c r="F885" s="30">
        <v>124</v>
      </c>
      <c r="G885" s="29">
        <v>4.5</v>
      </c>
      <c r="H885" s="31">
        <v>4.5</v>
      </c>
      <c r="I885" s="29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28">
        <v>46171</v>
      </c>
      <c r="B886" s="29" t="str">
        <f t="shared" si="97"/>
        <v>MAIO</v>
      </c>
      <c r="C886" s="12" t="s">
        <v>17</v>
      </c>
      <c r="D886" s="12" t="s">
        <v>12</v>
      </c>
      <c r="E886" s="30">
        <v>136</v>
      </c>
      <c r="F886" s="30">
        <v>125</v>
      </c>
      <c r="G886" s="29">
        <v>8.5</v>
      </c>
      <c r="H886" s="31">
        <v>8.5</v>
      </c>
      <c r="I886" s="29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28">
        <v>46171</v>
      </c>
      <c r="B887" s="29" t="str">
        <f t="shared" si="97"/>
        <v>MAIO</v>
      </c>
      <c r="C887" s="12" t="s">
        <v>18</v>
      </c>
      <c r="D887" s="12" t="s">
        <v>12</v>
      </c>
      <c r="E887" s="30"/>
      <c r="F887" s="30"/>
      <c r="G887" s="29"/>
      <c r="H887" s="31"/>
      <c r="I887" s="29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28">
        <v>46171</v>
      </c>
      <c r="B888" s="29" t="str">
        <f t="shared" si="97"/>
        <v>MAIO</v>
      </c>
      <c r="C888" s="12" t="s">
        <v>19</v>
      </c>
      <c r="D888" s="12" t="s">
        <v>12</v>
      </c>
      <c r="E888" s="30"/>
      <c r="F888" s="30"/>
      <c r="G888" s="29"/>
      <c r="H888" s="31"/>
      <c r="I888" s="29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28">
        <v>46171</v>
      </c>
      <c r="B889" s="29" t="str">
        <f t="shared" si="97"/>
        <v>MAIO</v>
      </c>
      <c r="C889" s="12" t="s">
        <v>20</v>
      </c>
      <c r="D889" s="12" t="s">
        <v>12</v>
      </c>
      <c r="E889" s="30">
        <v>342</v>
      </c>
      <c r="F889" s="30">
        <v>250</v>
      </c>
      <c r="G889" s="29">
        <v>90</v>
      </c>
      <c r="H889" s="31">
        <v>90</v>
      </c>
      <c r="I889" s="29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28">
        <v>46171</v>
      </c>
      <c r="B890" s="29" t="str">
        <f t="shared" si="97"/>
        <v>MAIO</v>
      </c>
      <c r="C890" s="12" t="s">
        <v>11</v>
      </c>
      <c r="D890" s="12" t="s">
        <v>12</v>
      </c>
      <c r="E890" s="30">
        <v>500</v>
      </c>
      <c r="F890" s="30">
        <v>500</v>
      </c>
      <c r="G890" s="29">
        <v>25</v>
      </c>
      <c r="H890" s="31">
        <v>25</v>
      </c>
      <c r="I890" s="29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28">
        <v>46171</v>
      </c>
      <c r="B891" s="29" t="str">
        <f t="shared" si="97"/>
        <v>MAIO</v>
      </c>
      <c r="C891" s="12" t="s">
        <v>32</v>
      </c>
      <c r="D891" s="12" t="s">
        <v>12</v>
      </c>
      <c r="E891" s="30">
        <v>88</v>
      </c>
      <c r="F891" s="30">
        <v>97</v>
      </c>
      <c r="G891" s="29">
        <v>8</v>
      </c>
      <c r="H891" s="31">
        <v>8</v>
      </c>
      <c r="I891" s="29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28">
        <v>46171</v>
      </c>
      <c r="B892" s="29" t="str">
        <f t="shared" si="97"/>
        <v>MAIO</v>
      </c>
      <c r="C892" s="12" t="s">
        <v>14</v>
      </c>
      <c r="D892" s="12" t="s">
        <v>12</v>
      </c>
      <c r="E892" s="30">
        <v>588</v>
      </c>
      <c r="F892" s="30">
        <v>597</v>
      </c>
      <c r="G892" s="29">
        <v>80</v>
      </c>
      <c r="H892" s="31">
        <v>80</v>
      </c>
      <c r="I892" s="29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  <row r="1029" spans="1:11" x14ac:dyDescent="0.3">
      <c r="A1029" s="7"/>
      <c r="B1029" s="6"/>
      <c r="C1029" s="6"/>
      <c r="D1029" s="6"/>
      <c r="E1029" s="8"/>
      <c r="F1029" s="8"/>
      <c r="G1029" s="6"/>
      <c r="H1029" s="9"/>
      <c r="I1029" s="6"/>
      <c r="J1029" s="10"/>
      <c r="K1029" s="10"/>
    </row>
    <row r="1030" spans="1:11" x14ac:dyDescent="0.3">
      <c r="A1030" s="7"/>
      <c r="B1030" s="6"/>
      <c r="C1030" s="6"/>
      <c r="D1030" s="6"/>
      <c r="E1030" s="8"/>
      <c r="F1030" s="8"/>
      <c r="G1030" s="6"/>
      <c r="H1030" s="9"/>
      <c r="I1030" s="6"/>
      <c r="J1030" s="10"/>
      <c r="K1030" s="10"/>
    </row>
    <row r="1031" spans="1:11" x14ac:dyDescent="0.3">
      <c r="A1031" s="7"/>
      <c r="B1031" s="6"/>
      <c r="C1031" s="6"/>
      <c r="D1031" s="6"/>
      <c r="E1031" s="8"/>
      <c r="F1031" s="8"/>
      <c r="G1031" s="6"/>
      <c r="H1031" s="9"/>
      <c r="I1031" s="6"/>
      <c r="J1031" s="10"/>
      <c r="K1031" s="10"/>
    </row>
    <row r="1032" spans="1:11" x14ac:dyDescent="0.3">
      <c r="A1032" s="7"/>
      <c r="B1032" s="6"/>
      <c r="C1032" s="6"/>
      <c r="D1032" s="6"/>
      <c r="E1032" s="8"/>
      <c r="F1032" s="8"/>
      <c r="G1032" s="6"/>
      <c r="H1032" s="9"/>
      <c r="I1032" s="6"/>
      <c r="J1032" s="10"/>
      <c r="K1032" s="10"/>
    </row>
    <row r="1033" spans="1:11" x14ac:dyDescent="0.3">
      <c r="A1033" s="7"/>
      <c r="B1033" s="6"/>
      <c r="C1033" s="6"/>
      <c r="D1033" s="6"/>
      <c r="E1033" s="8"/>
      <c r="F1033" s="8"/>
      <c r="G1033" s="6"/>
      <c r="H1033" s="9"/>
      <c r="I1033" s="6"/>
      <c r="J1033" s="10"/>
      <c r="K1033" s="10"/>
    </row>
    <row r="1034" spans="1:11" x14ac:dyDescent="0.3">
      <c r="A1034" s="7"/>
      <c r="B1034" s="6"/>
      <c r="C1034" s="6"/>
      <c r="D1034" s="6"/>
      <c r="E1034" s="8"/>
      <c r="F1034" s="8"/>
      <c r="G1034" s="6"/>
      <c r="H1034" s="9"/>
      <c r="I1034" s="6"/>
      <c r="J1034" s="10"/>
      <c r="K1034" s="10"/>
    </row>
    <row r="1035" spans="1:11" x14ac:dyDescent="0.3">
      <c r="A1035" s="7"/>
      <c r="B1035" s="6"/>
      <c r="C1035" s="6"/>
      <c r="D1035" s="6"/>
      <c r="E1035" s="8"/>
      <c r="F1035" s="8"/>
      <c r="G1035" s="6"/>
      <c r="H1035" s="9"/>
      <c r="I1035" s="6"/>
      <c r="J1035" s="10"/>
      <c r="K1035" s="10"/>
    </row>
    <row r="1036" spans="1:11" x14ac:dyDescent="0.3">
      <c r="A1036" s="7"/>
      <c r="B1036" s="6"/>
      <c r="C1036" s="6"/>
      <c r="D1036" s="6"/>
      <c r="E1036" s="8"/>
      <c r="F1036" s="8"/>
      <c r="G1036" s="6"/>
      <c r="H1036" s="9"/>
      <c r="I1036" s="6"/>
      <c r="J1036" s="10"/>
      <c r="K1036" s="10"/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:F8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1119</v>
      </c>
      <c r="G2" s="24">
        <f>SUM(B2:F2)</f>
        <v>6438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7793</v>
      </c>
      <c r="G3" s="24">
        <f t="shared" ref="G3:G8" si="0">SUM(B3:F3)</f>
        <v>41795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f t="shared" si="0"/>
        <v>1795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 t="shared" si="0"/>
        <v>15146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433</v>
      </c>
      <c r="G6" s="24">
        <f t="shared" si="0"/>
        <v>3715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559</v>
      </c>
      <c r="G7" s="24">
        <f t="shared" si="0"/>
        <v>5214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522</v>
      </c>
      <c r="G8" s="24">
        <f t="shared" si="0"/>
        <v>1666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2026-06-01T15:44:06Z</dcterms:modified>
</cp:coreProperties>
</file>