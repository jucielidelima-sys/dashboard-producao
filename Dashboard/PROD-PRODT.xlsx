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0022C6C6-7D85-42A7-8924-6774F0130CD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LANC.!$A$1:$K$289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3" l="1"/>
  <c r="C5" i="3"/>
  <c r="C4" i="3"/>
  <c r="C3" i="3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D3" i="3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<sst xmlns="http://schemas.openxmlformats.org/spreadsheetml/2006/main" count="633" uniqueCount="32">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</sst>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289" totalsRowShown="0" headerRowDxfId="13" dataDxfId="12" tableBorderDxfId="11">
  <autoFilter ref="A1:K28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255" activePane="bottomLeft" state="frozen"/>
      <selection pane="bottomLeft" activeCell="H284" sqref="H284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6"/>
      <c r="B290" s="17"/>
      <c r="C290" s="17"/>
      <c r="D290" s="17"/>
      <c r="E290" s="18"/>
      <c r="F290" s="18"/>
      <c r="G290" s="17"/>
      <c r="H290" s="19"/>
      <c r="I290" s="17"/>
      <c r="J290" s="20"/>
      <c r="K290" s="20"/>
    </row>
    <row r="291" spans="1:11" s="6" customFormat="1" x14ac:dyDescent="0.3">
      <c r="A291" s="16"/>
      <c r="B291" s="17"/>
      <c r="C291" s="17"/>
      <c r="D291" s="17"/>
      <c r="E291" s="18"/>
      <c r="F291" s="18"/>
      <c r="G291" s="17"/>
      <c r="H291" s="19"/>
      <c r="I291" s="17"/>
      <c r="J291" s="20"/>
      <c r="K291" s="20"/>
    </row>
    <row r="292" spans="1:11" s="6" customFormat="1" x14ac:dyDescent="0.3">
      <c r="A292" s="16"/>
      <c r="B292" s="17"/>
      <c r="C292" s="17"/>
      <c r="D292" s="17"/>
      <c r="E292" s="18"/>
      <c r="F292" s="18"/>
      <c r="G292" s="17"/>
      <c r="H292" s="19"/>
      <c r="I292" s="17"/>
      <c r="J292" s="20"/>
      <c r="K292" s="20"/>
    </row>
    <row r="293" spans="1:11" s="6" customFormat="1" x14ac:dyDescent="0.3">
      <c r="A293" s="16"/>
      <c r="B293" s="17"/>
      <c r="C293" s="17"/>
      <c r="D293" s="17"/>
      <c r="E293" s="18"/>
      <c r="F293" s="18"/>
      <c r="G293" s="17"/>
      <c r="H293" s="19"/>
      <c r="I293" s="17"/>
      <c r="J293" s="20"/>
      <c r="K293" s="20"/>
    </row>
    <row r="294" spans="1:11" s="6" customFormat="1" x14ac:dyDescent="0.3">
      <c r="A294" s="16"/>
      <c r="B294" s="17"/>
      <c r="C294" s="17"/>
      <c r="D294" s="17"/>
      <c r="E294" s="18"/>
      <c r="F294" s="18"/>
      <c r="G294" s="17"/>
      <c r="H294" s="19"/>
      <c r="I294" s="17"/>
      <c r="J294" s="20"/>
      <c r="K294" s="20"/>
    </row>
    <row r="295" spans="1:11" s="6" customFormat="1" x14ac:dyDescent="0.3">
      <c r="A295" s="16"/>
      <c r="B295" s="17"/>
      <c r="C295" s="17"/>
      <c r="D295" s="17"/>
      <c r="E295" s="18"/>
      <c r="F295" s="18"/>
      <c r="G295" s="17"/>
      <c r="H295" s="19"/>
      <c r="I295" s="17"/>
      <c r="J295" s="20"/>
      <c r="K295" s="20"/>
    </row>
    <row r="296" spans="1:11" s="6" customFormat="1" x14ac:dyDescent="0.3">
      <c r="A296" s="16"/>
      <c r="B296" s="17"/>
      <c r="C296" s="17"/>
      <c r="D296" s="17"/>
      <c r="E296" s="18"/>
      <c r="F296" s="18"/>
      <c r="G296" s="17"/>
      <c r="H296" s="19"/>
      <c r="I296" s="17"/>
      <c r="J296" s="20"/>
      <c r="K296" s="20"/>
    </row>
    <row r="297" spans="1:11" s="6" customFormat="1" x14ac:dyDescent="0.3">
      <c r="A297" s="16"/>
      <c r="B297" s="17"/>
      <c r="C297" s="17"/>
      <c r="D297" s="17"/>
      <c r="E297" s="18"/>
      <c r="F297" s="18"/>
      <c r="G297" s="17"/>
      <c r="H297" s="19"/>
      <c r="I297" s="17"/>
      <c r="J297" s="20"/>
      <c r="K297" s="20"/>
    </row>
    <row r="298" spans="1:11" s="6" customFormat="1" x14ac:dyDescent="0.3">
      <c r="A298" s="16"/>
      <c r="B298" s="17"/>
      <c r="C298" s="17"/>
      <c r="D298" s="17"/>
      <c r="E298" s="18"/>
      <c r="F298" s="18"/>
      <c r="G298" s="17"/>
      <c r="H298" s="19"/>
      <c r="I298" s="17"/>
      <c r="J298" s="20"/>
      <c r="K298" s="20"/>
    </row>
    <row r="299" spans="1:11" s="6" customFormat="1" x14ac:dyDescent="0.3">
      <c r="A299" s="16"/>
      <c r="B299" s="17"/>
      <c r="C299" s="17"/>
      <c r="D299" s="17"/>
      <c r="E299" s="18"/>
      <c r="F299" s="18"/>
      <c r="G299" s="17"/>
      <c r="H299" s="19"/>
      <c r="I299" s="17"/>
      <c r="J299" s="20"/>
      <c r="K299" s="20"/>
    </row>
    <row r="300" spans="1:11" s="6" customFormat="1" x14ac:dyDescent="0.3">
      <c r="A300" s="16"/>
      <c r="B300" s="17"/>
      <c r="C300" s="17"/>
      <c r="D300" s="17"/>
      <c r="E300" s="18"/>
      <c r="F300" s="18"/>
      <c r="G300" s="17"/>
      <c r="H300" s="19"/>
      <c r="I300" s="17"/>
      <c r="J300" s="20"/>
      <c r="K300" s="20"/>
    </row>
    <row r="301" spans="1:11" s="6" customFormat="1" x14ac:dyDescent="0.3">
      <c r="A301" s="16"/>
      <c r="B301" s="17"/>
      <c r="C301" s="17"/>
      <c r="D301" s="17"/>
      <c r="E301" s="18"/>
      <c r="F301" s="18"/>
      <c r="G301" s="17"/>
      <c r="H301" s="19"/>
      <c r="I301" s="17"/>
      <c r="J301" s="20"/>
      <c r="K301" s="20"/>
    </row>
    <row r="302" spans="1:11" s="6" customFormat="1" x14ac:dyDescent="0.3">
      <c r="A302" s="16"/>
      <c r="B302" s="17"/>
      <c r="C302" s="17"/>
      <c r="D302" s="17"/>
      <c r="E302" s="18"/>
      <c r="F302" s="18"/>
      <c r="G302" s="17"/>
      <c r="H302" s="19"/>
      <c r="I302" s="17"/>
      <c r="J302" s="20"/>
      <c r="K302" s="20"/>
    </row>
    <row r="303" spans="1:11" s="6" customFormat="1" x14ac:dyDescent="0.3">
      <c r="A303" s="16"/>
      <c r="B303" s="17"/>
      <c r="C303" s="17"/>
      <c r="D303" s="17"/>
      <c r="E303" s="18"/>
      <c r="F303" s="18"/>
      <c r="G303" s="17"/>
      <c r="H303" s="19"/>
      <c r="I303" s="17"/>
      <c r="J303" s="20"/>
      <c r="K303" s="20"/>
    </row>
    <row r="304" spans="1:11" s="6" customFormat="1" x14ac:dyDescent="0.3">
      <c r="A304" s="16"/>
      <c r="B304" s="17"/>
      <c r="C304" s="17"/>
      <c r="D304" s="17"/>
      <c r="E304" s="18"/>
      <c r="F304" s="18"/>
      <c r="G304" s="17"/>
      <c r="H304" s="19"/>
      <c r="I304" s="17"/>
      <c r="J304" s="20"/>
      <c r="K304" s="20"/>
    </row>
    <row r="305" spans="1:11" s="6" customFormat="1" x14ac:dyDescent="0.3">
      <c r="A305" s="16"/>
      <c r="B305" s="17"/>
      <c r="C305" s="17"/>
      <c r="D305" s="17"/>
      <c r="E305" s="18"/>
      <c r="F305" s="18"/>
      <c r="G305" s="17"/>
      <c r="H305" s="19"/>
      <c r="I305" s="17"/>
      <c r="J305" s="20"/>
      <c r="K305" s="20"/>
    </row>
    <row r="306" spans="1:11" s="6" customFormat="1" x14ac:dyDescent="0.3">
      <c r="A306" s="16"/>
      <c r="B306" s="17"/>
      <c r="C306" s="17"/>
      <c r="D306" s="17"/>
      <c r="E306" s="18"/>
      <c r="F306" s="18"/>
      <c r="G306" s="17"/>
      <c r="H306" s="19"/>
      <c r="I306" s="17"/>
      <c r="J306" s="20"/>
      <c r="K306" s="20"/>
    </row>
    <row r="307" spans="1:11" s="6" customFormat="1" x14ac:dyDescent="0.3">
      <c r="A307" s="16"/>
      <c r="B307" s="17"/>
      <c r="C307" s="17"/>
      <c r="D307" s="17"/>
      <c r="E307" s="18"/>
      <c r="F307" s="18"/>
      <c r="G307" s="17"/>
      <c r="H307" s="19"/>
      <c r="I307" s="17"/>
      <c r="J307" s="20"/>
      <c r="K307" s="20"/>
    </row>
    <row r="308" spans="1:11" s="6" customFormat="1" x14ac:dyDescent="0.3">
      <c r="A308" s="16"/>
      <c r="B308" s="17"/>
      <c r="C308" s="17"/>
      <c r="D308" s="17"/>
      <c r="E308" s="18"/>
      <c r="F308" s="18"/>
      <c r="G308" s="17"/>
      <c r="H308" s="19"/>
      <c r="I308" s="17"/>
      <c r="J308" s="20"/>
      <c r="K308" s="20"/>
    </row>
    <row r="309" spans="1:11" s="6" customFormat="1" x14ac:dyDescent="0.3">
      <c r="A309" s="16"/>
      <c r="B309" s="17"/>
      <c r="C309" s="17"/>
      <c r="D309" s="17"/>
      <c r="E309" s="18"/>
      <c r="F309" s="18"/>
      <c r="G309" s="17"/>
      <c r="H309" s="19"/>
      <c r="I309" s="17"/>
      <c r="J309" s="20"/>
      <c r="K309" s="20"/>
    </row>
    <row r="310" spans="1:11" s="6" customFormat="1" x14ac:dyDescent="0.3">
      <c r="A310" s="16"/>
      <c r="B310" s="17"/>
      <c r="C310" s="17"/>
      <c r="D310" s="17"/>
      <c r="E310" s="18"/>
      <c r="F310" s="18"/>
      <c r="G310" s="17"/>
      <c r="H310" s="19"/>
      <c r="I310" s="17"/>
      <c r="J310" s="20"/>
      <c r="K310" s="20"/>
    </row>
    <row r="311" spans="1:11" s="6" customFormat="1" x14ac:dyDescent="0.3">
      <c r="A311" s="16"/>
      <c r="B311" s="17"/>
      <c r="C311" s="17"/>
      <c r="D311" s="17"/>
      <c r="E311" s="18"/>
      <c r="F311" s="18"/>
      <c r="G311" s="17"/>
      <c r="H311" s="19"/>
      <c r="I311" s="17"/>
      <c r="J311" s="20"/>
      <c r="K311" s="20"/>
    </row>
    <row r="312" spans="1:11" s="6" customFormat="1" x14ac:dyDescent="0.3">
      <c r="A312" s="16"/>
      <c r="B312" s="17"/>
      <c r="C312" s="17"/>
      <c r="D312" s="17"/>
      <c r="E312" s="18"/>
      <c r="F312" s="18"/>
      <c r="G312" s="17"/>
      <c r="H312" s="19"/>
      <c r="I312" s="17"/>
      <c r="J312" s="20"/>
      <c r="K312" s="20"/>
    </row>
    <row r="313" spans="1:11" s="6" customFormat="1" x14ac:dyDescent="0.3">
      <c r="A313" s="16"/>
      <c r="B313" s="17"/>
      <c r="C313" s="17"/>
      <c r="D313" s="17"/>
      <c r="E313" s="18"/>
      <c r="F313" s="18"/>
      <c r="G313" s="17"/>
      <c r="H313" s="19"/>
      <c r="I313" s="17"/>
      <c r="J313" s="20"/>
      <c r="K313" s="20"/>
    </row>
    <row r="314" spans="1:11" s="6" customFormat="1" x14ac:dyDescent="0.3">
      <c r="A314" s="16"/>
      <c r="B314" s="17"/>
      <c r="C314" s="17"/>
      <c r="D314" s="17"/>
      <c r="E314" s="18"/>
      <c r="F314" s="18"/>
      <c r="G314" s="17"/>
      <c r="H314" s="19"/>
      <c r="I314" s="17"/>
      <c r="J314" s="20"/>
      <c r="K314" s="20"/>
    </row>
    <row r="315" spans="1:11" s="6" customFormat="1" x14ac:dyDescent="0.3">
      <c r="A315" s="16"/>
      <c r="B315" s="17"/>
      <c r="C315" s="17"/>
      <c r="D315" s="17"/>
      <c r="E315" s="18"/>
      <c r="F315" s="18"/>
      <c r="G315" s="17"/>
      <c r="H315" s="19"/>
      <c r="I315" s="17"/>
      <c r="J315" s="20"/>
      <c r="K315" s="20"/>
    </row>
    <row r="316" spans="1:11" s="6" customFormat="1" x14ac:dyDescent="0.3">
      <c r="A316" s="16"/>
      <c r="B316" s="17"/>
      <c r="C316" s="17"/>
      <c r="D316" s="17"/>
      <c r="E316" s="18"/>
      <c r="F316" s="18"/>
      <c r="G316" s="17"/>
      <c r="H316" s="19"/>
      <c r="I316" s="17"/>
      <c r="J316" s="20"/>
      <c r="K316" s="20"/>
    </row>
    <row r="317" spans="1:11" s="6" customFormat="1" x14ac:dyDescent="0.3">
      <c r="A317" s="16"/>
      <c r="B317" s="17"/>
      <c r="C317" s="17"/>
      <c r="D317" s="17"/>
      <c r="E317" s="18"/>
      <c r="F317" s="18"/>
      <c r="G317" s="17"/>
      <c r="H317" s="19"/>
      <c r="I317" s="17"/>
      <c r="J317" s="20"/>
      <c r="K317" s="20"/>
    </row>
    <row r="318" spans="1:11" s="6" customFormat="1" x14ac:dyDescent="0.3">
      <c r="A318" s="16"/>
      <c r="B318" s="17"/>
      <c r="C318" s="17"/>
      <c r="D318" s="17"/>
      <c r="E318" s="18"/>
      <c r="F318" s="18"/>
      <c r="G318" s="17"/>
      <c r="H318" s="19"/>
      <c r="I318" s="17"/>
      <c r="J318" s="20"/>
      <c r="K318" s="20"/>
    </row>
    <row r="319" spans="1:11" s="6" customFormat="1" x14ac:dyDescent="0.3">
      <c r="A319" s="16"/>
      <c r="B319" s="17"/>
      <c r="C319" s="17"/>
      <c r="D319" s="17"/>
      <c r="E319" s="18"/>
      <c r="F319" s="18"/>
      <c r="G319" s="17"/>
      <c r="H319" s="19"/>
      <c r="I319" s="17"/>
      <c r="J319" s="20"/>
      <c r="K319" s="20"/>
    </row>
    <row r="320" spans="1:11" s="6" customFormat="1" x14ac:dyDescent="0.3">
      <c r="A320" s="16"/>
      <c r="B320" s="17"/>
      <c r="C320" s="17"/>
      <c r="D320" s="17"/>
      <c r="E320" s="18"/>
      <c r="F320" s="18"/>
      <c r="G320" s="17"/>
      <c r="H320" s="19"/>
      <c r="I320" s="17"/>
      <c r="J320" s="20"/>
      <c r="K320" s="20"/>
    </row>
    <row r="321" spans="1:11" s="6" customFormat="1" x14ac:dyDescent="0.3">
      <c r="A321" s="16"/>
      <c r="B321" s="17"/>
      <c r="C321" s="17"/>
      <c r="D321" s="17"/>
      <c r="E321" s="18"/>
      <c r="F321" s="18"/>
      <c r="G321" s="17"/>
      <c r="H321" s="19"/>
      <c r="I321" s="17"/>
      <c r="J321" s="20"/>
      <c r="K321" s="20"/>
    </row>
    <row r="322" spans="1:11" s="6" customFormat="1" x14ac:dyDescent="0.3">
      <c r="A322" s="16"/>
      <c r="B322" s="17"/>
      <c r="C322" s="17"/>
      <c r="D322" s="17"/>
      <c r="E322" s="18"/>
      <c r="F322" s="18"/>
      <c r="G322" s="17"/>
      <c r="H322" s="19"/>
      <c r="I322" s="17"/>
      <c r="J322" s="20"/>
      <c r="K322" s="20"/>
    </row>
    <row r="323" spans="1:11" s="6" customFormat="1" x14ac:dyDescent="0.3">
      <c r="A323" s="16"/>
      <c r="B323" s="17"/>
      <c r="C323" s="17"/>
      <c r="D323" s="17"/>
      <c r="E323" s="18"/>
      <c r="F323" s="18"/>
      <c r="G323" s="17"/>
      <c r="H323" s="19"/>
      <c r="I323" s="17"/>
      <c r="J323" s="20"/>
      <c r="K323" s="20"/>
    </row>
    <row r="324" spans="1:11" s="6" customFormat="1" x14ac:dyDescent="0.3">
      <c r="A324" s="16"/>
      <c r="B324" s="17"/>
      <c r="C324" s="17"/>
      <c r="D324" s="17"/>
      <c r="E324" s="18"/>
      <c r="F324" s="18"/>
      <c r="G324" s="17"/>
      <c r="H324" s="19"/>
      <c r="I324" s="17"/>
      <c r="J324" s="20"/>
      <c r="K324" s="20"/>
    </row>
    <row r="325" spans="1:11" s="6" customFormat="1" x14ac:dyDescent="0.3">
      <c r="A325" s="16"/>
      <c r="B325" s="17"/>
      <c r="C325" s="17"/>
      <c r="D325" s="17"/>
      <c r="E325" s="18"/>
      <c r="F325" s="18"/>
      <c r="G325" s="17"/>
      <c r="H325" s="19"/>
      <c r="I325" s="17"/>
      <c r="J325" s="20"/>
      <c r="K325" s="20"/>
    </row>
    <row r="326" spans="1:11" s="6" customFormat="1" x14ac:dyDescent="0.3">
      <c r="A326" s="16"/>
      <c r="B326" s="17"/>
      <c r="C326" s="17"/>
      <c r="D326" s="17"/>
      <c r="E326" s="18"/>
      <c r="F326" s="18"/>
      <c r="G326" s="17"/>
      <c r="H326" s="19"/>
      <c r="I326" s="17"/>
      <c r="J326" s="20"/>
      <c r="K326" s="20"/>
    </row>
    <row r="327" spans="1:11" s="6" customFormat="1" x14ac:dyDescent="0.3">
      <c r="A327" s="16"/>
      <c r="B327" s="17"/>
      <c r="C327" s="17"/>
      <c r="D327" s="17"/>
      <c r="E327" s="18"/>
      <c r="F327" s="18"/>
      <c r="G327" s="17"/>
      <c r="H327" s="19"/>
      <c r="I327" s="17"/>
      <c r="J327" s="20"/>
      <c r="K327" s="2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I14" sqref="I14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225</v>
      </c>
      <c r="D2" s="29">
        <f>SUM(B2:C2)</f>
        <v>1694</v>
      </c>
    </row>
    <row r="3" spans="1:4" x14ac:dyDescent="0.3">
      <c r="A3" s="32" t="s">
        <v>11</v>
      </c>
      <c r="B3" s="29">
        <v>8917</v>
      </c>
      <c r="C3" s="29">
        <f>224+59+2460+182</f>
        <v>2925</v>
      </c>
      <c r="D3" s="29">
        <f t="shared" ref="D3:D8" si="0">SUM(B3:C3)</f>
        <v>11842</v>
      </c>
    </row>
    <row r="4" spans="1:4" x14ac:dyDescent="0.3">
      <c r="A4" s="32" t="s">
        <v>18</v>
      </c>
      <c r="B4" s="29">
        <v>970</v>
      </c>
      <c r="C4" s="29">
        <f>3+85+70</f>
        <v>158</v>
      </c>
      <c r="D4" s="29">
        <f t="shared" si="0"/>
        <v>1128</v>
      </c>
    </row>
    <row r="5" spans="1:4" x14ac:dyDescent="0.3">
      <c r="A5" s="32" t="s">
        <v>16</v>
      </c>
      <c r="B5" s="29">
        <v>3118</v>
      </c>
      <c r="C5" s="29">
        <f>30+520+604+67+1+30</f>
        <v>1252</v>
      </c>
      <c r="D5" s="29">
        <f t="shared" si="0"/>
        <v>4370</v>
      </c>
    </row>
    <row r="6" spans="1:4" x14ac:dyDescent="0.3">
      <c r="A6" s="28" t="s">
        <v>15</v>
      </c>
      <c r="B6" s="29">
        <v>628</v>
      </c>
      <c r="C6" s="29">
        <f>10+28+93+156+2+96</f>
        <v>385</v>
      </c>
      <c r="D6" s="29">
        <f t="shared" si="0"/>
        <v>1013</v>
      </c>
    </row>
    <row r="7" spans="1:4" x14ac:dyDescent="0.3">
      <c r="A7" s="28" t="s">
        <v>17</v>
      </c>
      <c r="B7" s="29">
        <v>661</v>
      </c>
      <c r="C7" s="29">
        <v>159</v>
      </c>
      <c r="D7" s="29">
        <f t="shared" si="0"/>
        <v>820</v>
      </c>
    </row>
    <row r="8" spans="1:4" x14ac:dyDescent="0.3">
      <c r="A8" s="28" t="s">
        <v>13</v>
      </c>
      <c r="B8" s="29">
        <v>1020</v>
      </c>
      <c r="C8" s="29">
        <v>20</v>
      </c>
      <c r="D8" s="29">
        <f t="shared" si="0"/>
        <v>1040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2026-02-18T14:11:09Z</dcterms:modified>
</cp:coreProperties>
</file>