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B482F75C-BAC9-430E-9F8C-D2AAC207B45F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LANC.!$A$1:$K$793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86" i="1" l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F5" i="3"/>
  <c r="F6" i="3"/>
  <c r="F4" i="3"/>
  <c r="F3" i="3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<sst xmlns="http://schemas.openxmlformats.org/spreadsheetml/2006/main" count="1644" uniqueCount="36">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</sst>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793" totalsRowShown="0" headerRowDxfId="13" dataDxfId="12" tableBorderDxfId="11">
  <autoFilter ref="A1:K79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12"/>
  <sheetViews>
    <sheetView showGridLines="0" tabSelected="1" zoomScale="70" zoomScaleNormal="70" zoomScaleSheetLayoutView="70" workbookViewId="0">
      <pane ySplit="1" topLeftCell="A762" activePane="bottomLeft" state="frozen"/>
      <selection pane="bottomLeft" activeCell="Q785" sqref="Q785:R78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5</v>
      </c>
      <c r="H747" s="14">
        <v>5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13.2</v>
      </c>
      <c r="K747" s="15">
        <f>IFERROR(IF(T_PROD[[#This Row],[PRODUÇÃO]]&gt;0,(T_PROD[[#This Row],[PRODUÇÃO]]/T_PROD[[#This Row],[EFETIVO]]),""),"")</f>
        <v>16.2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28">
        <v>46154</v>
      </c>
      <c r="B767" s="29" t="str">
        <f>UPPER(TEXT(A767,"MMMM"))</f>
        <v>MAIO</v>
      </c>
      <c r="C767" s="12" t="s">
        <v>15</v>
      </c>
      <c r="D767" s="12" t="s">
        <v>12</v>
      </c>
      <c r="E767" s="30">
        <v>52.5</v>
      </c>
      <c r="F767" s="30">
        <v>32</v>
      </c>
      <c r="G767" s="29">
        <v>3.5</v>
      </c>
      <c r="H767" s="31">
        <v>3.5</v>
      </c>
      <c r="I767" s="29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28">
        <v>46154</v>
      </c>
      <c r="B768" s="29" t="str">
        <f t="shared" ref="B768:B775" si="84">UPPER(TEXT(A768,"MMMM"))</f>
        <v>MAIO</v>
      </c>
      <c r="C768" s="12" t="s">
        <v>16</v>
      </c>
      <c r="D768" s="12" t="s">
        <v>12</v>
      </c>
      <c r="E768" s="30">
        <v>136</v>
      </c>
      <c r="F768" s="30">
        <v>139</v>
      </c>
      <c r="G768" s="29">
        <v>4</v>
      </c>
      <c r="H768" s="31">
        <v>4</v>
      </c>
      <c r="I768" s="29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28">
        <v>46154</v>
      </c>
      <c r="B769" s="29" t="str">
        <f t="shared" si="84"/>
        <v>MAIO</v>
      </c>
      <c r="C769" s="12" t="s">
        <v>17</v>
      </c>
      <c r="D769" s="12" t="s">
        <v>12</v>
      </c>
      <c r="E769" s="30">
        <v>144</v>
      </c>
      <c r="F769" s="30">
        <v>132</v>
      </c>
      <c r="G769" s="29">
        <v>9</v>
      </c>
      <c r="H769" s="31">
        <v>9</v>
      </c>
      <c r="I769" s="29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28">
        <v>46154</v>
      </c>
      <c r="B770" s="29" t="str">
        <f t="shared" si="84"/>
        <v>MAIO</v>
      </c>
      <c r="C770" s="12" t="s">
        <v>18</v>
      </c>
      <c r="D770" s="12" t="s">
        <v>12</v>
      </c>
      <c r="E770" s="30"/>
      <c r="F770" s="30"/>
      <c r="G770" s="29"/>
      <c r="H770" s="31"/>
      <c r="I770" s="29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28">
        <v>46154</v>
      </c>
      <c r="B771" s="29" t="str">
        <f t="shared" si="84"/>
        <v>MAIO</v>
      </c>
      <c r="C771" s="12" t="s">
        <v>19</v>
      </c>
      <c r="D771" s="12" t="s">
        <v>12</v>
      </c>
      <c r="E771" s="30"/>
      <c r="F771" s="30"/>
      <c r="G771" s="29"/>
      <c r="H771" s="31"/>
      <c r="I771" s="29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28">
        <v>46154</v>
      </c>
      <c r="B772" s="29" t="str">
        <f t="shared" si="84"/>
        <v>MAIO</v>
      </c>
      <c r="C772" s="12" t="s">
        <v>20</v>
      </c>
      <c r="D772" s="12" t="s">
        <v>12</v>
      </c>
      <c r="E772" s="30">
        <v>333</v>
      </c>
      <c r="F772" s="30">
        <v>303</v>
      </c>
      <c r="G772" s="29">
        <v>90</v>
      </c>
      <c r="H772" s="31">
        <v>90</v>
      </c>
      <c r="I772" s="29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28">
        <v>46154</v>
      </c>
      <c r="B773" s="29" t="str">
        <f t="shared" si="84"/>
        <v>MAIO</v>
      </c>
      <c r="C773" s="12" t="s">
        <v>11</v>
      </c>
      <c r="D773" s="12" t="s">
        <v>12</v>
      </c>
      <c r="E773" s="30">
        <v>520</v>
      </c>
      <c r="F773" s="30">
        <v>540</v>
      </c>
      <c r="G773" s="29">
        <v>26</v>
      </c>
      <c r="H773" s="31">
        <v>26</v>
      </c>
      <c r="I773" s="29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28">
        <v>46154</v>
      </c>
      <c r="B774" s="29" t="str">
        <f t="shared" si="84"/>
        <v>MAIO</v>
      </c>
      <c r="C774" s="12" t="s">
        <v>32</v>
      </c>
      <c r="D774" s="12" t="s">
        <v>12</v>
      </c>
      <c r="E774" s="30">
        <v>77</v>
      </c>
      <c r="F774" s="30">
        <v>80</v>
      </c>
      <c r="G774" s="29">
        <v>7</v>
      </c>
      <c r="H774" s="31">
        <v>7</v>
      </c>
      <c r="I774" s="29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28">
        <v>46154</v>
      </c>
      <c r="B775" s="29" t="str">
        <f t="shared" si="84"/>
        <v>MAIO</v>
      </c>
      <c r="C775" s="12" t="s">
        <v>14</v>
      </c>
      <c r="D775" s="12" t="s">
        <v>12</v>
      </c>
      <c r="E775" s="30">
        <v>597</v>
      </c>
      <c r="F775" s="30">
        <v>620</v>
      </c>
      <c r="G775" s="29">
        <v>80</v>
      </c>
      <c r="H775" s="31">
        <v>79</v>
      </c>
      <c r="I775" s="29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28">
        <v>46155</v>
      </c>
      <c r="B776" s="29" t="str">
        <f>UPPER(TEXT(A776,"MMMM"))</f>
        <v>MAIO</v>
      </c>
      <c r="C776" s="12" t="s">
        <v>15</v>
      </c>
      <c r="D776" s="12" t="s">
        <v>12</v>
      </c>
      <c r="E776" s="30">
        <v>67.5</v>
      </c>
      <c r="F776" s="30">
        <v>37</v>
      </c>
      <c r="G776" s="29">
        <v>4.5</v>
      </c>
      <c r="H776" s="31">
        <v>4.5</v>
      </c>
      <c r="I776" s="29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28">
        <v>46155</v>
      </c>
      <c r="B777" s="29" t="str">
        <f t="shared" ref="B777:B784" si="85">UPPER(TEXT(A777,"MMMM"))</f>
        <v>MAIO</v>
      </c>
      <c r="C777" s="12" t="s">
        <v>16</v>
      </c>
      <c r="D777" s="12" t="s">
        <v>12</v>
      </c>
      <c r="E777" s="30">
        <v>170</v>
      </c>
      <c r="F777" s="30">
        <v>100</v>
      </c>
      <c r="G777" s="29">
        <v>5</v>
      </c>
      <c r="H777" s="31">
        <v>5</v>
      </c>
      <c r="I777" s="29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28">
        <v>46155</v>
      </c>
      <c r="B778" s="29" t="str">
        <f t="shared" si="85"/>
        <v>MAIO</v>
      </c>
      <c r="C778" s="12" t="s">
        <v>17</v>
      </c>
      <c r="D778" s="12" t="s">
        <v>12</v>
      </c>
      <c r="E778" s="30">
        <v>160</v>
      </c>
      <c r="F778" s="30">
        <v>144</v>
      </c>
      <c r="G778" s="29">
        <v>10</v>
      </c>
      <c r="H778" s="31">
        <v>10</v>
      </c>
      <c r="I778" s="29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28">
        <v>46155</v>
      </c>
      <c r="B779" s="29" t="str">
        <f t="shared" si="85"/>
        <v>MAIO</v>
      </c>
      <c r="C779" s="12" t="s">
        <v>18</v>
      </c>
      <c r="D779" s="12" t="s">
        <v>12</v>
      </c>
      <c r="E779" s="30"/>
      <c r="F779" s="30"/>
      <c r="G779" s="29"/>
      <c r="H779" s="31"/>
      <c r="I779" s="29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28">
        <v>46155</v>
      </c>
      <c r="B780" s="29" t="str">
        <f t="shared" si="85"/>
        <v>MAIO</v>
      </c>
      <c r="C780" s="12" t="s">
        <v>19</v>
      </c>
      <c r="D780" s="12" t="s">
        <v>12</v>
      </c>
      <c r="E780" s="30"/>
      <c r="F780" s="30"/>
      <c r="G780" s="29"/>
      <c r="H780" s="31"/>
      <c r="I780" s="29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28">
        <v>46155</v>
      </c>
      <c r="B781" s="29" t="str">
        <f t="shared" si="85"/>
        <v>MAIO</v>
      </c>
      <c r="C781" s="12" t="s">
        <v>20</v>
      </c>
      <c r="D781" s="12" t="s">
        <v>12</v>
      </c>
      <c r="E781" s="30">
        <v>398</v>
      </c>
      <c r="F781" s="30">
        <v>281</v>
      </c>
      <c r="G781" s="29">
        <v>90</v>
      </c>
      <c r="H781" s="31">
        <v>90</v>
      </c>
      <c r="I781" s="29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28">
        <v>46155</v>
      </c>
      <c r="B782" s="29" t="str">
        <f t="shared" si="85"/>
        <v>MAIO</v>
      </c>
      <c r="C782" s="12" t="s">
        <v>11</v>
      </c>
      <c r="D782" s="12" t="s">
        <v>12</v>
      </c>
      <c r="E782" s="30">
        <v>560</v>
      </c>
      <c r="F782" s="30">
        <v>600</v>
      </c>
      <c r="G782" s="29">
        <v>28</v>
      </c>
      <c r="H782" s="31">
        <v>28</v>
      </c>
      <c r="I782" s="29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28">
        <v>46155</v>
      </c>
      <c r="B783" s="29" t="str">
        <f t="shared" si="85"/>
        <v>MAIO</v>
      </c>
      <c r="C783" s="12" t="s">
        <v>32</v>
      </c>
      <c r="D783" s="12" t="s">
        <v>12</v>
      </c>
      <c r="E783" s="30">
        <v>66</v>
      </c>
      <c r="F783" s="30">
        <v>68</v>
      </c>
      <c r="G783" s="29">
        <v>6</v>
      </c>
      <c r="H783" s="31">
        <v>6</v>
      </c>
      <c r="I783" s="29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28">
        <v>46155</v>
      </c>
      <c r="B784" s="29" t="str">
        <f t="shared" si="85"/>
        <v>MAIO</v>
      </c>
      <c r="C784" s="12" t="s">
        <v>14</v>
      </c>
      <c r="D784" s="12" t="s">
        <v>12</v>
      </c>
      <c r="E784" s="30">
        <v>626</v>
      </c>
      <c r="F784" s="30">
        <v>668</v>
      </c>
      <c r="G784" s="29">
        <v>80</v>
      </c>
      <c r="H784" s="31">
        <v>80</v>
      </c>
      <c r="I784" s="29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28">
        <v>46156</v>
      </c>
      <c r="B785" s="29" t="str">
        <f>UPPER(TEXT(A785,"MMMM"))</f>
        <v>MAIO</v>
      </c>
      <c r="C785" s="12" t="s">
        <v>15</v>
      </c>
      <c r="D785" s="12" t="s">
        <v>12</v>
      </c>
      <c r="E785" s="30">
        <v>60</v>
      </c>
      <c r="F785" s="30">
        <v>45</v>
      </c>
      <c r="G785" s="29">
        <v>4</v>
      </c>
      <c r="H785" s="31">
        <v>4</v>
      </c>
      <c r="I785" s="29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28">
        <v>46156</v>
      </c>
      <c r="B786" s="29" t="str">
        <f t="shared" ref="B786:B793" si="86">UPPER(TEXT(A786,"MMMM"))</f>
        <v>MAIO</v>
      </c>
      <c r="C786" s="12" t="s">
        <v>16</v>
      </c>
      <c r="D786" s="12" t="s">
        <v>12</v>
      </c>
      <c r="E786" s="30">
        <v>136</v>
      </c>
      <c r="F786" s="30">
        <v>107</v>
      </c>
      <c r="G786" s="29">
        <v>4</v>
      </c>
      <c r="H786" s="31">
        <v>4</v>
      </c>
      <c r="I786" s="29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28">
        <v>46156</v>
      </c>
      <c r="B787" s="29" t="str">
        <f t="shared" si="86"/>
        <v>MAIO</v>
      </c>
      <c r="C787" s="12" t="s">
        <v>17</v>
      </c>
      <c r="D787" s="12" t="s">
        <v>12</v>
      </c>
      <c r="E787" s="30">
        <v>128</v>
      </c>
      <c r="F787" s="30">
        <v>148</v>
      </c>
      <c r="G787" s="29">
        <v>8</v>
      </c>
      <c r="H787" s="31">
        <v>8</v>
      </c>
      <c r="I787" s="29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28">
        <v>46156</v>
      </c>
      <c r="B788" s="29" t="str">
        <f t="shared" si="86"/>
        <v>MAIO</v>
      </c>
      <c r="C788" s="12" t="s">
        <v>18</v>
      </c>
      <c r="D788" s="12" t="s">
        <v>12</v>
      </c>
      <c r="E788" s="30"/>
      <c r="F788" s="30"/>
      <c r="G788" s="29"/>
      <c r="H788" s="31"/>
      <c r="I788" s="29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28">
        <v>46156</v>
      </c>
      <c r="B789" s="29" t="str">
        <f t="shared" si="86"/>
        <v>MAIO</v>
      </c>
      <c r="C789" s="12" t="s">
        <v>19</v>
      </c>
      <c r="D789" s="12" t="s">
        <v>12</v>
      </c>
      <c r="E789" s="30"/>
      <c r="F789" s="30"/>
      <c r="G789" s="29"/>
      <c r="H789" s="31"/>
      <c r="I789" s="29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28">
        <v>46156</v>
      </c>
      <c r="B790" s="29" t="str">
        <f t="shared" si="86"/>
        <v>MAIO</v>
      </c>
      <c r="C790" s="12" t="s">
        <v>20</v>
      </c>
      <c r="D790" s="12" t="s">
        <v>12</v>
      </c>
      <c r="E790" s="30">
        <v>324</v>
      </c>
      <c r="F790" s="30">
        <v>300</v>
      </c>
      <c r="G790" s="29">
        <v>90</v>
      </c>
      <c r="H790" s="31">
        <v>90</v>
      </c>
      <c r="I790" s="29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28">
        <v>46156</v>
      </c>
      <c r="B791" s="29" t="str">
        <f t="shared" si="86"/>
        <v>MAIO</v>
      </c>
      <c r="C791" s="12" t="s">
        <v>11</v>
      </c>
      <c r="D791" s="12" t="s">
        <v>12</v>
      </c>
      <c r="E791" s="30">
        <v>600</v>
      </c>
      <c r="F791" s="30">
        <v>650</v>
      </c>
      <c r="G791" s="29">
        <v>30</v>
      </c>
      <c r="H791" s="31">
        <v>30</v>
      </c>
      <c r="I791" s="29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28">
        <v>46156</v>
      </c>
      <c r="B792" s="29" t="str">
        <f t="shared" si="86"/>
        <v>MAIO</v>
      </c>
      <c r="C792" s="12" t="s">
        <v>32</v>
      </c>
      <c r="D792" s="12" t="s">
        <v>12</v>
      </c>
      <c r="E792" s="30">
        <v>77</v>
      </c>
      <c r="F792" s="30">
        <v>76</v>
      </c>
      <c r="G792" s="29">
        <v>7</v>
      </c>
      <c r="H792" s="31">
        <v>7</v>
      </c>
      <c r="I792" s="29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28">
        <v>46156</v>
      </c>
      <c r="B793" s="29" t="str">
        <f t="shared" si="86"/>
        <v>MAIO</v>
      </c>
      <c r="C793" s="12" t="s">
        <v>14</v>
      </c>
      <c r="D793" s="12" t="s">
        <v>12</v>
      </c>
      <c r="E793" s="30">
        <v>677</v>
      </c>
      <c r="F793" s="30">
        <v>726</v>
      </c>
      <c r="G793" s="29">
        <v>80</v>
      </c>
      <c r="H793" s="31">
        <v>80</v>
      </c>
      <c r="I793" s="29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8.4625000000000004</v>
      </c>
      <c r="K793" s="15">
        <f>IFERROR(IF(T_PROD[[#This Row],[PRODUÇÃO]]&gt;0,(T_PROD[[#This Row],[PRODUÇÃO]]/T_PROD[[#This Row],[EFETIVO]]),""),"")</f>
        <v>9.0749999999999993</v>
      </c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316</v>
      </c>
      <c r="G2" s="24">
        <f>SUM(B2:F2)</f>
        <v>5635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61+49+374+62+2829+162</f>
        <v>3537</v>
      </c>
      <c r="G3" s="24">
        <f t="shared" ref="G3:G8" si="0">SUM(B3:F3)</f>
        <v>37539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4+22</f>
        <v>26</v>
      </c>
      <c r="G4" s="24">
        <f t="shared" si="0"/>
        <v>1821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136+173+31+1+8+67+1</f>
        <v>417</v>
      </c>
      <c r="G5" s="24">
        <f t="shared" si="0"/>
        <v>12863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54+53+11+20</f>
        <v>138</v>
      </c>
      <c r="G6" s="24">
        <f t="shared" si="0"/>
        <v>3420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351</v>
      </c>
      <c r="G7" s="24">
        <f t="shared" si="0"/>
        <v>5006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514</v>
      </c>
      <c r="G8" s="24">
        <f t="shared" si="0"/>
        <v>1658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2026-05-15T12:30:46Z</dcterms:modified>
</cp:coreProperties>
</file>