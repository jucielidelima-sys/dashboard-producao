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0986BDD-B4CC-45D9-BBC3-B564746EC0C5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LANC.!$A$1:$K$1288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1" i="1" l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<sst xmlns="http://schemas.openxmlformats.org/spreadsheetml/2006/main" count="2639" uniqueCount="41">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</sst>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88" totalsRowShown="0" headerRowDxfId="13" dataDxfId="12" tableBorderDxfId="11">
  <autoFilter ref="A1:K128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52"/>
  <sheetViews>
    <sheetView showGridLines="0" tabSelected="1" zoomScale="70" zoomScaleNormal="70" zoomScaleSheetLayoutView="70" workbookViewId="0">
      <pane ySplit="1" topLeftCell="A1261" activePane="bottomLeft" state="frozen"/>
      <selection pane="bottomLeft" activeCell="F1292" sqref="F129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/>
      <c r="F1271" s="13"/>
      <c r="G1271" s="12"/>
      <c r="H1271" s="14"/>
      <c r="I1271" s="12">
        <f>IFERROR(IF(T_PROD[[#This Row],[PREVISTO]]-T_PROD[[#This Row],[EFETIVO]]&lt; 0,0,T_PROD[[#This Row],[PREVISTO]]-T_PROD[[#This Row],[EFETIVO]] ),"")</f>
        <v>0</v>
      </c>
      <c r="J1271" s="15" t="str">
        <f>IFERROR(IF(T_PROD[[#This Row],[META]]&gt;0,(T_PROD[[#This Row],[META]]/T_PROD[[#This Row],[PREVISTO]]),""),"")</f>
        <v/>
      </c>
      <c r="K1271" s="15" t="str">
        <f>IFERROR(IF(T_PROD[[#This Row],[PRODUÇÃO]]&gt;0,(T_PROD[[#This Row],[PRODUÇÃO]]/T_PROD[[#This Row],[EFETIVO]]),""),"")</f>
        <v/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/>
      <c r="F1272" s="13"/>
      <c r="G1272" s="12"/>
      <c r="H1272" s="14"/>
      <c r="I1272" s="12">
        <f>IFERROR(IF(T_PROD[[#This Row],[PREVISTO]]-T_PROD[[#This Row],[EFETIVO]]&lt; 0,0,T_PROD[[#This Row],[PREVISTO]]-T_PROD[[#This Row],[EFETIVO]] ),"")</f>
        <v>0</v>
      </c>
      <c r="J1272" s="15" t="str">
        <f>IFERROR(IF(T_PROD[[#This Row],[META]]&gt;0,(T_PROD[[#This Row],[META]]/T_PROD[[#This Row],[PREVISTO]]),""),"")</f>
        <v/>
      </c>
      <c r="K1272" s="15" t="str">
        <f>IFERROR(IF(T_PROD[[#This Row],[PRODUÇÃO]]&gt;0,(T_PROD[[#This Row],[PRODUÇÃO]]/T_PROD[[#This Row],[EFETIVO]]),""),"")</f>
        <v/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/>
      <c r="F1273" s="13"/>
      <c r="G1273" s="12"/>
      <c r="H1273" s="14"/>
      <c r="I1273" s="12">
        <f>IFERROR(IF(T_PROD[[#This Row],[PREVISTO]]-T_PROD[[#This Row],[EFETIVO]]&lt; 0,0,T_PROD[[#This Row],[PREVISTO]]-T_PROD[[#This Row],[EFETIVO]] ),"")</f>
        <v>0</v>
      </c>
      <c r="J1273" s="15" t="str">
        <f>IFERROR(IF(T_PROD[[#This Row],[META]]&gt;0,(T_PROD[[#This Row],[META]]/T_PROD[[#This Row],[PREVISTO]]),""),"")</f>
        <v/>
      </c>
      <c r="K1273" s="15" t="str">
        <f>IFERROR(IF(T_PROD[[#This Row],[PRODUÇÃO]]&gt;0,(T_PROD[[#This Row],[PRODUÇÃO]]/T_PROD[[#This Row],[EFETIVO]]),""),"")</f>
        <v/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/>
      <c r="F1276" s="13"/>
      <c r="G1276" s="12"/>
      <c r="H1276" s="14"/>
      <c r="I1276" s="12">
        <f>IFERROR(IF(T_PROD[[#This Row],[PREVISTO]]-T_PROD[[#This Row],[EFETIVO]]&lt; 0,0,T_PROD[[#This Row],[PREVISTO]]-T_PROD[[#This Row],[EFETIVO]] ),"")</f>
        <v>0</v>
      </c>
      <c r="J1276" s="15" t="str">
        <f>IFERROR(IF(T_PROD[[#This Row],[META]]&gt;0,(T_PROD[[#This Row],[META]]/T_PROD[[#This Row],[PREVISTO]]),""),"")</f>
        <v/>
      </c>
      <c r="K1276" s="15" t="str">
        <f>IFERROR(IF(T_PROD[[#This Row],[PRODUÇÃO]]&gt;0,(T_PROD[[#This Row],[PRODUÇÃO]]/T_PROD[[#This Row],[EFETIVO]]),""),"")</f>
        <v/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28">
        <v>46234</v>
      </c>
      <c r="B1280" s="29" t="str">
        <f>UPPER(TEXT(A1280,"MMMM"))</f>
        <v>JULHO</v>
      </c>
      <c r="C1280" s="12" t="s">
        <v>15</v>
      </c>
      <c r="D1280" s="12" t="s">
        <v>12</v>
      </c>
      <c r="E1280" s="30"/>
      <c r="F1280" s="30"/>
      <c r="G1280" s="29"/>
      <c r="H1280" s="31"/>
      <c r="I1280" s="29">
        <f>IFERROR(IF(T_PROD[[#This Row],[PREVISTO]]-T_PROD[[#This Row],[EFETIVO]]&lt; 0,0,T_PROD[[#This Row],[PREVISTO]]-T_PROD[[#This Row],[EFETIVO]] ),"")</f>
        <v>0</v>
      </c>
      <c r="J1280" s="15" t="str">
        <f>IFERROR(IF(T_PROD[[#This Row],[META]]&gt;0,(T_PROD[[#This Row],[META]]/T_PROD[[#This Row],[PREVISTO]]),""),"")</f>
        <v/>
      </c>
      <c r="K1280" s="15" t="str">
        <f>IFERROR(IF(T_PROD[[#This Row],[PRODUÇÃO]]&gt;0,(T_PROD[[#This Row],[PRODUÇÃO]]/T_PROD[[#This Row],[EFETIVO]]),""),"")</f>
        <v/>
      </c>
    </row>
    <row r="1281" spans="1:11" x14ac:dyDescent="0.3">
      <c r="A1281" s="28">
        <v>46234</v>
      </c>
      <c r="B1281" s="29" t="str">
        <f t="shared" ref="B1281:B1288" si="141">UPPER(TEXT(A1281,"MMMM"))</f>
        <v>JULHO</v>
      </c>
      <c r="C1281" s="12" t="s">
        <v>16</v>
      </c>
      <c r="D1281" s="12" t="s">
        <v>12</v>
      </c>
      <c r="E1281" s="30"/>
      <c r="F1281" s="30"/>
      <c r="G1281" s="29"/>
      <c r="H1281" s="31"/>
      <c r="I1281" s="29">
        <f>IFERROR(IF(T_PROD[[#This Row],[PREVISTO]]-T_PROD[[#This Row],[EFETIVO]]&lt; 0,0,T_PROD[[#This Row],[PREVISTO]]-T_PROD[[#This Row],[EFETIVO]] ),"")</f>
        <v>0</v>
      </c>
      <c r="J1281" s="15" t="str">
        <f>IFERROR(IF(T_PROD[[#This Row],[META]]&gt;0,(T_PROD[[#This Row],[META]]/T_PROD[[#This Row],[PREVISTO]]),""),"")</f>
        <v/>
      </c>
      <c r="K1281" s="15" t="str">
        <f>IFERROR(IF(T_PROD[[#This Row],[PRODUÇÃO]]&gt;0,(T_PROD[[#This Row],[PRODUÇÃO]]/T_PROD[[#This Row],[EFETIVO]]),""),"")</f>
        <v/>
      </c>
    </row>
    <row r="1282" spans="1:11" x14ac:dyDescent="0.3">
      <c r="A1282" s="28">
        <v>46234</v>
      </c>
      <c r="B1282" s="29" t="str">
        <f t="shared" si="141"/>
        <v>JULHO</v>
      </c>
      <c r="C1282" s="12" t="s">
        <v>17</v>
      </c>
      <c r="D1282" s="12" t="s">
        <v>12</v>
      </c>
      <c r="E1282" s="30"/>
      <c r="F1282" s="30"/>
      <c r="G1282" s="29"/>
      <c r="H1282" s="31"/>
      <c r="I1282" s="29">
        <f>IFERROR(IF(T_PROD[[#This Row],[PREVISTO]]-T_PROD[[#This Row],[EFETIVO]]&lt; 0,0,T_PROD[[#This Row],[PREVISTO]]-T_PROD[[#This Row],[EFETIVO]] ),"")</f>
        <v>0</v>
      </c>
      <c r="J1282" s="15" t="str">
        <f>IFERROR(IF(T_PROD[[#This Row],[META]]&gt;0,(T_PROD[[#This Row],[META]]/T_PROD[[#This Row],[PREVISTO]]),""),"")</f>
        <v/>
      </c>
      <c r="K1282" s="15" t="str">
        <f>IFERROR(IF(T_PROD[[#This Row],[PRODUÇÃO]]&gt;0,(T_PROD[[#This Row],[PRODUÇÃO]]/T_PROD[[#This Row],[EFETIVO]]),""),"")</f>
        <v/>
      </c>
    </row>
    <row r="1283" spans="1:11" x14ac:dyDescent="0.3">
      <c r="A1283" s="28">
        <v>46234</v>
      </c>
      <c r="B1283" s="29" t="str">
        <f t="shared" si="141"/>
        <v>JULHO</v>
      </c>
      <c r="C1283" s="12" t="s">
        <v>18</v>
      </c>
      <c r="D1283" s="12" t="s">
        <v>12</v>
      </c>
      <c r="E1283" s="30"/>
      <c r="F1283" s="30"/>
      <c r="G1283" s="29"/>
      <c r="H1283" s="31"/>
      <c r="I1283" s="29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28">
        <v>46234</v>
      </c>
      <c r="B1284" s="29" t="str">
        <f t="shared" si="141"/>
        <v>JULHO</v>
      </c>
      <c r="C1284" s="12" t="s">
        <v>19</v>
      </c>
      <c r="D1284" s="12" t="s">
        <v>12</v>
      </c>
      <c r="E1284" s="30"/>
      <c r="F1284" s="30"/>
      <c r="G1284" s="29"/>
      <c r="H1284" s="31"/>
      <c r="I1284" s="29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28">
        <v>46234</v>
      </c>
      <c r="B1285" s="29" t="str">
        <f t="shared" si="141"/>
        <v>JULHO</v>
      </c>
      <c r="C1285" s="12" t="s">
        <v>20</v>
      </c>
      <c r="D1285" s="12" t="s">
        <v>12</v>
      </c>
      <c r="E1285" s="30"/>
      <c r="F1285" s="30"/>
      <c r="G1285" s="29"/>
      <c r="H1285" s="31"/>
      <c r="I1285" s="29">
        <f>IFERROR(IF(T_PROD[[#This Row],[PREVISTO]]-T_PROD[[#This Row],[EFETIVO]]&lt; 0,0,T_PROD[[#This Row],[PREVISTO]]-T_PROD[[#This Row],[EFETIVO]] ),"")</f>
        <v>0</v>
      </c>
      <c r="J1285" s="15" t="str">
        <f>IFERROR(IF(T_PROD[[#This Row],[META]]&gt;0,(T_PROD[[#This Row],[META]]/T_PROD[[#This Row],[PREVISTO]]),""),"")</f>
        <v/>
      </c>
      <c r="K1285" s="15" t="str">
        <f>IFERROR(IF(T_PROD[[#This Row],[PRODUÇÃO]]&gt;0,(T_PROD[[#This Row],[PRODUÇÃO]]/T_PROD[[#This Row],[EFETIVO]]),""),"")</f>
        <v/>
      </c>
    </row>
    <row r="1286" spans="1:11" x14ac:dyDescent="0.3">
      <c r="A1286" s="28">
        <v>46234</v>
      </c>
      <c r="B1286" s="29" t="str">
        <f t="shared" si="141"/>
        <v>JULHO</v>
      </c>
      <c r="C1286" s="12" t="s">
        <v>11</v>
      </c>
      <c r="D1286" s="12" t="s">
        <v>12</v>
      </c>
      <c r="E1286" s="30">
        <v>600</v>
      </c>
      <c r="F1286" s="30">
        <v>600</v>
      </c>
      <c r="G1286" s="29">
        <v>30</v>
      </c>
      <c r="H1286" s="31">
        <v>30</v>
      </c>
      <c r="I1286" s="29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28">
        <v>46234</v>
      </c>
      <c r="B1287" s="29" t="str">
        <f t="shared" si="141"/>
        <v>JULHO</v>
      </c>
      <c r="C1287" s="12" t="s">
        <v>32</v>
      </c>
      <c r="D1287" s="12" t="s">
        <v>12</v>
      </c>
      <c r="E1287" s="30">
        <v>44</v>
      </c>
      <c r="F1287" s="30">
        <v>45</v>
      </c>
      <c r="G1287" s="29">
        <v>4</v>
      </c>
      <c r="H1287" s="31">
        <v>4</v>
      </c>
      <c r="I1287" s="29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28">
        <v>46234</v>
      </c>
      <c r="B1288" s="29" t="str">
        <f t="shared" si="141"/>
        <v>JULHO</v>
      </c>
      <c r="C1288" s="12" t="s">
        <v>14</v>
      </c>
      <c r="D1288" s="12" t="s">
        <v>12</v>
      </c>
      <c r="E1288" s="30">
        <v>644</v>
      </c>
      <c r="F1288" s="30">
        <v>645</v>
      </c>
      <c r="G1288" s="29">
        <v>78</v>
      </c>
      <c r="H1288" s="31">
        <v>74</v>
      </c>
      <c r="I1288" s="29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2026-08-03T10:16:21Z</dcterms:modified>
</cp:coreProperties>
</file>