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723D4AD-D353-4BB7-8FBE-7ECF256F49D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LANC.!$A$1:$K$1063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56" i="1" l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G6" i="3"/>
  <c r="G5" i="3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<sst xmlns="http://schemas.openxmlformats.org/spreadsheetml/2006/main" count="2188" uniqueCount="40">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</sst>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63" totalsRowShown="0" headerRowDxfId="13" dataDxfId="12" tableBorderDxfId="11">
  <autoFilter ref="A1:K106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52"/>
  <sheetViews>
    <sheetView showGridLines="0" tabSelected="1" zoomScale="70" zoomScaleNormal="70" zoomScaleSheetLayoutView="70" workbookViewId="0">
      <pane ySplit="1" topLeftCell="A1033" activePane="bottomLeft" state="frozen"/>
      <selection pane="bottomLeft" activeCell="I1066" sqref="I106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28">
        <v>46197</v>
      </c>
      <c r="B1037" s="29" t="str">
        <f>UPPER(TEXT(A1037,"MMMM"))</f>
        <v>JUNHO</v>
      </c>
      <c r="C1037" s="12" t="s">
        <v>15</v>
      </c>
      <c r="D1037" s="12" t="s">
        <v>12</v>
      </c>
      <c r="E1037" s="30">
        <v>90</v>
      </c>
      <c r="F1037" s="30">
        <v>45</v>
      </c>
      <c r="G1037" s="29">
        <v>6</v>
      </c>
      <c r="H1037" s="31">
        <v>6</v>
      </c>
      <c r="I1037" s="29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28">
        <v>46197</v>
      </c>
      <c r="B1038" s="29" t="str">
        <f t="shared" ref="B1038:B1045" si="114">UPPER(TEXT(A1038,"MMMM"))</f>
        <v>JUNHO</v>
      </c>
      <c r="C1038" s="12" t="s">
        <v>16</v>
      </c>
      <c r="D1038" s="12" t="s">
        <v>12</v>
      </c>
      <c r="E1038" s="30">
        <v>17</v>
      </c>
      <c r="F1038" s="30">
        <v>12</v>
      </c>
      <c r="G1038" s="29">
        <v>0.5</v>
      </c>
      <c r="H1038" s="31">
        <v>0.5</v>
      </c>
      <c r="I1038" s="29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28">
        <v>46197</v>
      </c>
      <c r="B1039" s="29" t="str">
        <f t="shared" si="114"/>
        <v>JUNHO</v>
      </c>
      <c r="C1039" s="12" t="s">
        <v>17</v>
      </c>
      <c r="D1039" s="12" t="s">
        <v>12</v>
      </c>
      <c r="E1039" s="30">
        <v>224</v>
      </c>
      <c r="F1039" s="30">
        <v>111</v>
      </c>
      <c r="G1039" s="29">
        <v>14</v>
      </c>
      <c r="H1039" s="31">
        <v>14</v>
      </c>
      <c r="I1039" s="29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28">
        <v>46197</v>
      </c>
      <c r="B1040" s="29" t="str">
        <f t="shared" si="114"/>
        <v>JUNHO</v>
      </c>
      <c r="C1040" s="12" t="s">
        <v>18</v>
      </c>
      <c r="D1040" s="12" t="s">
        <v>12</v>
      </c>
      <c r="E1040" s="30"/>
      <c r="F1040" s="30"/>
      <c r="G1040" s="29"/>
      <c r="H1040" s="31"/>
      <c r="I1040" s="29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28">
        <v>46197</v>
      </c>
      <c r="B1041" s="29" t="str">
        <f t="shared" si="114"/>
        <v>JUNHO</v>
      </c>
      <c r="C1041" s="12" t="s">
        <v>19</v>
      </c>
      <c r="D1041" s="12" t="s">
        <v>12</v>
      </c>
      <c r="E1041" s="30"/>
      <c r="F1041" s="30"/>
      <c r="G1041" s="29"/>
      <c r="H1041" s="31"/>
      <c r="I1041" s="29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28">
        <v>46197</v>
      </c>
      <c r="B1042" s="29" t="str">
        <f t="shared" si="114"/>
        <v>JUNHO</v>
      </c>
      <c r="C1042" s="12" t="s">
        <v>20</v>
      </c>
      <c r="D1042" s="12" t="s">
        <v>12</v>
      </c>
      <c r="E1042" s="30">
        <v>331</v>
      </c>
      <c r="F1042" s="30">
        <v>168</v>
      </c>
      <c r="G1042" s="29">
        <v>90</v>
      </c>
      <c r="H1042" s="31">
        <v>90</v>
      </c>
      <c r="I1042" s="29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28">
        <v>46197</v>
      </c>
      <c r="B1043" s="29" t="str">
        <f t="shared" si="114"/>
        <v>JUNHO</v>
      </c>
      <c r="C1043" s="12" t="s">
        <v>11</v>
      </c>
      <c r="D1043" s="12" t="s">
        <v>12</v>
      </c>
      <c r="E1043" s="30">
        <v>800</v>
      </c>
      <c r="F1043" s="30">
        <v>850</v>
      </c>
      <c r="G1043" s="29">
        <v>40</v>
      </c>
      <c r="H1043" s="31">
        <v>40</v>
      </c>
      <c r="I1043" s="29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28">
        <v>46197</v>
      </c>
      <c r="B1044" s="29" t="str">
        <f t="shared" si="114"/>
        <v>JUNHO</v>
      </c>
      <c r="C1044" s="12" t="s">
        <v>32</v>
      </c>
      <c r="D1044" s="12" t="s">
        <v>12</v>
      </c>
      <c r="E1044" s="30">
        <v>44</v>
      </c>
      <c r="F1044" s="30">
        <v>40</v>
      </c>
      <c r="G1044" s="29">
        <v>4</v>
      </c>
      <c r="H1044" s="31">
        <v>4</v>
      </c>
      <c r="I1044" s="29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28">
        <v>46197</v>
      </c>
      <c r="B1045" s="29" t="str">
        <f t="shared" si="114"/>
        <v>JUNHO</v>
      </c>
      <c r="C1045" s="12" t="s">
        <v>14</v>
      </c>
      <c r="D1045" s="12" t="s">
        <v>12</v>
      </c>
      <c r="E1045" s="30">
        <v>844</v>
      </c>
      <c r="F1045" s="30">
        <v>890</v>
      </c>
      <c r="G1045" s="29">
        <v>95</v>
      </c>
      <c r="H1045" s="31">
        <v>92</v>
      </c>
      <c r="I1045" s="29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28">
        <v>46198</v>
      </c>
      <c r="B1046" s="29" t="str">
        <f>UPPER(TEXT(A1046,"MMMM"))</f>
        <v>JUNHO</v>
      </c>
      <c r="C1046" s="12" t="s">
        <v>15</v>
      </c>
      <c r="D1046" s="12" t="s">
        <v>12</v>
      </c>
      <c r="E1046" s="30"/>
      <c r="F1046" s="30"/>
      <c r="G1046" s="29"/>
      <c r="H1046" s="31"/>
      <c r="I1046" s="29">
        <f>IFERROR(IF(T_PROD[[#This Row],[PREVISTO]]-T_PROD[[#This Row],[EFETIVO]]&lt; 0,0,T_PROD[[#This Row],[PREVISTO]]-T_PROD[[#This Row],[EFETIVO]] ),"")</f>
        <v>0</v>
      </c>
      <c r="J1046" s="15" t="str">
        <f>IFERROR(IF(T_PROD[[#This Row],[META]]&gt;0,(T_PROD[[#This Row],[META]]/T_PROD[[#This Row],[PREVISTO]]),""),"")</f>
        <v/>
      </c>
      <c r="K1046" s="15" t="str">
        <f>IFERROR(IF(T_PROD[[#This Row],[PRODUÇÃO]]&gt;0,(T_PROD[[#This Row],[PRODUÇÃO]]/T_PROD[[#This Row],[EFETIVO]]),""),"")</f>
        <v/>
      </c>
    </row>
    <row r="1047" spans="1:11" x14ac:dyDescent="0.3">
      <c r="A1047" s="28">
        <v>46198</v>
      </c>
      <c r="B1047" s="29" t="str">
        <f t="shared" ref="B1047:B1054" si="115">UPPER(TEXT(A1047,"MMMM"))</f>
        <v>JUNHO</v>
      </c>
      <c r="C1047" s="12" t="s">
        <v>16</v>
      </c>
      <c r="D1047" s="12" t="s">
        <v>12</v>
      </c>
      <c r="E1047" s="30"/>
      <c r="F1047" s="30"/>
      <c r="G1047" s="29"/>
      <c r="H1047" s="31"/>
      <c r="I1047" s="29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28">
        <v>46198</v>
      </c>
      <c r="B1048" s="29" t="str">
        <f t="shared" si="115"/>
        <v>JUNHO</v>
      </c>
      <c r="C1048" s="12" t="s">
        <v>17</v>
      </c>
      <c r="D1048" s="12" t="s">
        <v>12</v>
      </c>
      <c r="E1048" s="30"/>
      <c r="F1048" s="30"/>
      <c r="G1048" s="29"/>
      <c r="H1048" s="31"/>
      <c r="I1048" s="29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28">
        <v>46198</v>
      </c>
      <c r="B1049" s="29" t="str">
        <f t="shared" si="115"/>
        <v>JUNHO</v>
      </c>
      <c r="C1049" s="12" t="s">
        <v>18</v>
      </c>
      <c r="D1049" s="12" t="s">
        <v>12</v>
      </c>
      <c r="E1049" s="30"/>
      <c r="F1049" s="30"/>
      <c r="G1049" s="29"/>
      <c r="H1049" s="31"/>
      <c r="I1049" s="29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28">
        <v>46198</v>
      </c>
      <c r="B1050" s="29" t="str">
        <f t="shared" si="115"/>
        <v>JUNHO</v>
      </c>
      <c r="C1050" s="12" t="s">
        <v>19</v>
      </c>
      <c r="D1050" s="12" t="s">
        <v>12</v>
      </c>
      <c r="E1050" s="30"/>
      <c r="F1050" s="30"/>
      <c r="G1050" s="29"/>
      <c r="H1050" s="31"/>
      <c r="I1050" s="29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28">
        <v>46198</v>
      </c>
      <c r="B1051" s="29" t="str">
        <f t="shared" si="115"/>
        <v>JUNHO</v>
      </c>
      <c r="C1051" s="12" t="s">
        <v>20</v>
      </c>
      <c r="D1051" s="12" t="s">
        <v>12</v>
      </c>
      <c r="E1051" s="30"/>
      <c r="F1051" s="30"/>
      <c r="G1051" s="29"/>
      <c r="H1051" s="31"/>
      <c r="I1051" s="29">
        <f>IFERROR(IF(T_PROD[[#This Row],[PREVISTO]]-T_PROD[[#This Row],[EFETIVO]]&lt; 0,0,T_PROD[[#This Row],[PREVISTO]]-T_PROD[[#This Row],[EFETIVO]] ),"")</f>
        <v>0</v>
      </c>
      <c r="J1051" s="15" t="str">
        <f>IFERROR(IF(T_PROD[[#This Row],[META]]&gt;0,(T_PROD[[#This Row],[META]]/T_PROD[[#This Row],[PREVISTO]]),""),"")</f>
        <v/>
      </c>
      <c r="K1051" s="15" t="str">
        <f>IFERROR(IF(T_PROD[[#This Row],[PRODUÇÃO]]&gt;0,(T_PROD[[#This Row],[PRODUÇÃO]]/T_PROD[[#This Row],[EFETIVO]]),""),"")</f>
        <v/>
      </c>
    </row>
    <row r="1052" spans="1:11" x14ac:dyDescent="0.3">
      <c r="A1052" s="28">
        <v>46198</v>
      </c>
      <c r="B1052" s="29" t="str">
        <f t="shared" si="115"/>
        <v>JUNHO</v>
      </c>
      <c r="C1052" s="12" t="s">
        <v>11</v>
      </c>
      <c r="D1052" s="12" t="s">
        <v>12</v>
      </c>
      <c r="E1052" s="30">
        <v>700</v>
      </c>
      <c r="F1052" s="30">
        <v>703</v>
      </c>
      <c r="G1052" s="29">
        <v>35</v>
      </c>
      <c r="H1052" s="31">
        <v>35</v>
      </c>
      <c r="I1052" s="29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28">
        <v>46198</v>
      </c>
      <c r="B1053" s="29" t="str">
        <f t="shared" si="115"/>
        <v>JUNHO</v>
      </c>
      <c r="C1053" s="12" t="s">
        <v>32</v>
      </c>
      <c r="D1053" s="12" t="s">
        <v>12</v>
      </c>
      <c r="E1053" s="30">
        <v>33</v>
      </c>
      <c r="F1053" s="30">
        <v>30</v>
      </c>
      <c r="G1053" s="29">
        <v>3</v>
      </c>
      <c r="H1053" s="31">
        <v>3</v>
      </c>
      <c r="I1053" s="29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28">
        <v>46198</v>
      </c>
      <c r="B1054" s="29" t="str">
        <f t="shared" si="115"/>
        <v>JUNHO</v>
      </c>
      <c r="C1054" s="12" t="s">
        <v>14</v>
      </c>
      <c r="D1054" s="12" t="s">
        <v>12</v>
      </c>
      <c r="E1054" s="30">
        <v>730</v>
      </c>
      <c r="F1054" s="30">
        <v>733</v>
      </c>
      <c r="G1054" s="29">
        <v>95</v>
      </c>
      <c r="H1054" s="31">
        <v>90</v>
      </c>
      <c r="I1054" s="29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28">
        <v>46199</v>
      </c>
      <c r="B1055" s="29" t="str">
        <f>UPPER(TEXT(A1055,"MMMM"))</f>
        <v>JUNHO</v>
      </c>
      <c r="C1055" s="12" t="s">
        <v>15</v>
      </c>
      <c r="D1055" s="12" t="s">
        <v>12</v>
      </c>
      <c r="E1055" s="30"/>
      <c r="F1055" s="30"/>
      <c r="G1055" s="29"/>
      <c r="H1055" s="31"/>
      <c r="I1055" s="29">
        <f>IFERROR(IF(T_PROD[[#This Row],[PREVISTO]]-T_PROD[[#This Row],[EFETIVO]]&lt; 0,0,T_PROD[[#This Row],[PREVISTO]]-T_PROD[[#This Row],[EFETIVO]] ),"")</f>
        <v>0</v>
      </c>
      <c r="J1055" s="15" t="str">
        <f>IFERROR(IF(T_PROD[[#This Row],[META]]&gt;0,(T_PROD[[#This Row],[META]]/T_PROD[[#This Row],[PREVISTO]]),""),"")</f>
        <v/>
      </c>
      <c r="K1055" s="15" t="str">
        <f>IFERROR(IF(T_PROD[[#This Row],[PRODUÇÃO]]&gt;0,(T_PROD[[#This Row],[PRODUÇÃO]]/T_PROD[[#This Row],[EFETIVO]]),""),"")</f>
        <v/>
      </c>
    </row>
    <row r="1056" spans="1:11" x14ac:dyDescent="0.3">
      <c r="A1056" s="28">
        <v>46199</v>
      </c>
      <c r="B1056" s="29" t="str">
        <f t="shared" ref="B1056:B1063" si="116">UPPER(TEXT(A1056,"MMMM"))</f>
        <v>JUNHO</v>
      </c>
      <c r="C1056" s="12" t="s">
        <v>16</v>
      </c>
      <c r="D1056" s="12" t="s">
        <v>12</v>
      </c>
      <c r="E1056" s="30"/>
      <c r="F1056" s="30"/>
      <c r="G1056" s="29"/>
      <c r="H1056" s="31"/>
      <c r="I1056" s="29">
        <f>IFERROR(IF(T_PROD[[#This Row],[PREVISTO]]-T_PROD[[#This Row],[EFETIVO]]&lt; 0,0,T_PROD[[#This Row],[PREVISTO]]-T_PROD[[#This Row],[EFETIVO]] ),"")</f>
        <v>0</v>
      </c>
      <c r="J1056" s="15" t="str">
        <f>IFERROR(IF(T_PROD[[#This Row],[META]]&gt;0,(T_PROD[[#This Row],[META]]/T_PROD[[#This Row],[PREVISTO]]),""),"")</f>
        <v/>
      </c>
      <c r="K1056" s="15" t="str">
        <f>IFERROR(IF(T_PROD[[#This Row],[PRODUÇÃO]]&gt;0,(T_PROD[[#This Row],[PRODUÇÃO]]/T_PROD[[#This Row],[EFETIVO]]),""),"")</f>
        <v/>
      </c>
    </row>
    <row r="1057" spans="1:11" x14ac:dyDescent="0.3">
      <c r="A1057" s="28">
        <v>46199</v>
      </c>
      <c r="B1057" s="29" t="str">
        <f t="shared" si="116"/>
        <v>JUNHO</v>
      </c>
      <c r="C1057" s="12" t="s">
        <v>17</v>
      </c>
      <c r="D1057" s="12" t="s">
        <v>12</v>
      </c>
      <c r="E1057" s="30"/>
      <c r="F1057" s="30"/>
      <c r="G1057" s="29"/>
      <c r="H1057" s="31"/>
      <c r="I1057" s="29">
        <f>IFERROR(IF(T_PROD[[#This Row],[PREVISTO]]-T_PROD[[#This Row],[EFETIVO]]&lt; 0,0,T_PROD[[#This Row],[PREVISTO]]-T_PROD[[#This Row],[EFETIVO]] ),"")</f>
        <v>0</v>
      </c>
      <c r="J1057" s="15" t="str">
        <f>IFERROR(IF(T_PROD[[#This Row],[META]]&gt;0,(T_PROD[[#This Row],[META]]/T_PROD[[#This Row],[PREVISTO]]),""),"")</f>
        <v/>
      </c>
      <c r="K1057" s="15" t="str">
        <f>IFERROR(IF(T_PROD[[#This Row],[PRODUÇÃO]]&gt;0,(T_PROD[[#This Row],[PRODUÇÃO]]/T_PROD[[#This Row],[EFETIVO]]),""),"")</f>
        <v/>
      </c>
    </row>
    <row r="1058" spans="1:11" x14ac:dyDescent="0.3">
      <c r="A1058" s="28">
        <v>46199</v>
      </c>
      <c r="B1058" s="29" t="str">
        <f t="shared" si="116"/>
        <v>JUNHO</v>
      </c>
      <c r="C1058" s="12" t="s">
        <v>18</v>
      </c>
      <c r="D1058" s="12" t="s">
        <v>12</v>
      </c>
      <c r="E1058" s="30"/>
      <c r="F1058" s="30"/>
      <c r="G1058" s="29"/>
      <c r="H1058" s="31"/>
      <c r="I1058" s="29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28">
        <v>46199</v>
      </c>
      <c r="B1059" s="29" t="str">
        <f t="shared" si="116"/>
        <v>JUNHO</v>
      </c>
      <c r="C1059" s="12" t="s">
        <v>19</v>
      </c>
      <c r="D1059" s="12" t="s">
        <v>12</v>
      </c>
      <c r="E1059" s="30"/>
      <c r="F1059" s="30"/>
      <c r="G1059" s="29"/>
      <c r="H1059" s="31"/>
      <c r="I1059" s="29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28">
        <v>46199</v>
      </c>
      <c r="B1060" s="29" t="str">
        <f t="shared" si="116"/>
        <v>JUNHO</v>
      </c>
      <c r="C1060" s="12" t="s">
        <v>20</v>
      </c>
      <c r="D1060" s="12" t="s">
        <v>12</v>
      </c>
      <c r="E1060" s="30"/>
      <c r="F1060" s="30"/>
      <c r="G1060" s="29"/>
      <c r="H1060" s="31"/>
      <c r="I1060" s="29">
        <f>IFERROR(IF(T_PROD[[#This Row],[PREVISTO]]-T_PROD[[#This Row],[EFETIVO]]&lt; 0,0,T_PROD[[#This Row],[PREVISTO]]-T_PROD[[#This Row],[EFETIVO]] ),"")</f>
        <v>0</v>
      </c>
      <c r="J1060" s="15" t="str">
        <f>IFERROR(IF(T_PROD[[#This Row],[META]]&gt;0,(T_PROD[[#This Row],[META]]/T_PROD[[#This Row],[PREVISTO]]),""),"")</f>
        <v/>
      </c>
      <c r="K1060" s="15" t="str">
        <f>IFERROR(IF(T_PROD[[#This Row],[PRODUÇÃO]]&gt;0,(T_PROD[[#This Row],[PRODUÇÃO]]/T_PROD[[#This Row],[EFETIVO]]),""),"")</f>
        <v/>
      </c>
    </row>
    <row r="1061" spans="1:11" x14ac:dyDescent="0.3">
      <c r="A1061" s="28">
        <v>46199</v>
      </c>
      <c r="B1061" s="29" t="str">
        <f t="shared" si="116"/>
        <v>JUNHO</v>
      </c>
      <c r="C1061" s="12" t="s">
        <v>11</v>
      </c>
      <c r="D1061" s="12" t="s">
        <v>12</v>
      </c>
      <c r="E1061" s="30">
        <v>620</v>
      </c>
      <c r="F1061" s="30">
        <v>580</v>
      </c>
      <c r="G1061" s="29">
        <v>31</v>
      </c>
      <c r="H1061" s="31">
        <v>28</v>
      </c>
      <c r="I1061" s="29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28">
        <v>46199</v>
      </c>
      <c r="B1062" s="29" t="str">
        <f t="shared" si="116"/>
        <v>JUNHO</v>
      </c>
      <c r="C1062" s="12" t="s">
        <v>32</v>
      </c>
      <c r="D1062" s="12" t="s">
        <v>12</v>
      </c>
      <c r="E1062" s="30">
        <v>22</v>
      </c>
      <c r="F1062" s="30">
        <v>20</v>
      </c>
      <c r="G1062" s="29">
        <v>2</v>
      </c>
      <c r="H1062" s="31">
        <v>2</v>
      </c>
      <c r="I1062" s="29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28">
        <v>46199</v>
      </c>
      <c r="B1063" s="29" t="str">
        <f t="shared" si="116"/>
        <v>JUNHO</v>
      </c>
      <c r="C1063" s="12" t="s">
        <v>14</v>
      </c>
      <c r="D1063" s="12" t="s">
        <v>12</v>
      </c>
      <c r="E1063" s="30">
        <v>642</v>
      </c>
      <c r="F1063" s="30">
        <v>600</v>
      </c>
      <c r="G1063" s="29">
        <v>80</v>
      </c>
      <c r="H1063" s="31">
        <v>76</v>
      </c>
      <c r="I1063" s="29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K13" sqref="K13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847</v>
      </c>
      <c r="H2" s="24">
        <f>SUM(B2:G2)</f>
        <v>7729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6279</v>
      </c>
      <c r="H3" s="24">
        <f t="shared" ref="H3:H8" si="0">SUM(B3:G3)</f>
        <v>51595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40</v>
      </c>
      <c r="H4" s="24">
        <f t="shared" si="0"/>
        <v>1835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763+1599+135+82+43+4</f>
        <v>2626</v>
      </c>
      <c r="H5" s="24">
        <f t="shared" si="0"/>
        <v>17772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198+263+153+253</f>
        <v>867</v>
      </c>
      <c r="H6" s="24">
        <f t="shared" si="0"/>
        <v>5088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1773</v>
      </c>
      <c r="H7" s="24">
        <f t="shared" si="0"/>
        <v>7648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30</v>
      </c>
      <c r="H8" s="24">
        <f t="shared" si="0"/>
        <v>1700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2026-06-29T13:00:53Z</dcterms:modified>
</cp:coreProperties>
</file>