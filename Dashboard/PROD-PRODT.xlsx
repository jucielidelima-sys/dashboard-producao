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6D5A8220-3AC6-43D5-86E8-A8BCF1359A79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LANC.!$A$1:$K$226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9" i="1" l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J224" i="1"/>
  <c r="J225" i="1"/>
  <c r="J226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5" i="1"/>
  <c r="J216" i="1"/>
  <c r="J217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6" i="1"/>
  <c r="J207" i="1"/>
  <c r="J208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7" i="1"/>
  <c r="J198" i="1"/>
  <c r="J199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3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<sst xmlns="http://schemas.openxmlformats.org/spreadsheetml/2006/main" count="507" uniqueCount="32">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</sst>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226" totalsRowShown="0" headerRowDxfId="13" dataDxfId="12" tableBorderDxfId="11">
  <autoFilter ref="A1:K226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195" activePane="bottomLeft" state="frozen"/>
      <selection pane="bottomLeft" activeCell="J229" sqref="J229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11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f>IFERROR(IF(T_PROD[[#This Row],[META]]&gt;0,(T_PROD[[#This Row],[META]]/T_PROD[[#This Row],[PREVISTO]]),""),"")</f>
        <v>18.181818181818183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f>IFERROR(IF(T_PROD[[#This Row],[META]]&gt;0,(T_PROD[[#This Row],[META]]/T_PROD[[#This Row],[PREVISTO]]),""),"")</f>
        <v>8.3333333333333339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13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3.1538461538461537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f>IFERROR(IF(T_PROD[[#This Row],[META]]&gt;0,(T_PROD[[#This Row],[META]]/T_PROD[[#This Row],[PREVISTO]]),""),"")</f>
        <v>18.181818181818183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f>IFERROR(IF(T_PROD[[#This Row],[META]]&gt;0,(T_PROD[[#This Row],[META]]/T_PROD[[#This Row],[PREVISTO]]),""),"")</f>
        <v>8.4269662921348321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33">
        <v>46058</v>
      </c>
      <c r="B209" s="34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35">
        <v>17</v>
      </c>
      <c r="G209" s="12">
        <v>4</v>
      </c>
      <c r="H209" s="36">
        <v>4</v>
      </c>
      <c r="I209" s="34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33">
        <v>46058</v>
      </c>
      <c r="B210" s="34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35">
        <v>200</v>
      </c>
      <c r="G210" s="12">
        <v>6</v>
      </c>
      <c r="H210" s="36">
        <v>9</v>
      </c>
      <c r="I210" s="34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33">
        <v>46058</v>
      </c>
      <c r="B211" s="34" t="str">
        <f t="shared" si="22"/>
        <v>FEVEREIRO</v>
      </c>
      <c r="C211" s="12" t="s">
        <v>17</v>
      </c>
      <c r="D211" s="12" t="s">
        <v>12</v>
      </c>
      <c r="E211" s="13">
        <v>32</v>
      </c>
      <c r="F211" s="35">
        <v>4</v>
      </c>
      <c r="G211" s="12">
        <v>2</v>
      </c>
      <c r="H211" s="36">
        <v>2</v>
      </c>
      <c r="I211" s="34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33">
        <v>46058</v>
      </c>
      <c r="B212" s="34" t="str">
        <f t="shared" si="22"/>
        <v>FEVEREIRO</v>
      </c>
      <c r="C212" s="12" t="s">
        <v>18</v>
      </c>
      <c r="D212" s="12" t="s">
        <v>12</v>
      </c>
      <c r="E212" s="13">
        <v>100</v>
      </c>
      <c r="F212" s="35">
        <v>0</v>
      </c>
      <c r="G212" s="12">
        <v>3</v>
      </c>
      <c r="H212" s="36">
        <v>0</v>
      </c>
      <c r="I212" s="34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33">
        <v>46058</v>
      </c>
      <c r="B213" s="34" t="str">
        <f t="shared" si="22"/>
        <v>FEVEREIRO</v>
      </c>
      <c r="C213" s="12" t="s">
        <v>19</v>
      </c>
      <c r="D213" s="12" t="s">
        <v>12</v>
      </c>
      <c r="E213" s="13">
        <v>100</v>
      </c>
      <c r="F213" s="35">
        <v>100</v>
      </c>
      <c r="G213" s="12">
        <v>11</v>
      </c>
      <c r="H213" s="36">
        <v>13</v>
      </c>
      <c r="I213" s="34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33">
        <v>46058</v>
      </c>
      <c r="B214" s="34" t="str">
        <f t="shared" si="22"/>
        <v>FEVEREIRO</v>
      </c>
      <c r="C214" s="12" t="s">
        <v>20</v>
      </c>
      <c r="D214" s="12" t="s">
        <v>12</v>
      </c>
      <c r="E214" s="13">
        <v>486</v>
      </c>
      <c r="F214" s="35">
        <v>321</v>
      </c>
      <c r="G214" s="12">
        <v>90</v>
      </c>
      <c r="H214" s="36">
        <v>90</v>
      </c>
      <c r="I214" s="34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33">
        <v>46058</v>
      </c>
      <c r="B215" s="34" t="str">
        <f t="shared" si="22"/>
        <v>FEVEREIRO</v>
      </c>
      <c r="C215" s="12" t="s">
        <v>11</v>
      </c>
      <c r="D215" s="12" t="s">
        <v>12</v>
      </c>
      <c r="E215" s="13">
        <v>600</v>
      </c>
      <c r="F215" s="35">
        <v>660</v>
      </c>
      <c r="G215" s="12">
        <v>33</v>
      </c>
      <c r="H215" s="36">
        <v>30</v>
      </c>
      <c r="I215" s="34">
        <f>IFERROR(IF(T_PROD[[#This Row],[PREVISTO]]-T_PROD[[#This Row],[EFETIVO]]&lt; 0,0,T_PROD[[#This Row],[PREVISTO]]-T_PROD[[#This Row],[EFETIVO]] ),"")</f>
        <v>3</v>
      </c>
      <c r="J215" s="15">
        <f>IFERROR(IF(T_PROD[[#This Row],[META]]&gt;0,(T_PROD[[#This Row],[META]]/T_PROD[[#This Row],[PREVISTO]]),""),"")</f>
        <v>18.181818181818183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33">
        <v>46058</v>
      </c>
      <c r="B216" s="34" t="str">
        <f t="shared" si="22"/>
        <v>FEVEREIRO</v>
      </c>
      <c r="C216" s="12" t="s">
        <v>13</v>
      </c>
      <c r="D216" s="12" t="s">
        <v>12</v>
      </c>
      <c r="E216" s="13">
        <v>150</v>
      </c>
      <c r="F216" s="35">
        <v>158</v>
      </c>
      <c r="G216" s="12">
        <v>10</v>
      </c>
      <c r="H216" s="36">
        <v>10</v>
      </c>
      <c r="I216" s="34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33">
        <v>46058</v>
      </c>
      <c r="B217" s="34" t="str">
        <f t="shared" si="22"/>
        <v>FEVEREIRO</v>
      </c>
      <c r="C217" s="12" t="s">
        <v>14</v>
      </c>
      <c r="D217" s="12" t="s">
        <v>12</v>
      </c>
      <c r="E217" s="13">
        <v>750</v>
      </c>
      <c r="F217" s="35">
        <v>818</v>
      </c>
      <c r="G217" s="12">
        <v>89</v>
      </c>
      <c r="H217" s="36">
        <v>85</v>
      </c>
      <c r="I217" s="34">
        <f>IFERROR(IF(T_PROD[[#This Row],[PREVISTO]]-T_PROD[[#This Row],[EFETIVO]]&lt; 0,0,T_PROD[[#This Row],[PREVISTO]]-T_PROD[[#This Row],[EFETIVO]] ),"")</f>
        <v>4</v>
      </c>
      <c r="J217" s="15">
        <f>IFERROR(IF(T_PROD[[#This Row],[META]]&gt;0,(T_PROD[[#This Row],[META]]/T_PROD[[#This Row],[PREVISTO]]),""),"")</f>
        <v>8.4269662921348321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33">
        <v>46059</v>
      </c>
      <c r="B218" s="34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35">
        <v>39</v>
      </c>
      <c r="G218" s="12">
        <v>4</v>
      </c>
      <c r="H218" s="36">
        <v>4</v>
      </c>
      <c r="I218" s="34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33">
        <v>46059</v>
      </c>
      <c r="B219" s="34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35">
        <v>139</v>
      </c>
      <c r="G219" s="12">
        <v>6</v>
      </c>
      <c r="H219" s="36">
        <v>6</v>
      </c>
      <c r="I219" s="34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33">
        <v>46059</v>
      </c>
      <c r="B220" s="34" t="str">
        <f t="shared" si="23"/>
        <v>FEVEREIRO</v>
      </c>
      <c r="C220" s="12" t="s">
        <v>17</v>
      </c>
      <c r="D220" s="12" t="s">
        <v>12</v>
      </c>
      <c r="E220" s="13">
        <v>32</v>
      </c>
      <c r="F220" s="35">
        <v>41</v>
      </c>
      <c r="G220" s="12">
        <v>2</v>
      </c>
      <c r="H220" s="36">
        <v>2</v>
      </c>
      <c r="I220" s="34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33">
        <v>46059</v>
      </c>
      <c r="B221" s="34" t="str">
        <f t="shared" si="23"/>
        <v>FEVEREIRO</v>
      </c>
      <c r="C221" s="12" t="s">
        <v>18</v>
      </c>
      <c r="D221" s="12" t="s">
        <v>12</v>
      </c>
      <c r="E221" s="13">
        <v>100</v>
      </c>
      <c r="F221" s="35">
        <v>0</v>
      </c>
      <c r="G221" s="12">
        <v>3</v>
      </c>
      <c r="H221" s="36">
        <v>0</v>
      </c>
      <c r="I221" s="34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33">
        <v>46059</v>
      </c>
      <c r="B222" s="34" t="str">
        <f t="shared" si="23"/>
        <v>FEVEREIRO</v>
      </c>
      <c r="C222" s="12" t="s">
        <v>19</v>
      </c>
      <c r="D222" s="12" t="s">
        <v>12</v>
      </c>
      <c r="E222" s="13">
        <v>100</v>
      </c>
      <c r="F222" s="35">
        <v>54</v>
      </c>
      <c r="G222" s="12">
        <v>11</v>
      </c>
      <c r="H222" s="36">
        <v>15</v>
      </c>
      <c r="I222" s="34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3.6</v>
      </c>
    </row>
    <row r="223" spans="1:11" s="6" customFormat="1" x14ac:dyDescent="0.3">
      <c r="A223" s="33">
        <v>46059</v>
      </c>
      <c r="B223" s="34" t="str">
        <f t="shared" si="23"/>
        <v>FEVEREIRO</v>
      </c>
      <c r="C223" s="12" t="s">
        <v>20</v>
      </c>
      <c r="D223" s="12" t="s">
        <v>12</v>
      </c>
      <c r="E223" s="13">
        <v>486</v>
      </c>
      <c r="F223" s="35">
        <v>273</v>
      </c>
      <c r="G223" s="12">
        <v>90</v>
      </c>
      <c r="H223" s="36">
        <v>90</v>
      </c>
      <c r="I223" s="34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33">
        <v>46059</v>
      </c>
      <c r="B224" s="34" t="str">
        <f t="shared" si="23"/>
        <v>FEVEREIRO</v>
      </c>
      <c r="C224" s="12" t="s">
        <v>11</v>
      </c>
      <c r="D224" s="12" t="s">
        <v>12</v>
      </c>
      <c r="E224" s="13">
        <v>460</v>
      </c>
      <c r="F224" s="35">
        <v>460</v>
      </c>
      <c r="G224" s="12">
        <v>33</v>
      </c>
      <c r="H224" s="36">
        <v>27</v>
      </c>
      <c r="I224" s="34">
        <f>IFERROR(IF(T_PROD[[#This Row],[PREVISTO]]-T_PROD[[#This Row],[EFETIVO]]&lt; 0,0,T_PROD[[#This Row],[PREVISTO]]-T_PROD[[#This Row],[EFETIVO]] ),"")</f>
        <v>6</v>
      </c>
      <c r="J224" s="15">
        <f>IFERROR(IF(T_PROD[[#This Row],[META]]&gt;0,(T_PROD[[#This Row],[META]]/T_PROD[[#This Row],[PREVISTO]]),""),"")</f>
        <v>13.939393939393939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33">
        <v>46059</v>
      </c>
      <c r="B225" s="34" t="str">
        <f t="shared" si="23"/>
        <v>FEVEREIRO</v>
      </c>
      <c r="C225" s="12" t="s">
        <v>13</v>
      </c>
      <c r="D225" s="12" t="s">
        <v>12</v>
      </c>
      <c r="E225" s="13">
        <v>115</v>
      </c>
      <c r="F225" s="35">
        <v>108</v>
      </c>
      <c r="G225" s="12">
        <v>10</v>
      </c>
      <c r="H225" s="36">
        <v>7</v>
      </c>
      <c r="I225" s="34">
        <f>IFERROR(IF(T_PROD[[#This Row],[PREVISTO]]-T_PROD[[#This Row],[EFETIVO]]&lt; 0,0,T_PROD[[#This Row],[PREVISTO]]-T_PROD[[#This Row],[EFETIVO]] ),"")</f>
        <v>3</v>
      </c>
      <c r="J225" s="15">
        <f>IFERROR(IF(T_PROD[[#This Row],[META]]&gt;0,(T_PROD[[#This Row],[META]]/T_PROD[[#This Row],[PREVISTO]]),""),"")</f>
        <v>11.5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33">
        <v>46059</v>
      </c>
      <c r="B226" s="34" t="str">
        <f t="shared" si="23"/>
        <v>FEVEREIRO</v>
      </c>
      <c r="C226" s="12" t="s">
        <v>14</v>
      </c>
      <c r="D226" s="12" t="s">
        <v>12</v>
      </c>
      <c r="E226" s="13">
        <v>750</v>
      </c>
      <c r="F226" s="35">
        <v>568</v>
      </c>
      <c r="G226" s="12">
        <v>89</v>
      </c>
      <c r="H226" s="36">
        <v>80</v>
      </c>
      <c r="I226" s="34">
        <f>IFERROR(IF(T_PROD[[#This Row],[PREVISTO]]-T_PROD[[#This Row],[EFETIVO]]&lt; 0,0,T_PROD[[#This Row],[PREVISTO]]-T_PROD[[#This Row],[EFETIVO]] ),"")</f>
        <v>9</v>
      </c>
      <c r="J226" s="15">
        <f>IFERROR(IF(T_PROD[[#This Row],[META]]&gt;0,(T_PROD[[#This Row],[META]]/T_PROD[[#This Row],[PREVISTO]]),""),"")</f>
        <v>8.4269662921348321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6"/>
      <c r="B227" s="17"/>
      <c r="C227" s="17"/>
      <c r="D227" s="17"/>
      <c r="E227" s="18"/>
      <c r="F227" s="18"/>
      <c r="G227" s="17"/>
      <c r="H227" s="19"/>
      <c r="I227" s="17"/>
      <c r="J227" s="20"/>
      <c r="K227" s="20"/>
    </row>
    <row r="228" spans="1:11" s="6" customFormat="1" x14ac:dyDescent="0.3">
      <c r="A228" s="16"/>
      <c r="B228" s="17"/>
      <c r="C228" s="17"/>
      <c r="D228" s="17"/>
      <c r="E228" s="18"/>
      <c r="F228" s="18"/>
      <c r="G228" s="17"/>
      <c r="H228" s="19"/>
      <c r="I228" s="17"/>
      <c r="J228" s="20"/>
      <c r="K228" s="20"/>
    </row>
    <row r="229" spans="1:11" s="6" customFormat="1" x14ac:dyDescent="0.3">
      <c r="A229" s="16"/>
      <c r="B229" s="17"/>
      <c r="C229" s="17"/>
      <c r="D229" s="17"/>
      <c r="E229" s="18"/>
      <c r="F229" s="18"/>
      <c r="G229" s="17"/>
      <c r="H229" s="19"/>
      <c r="I229" s="17"/>
      <c r="J229" s="20"/>
      <c r="K229" s="20"/>
    </row>
    <row r="230" spans="1:11" s="6" customFormat="1" x14ac:dyDescent="0.3">
      <c r="A230" s="16"/>
      <c r="B230" s="17"/>
      <c r="C230" s="17"/>
      <c r="D230" s="17"/>
      <c r="E230" s="18"/>
      <c r="F230" s="18"/>
      <c r="G230" s="17"/>
      <c r="H230" s="19"/>
      <c r="I230" s="17"/>
      <c r="J230" s="20"/>
      <c r="K230" s="20"/>
    </row>
    <row r="231" spans="1:11" s="6" customFormat="1" x14ac:dyDescent="0.3">
      <c r="A231" s="16"/>
      <c r="B231" s="17"/>
      <c r="C231" s="17"/>
      <c r="D231" s="17"/>
      <c r="E231" s="18"/>
      <c r="F231" s="18"/>
      <c r="G231" s="17"/>
      <c r="H231" s="19"/>
      <c r="I231" s="17"/>
      <c r="J231" s="20"/>
      <c r="K231" s="20"/>
    </row>
    <row r="232" spans="1:11" s="6" customFormat="1" x14ac:dyDescent="0.3">
      <c r="A232" s="16"/>
      <c r="B232" s="17"/>
      <c r="C232" s="17"/>
      <c r="D232" s="17"/>
      <c r="E232" s="18"/>
      <c r="F232" s="18"/>
      <c r="G232" s="17"/>
      <c r="H232" s="19"/>
      <c r="I232" s="17"/>
      <c r="J232" s="20"/>
      <c r="K232" s="20"/>
    </row>
    <row r="233" spans="1:11" s="6" customFormat="1" x14ac:dyDescent="0.3">
      <c r="A233" s="16"/>
      <c r="B233" s="17"/>
      <c r="C233" s="17"/>
      <c r="D233" s="17"/>
      <c r="E233" s="18"/>
      <c r="F233" s="18"/>
      <c r="G233" s="17"/>
      <c r="H233" s="19"/>
      <c r="I233" s="17"/>
      <c r="J233" s="20"/>
      <c r="K233" s="20"/>
    </row>
    <row r="234" spans="1:11" s="6" customFormat="1" x14ac:dyDescent="0.3">
      <c r="A234" s="16"/>
      <c r="B234" s="17"/>
      <c r="C234" s="17"/>
      <c r="D234" s="17"/>
      <c r="E234" s="18"/>
      <c r="F234" s="18"/>
      <c r="G234" s="17"/>
      <c r="H234" s="19"/>
      <c r="I234" s="17"/>
      <c r="J234" s="20"/>
      <c r="K234" s="20"/>
    </row>
    <row r="235" spans="1:11" s="6" customFormat="1" x14ac:dyDescent="0.3">
      <c r="A235" s="16"/>
      <c r="B235" s="17"/>
      <c r="C235" s="17"/>
      <c r="D235" s="17"/>
      <c r="E235" s="18"/>
      <c r="F235" s="18"/>
      <c r="G235" s="17"/>
      <c r="H235" s="19"/>
      <c r="I235" s="17"/>
      <c r="J235" s="20"/>
      <c r="K235" s="20"/>
    </row>
    <row r="236" spans="1:11" s="6" customFormat="1" x14ac:dyDescent="0.3">
      <c r="A236" s="16"/>
      <c r="B236" s="17"/>
      <c r="C236" s="17"/>
      <c r="D236" s="17"/>
      <c r="E236" s="18"/>
      <c r="F236" s="18"/>
      <c r="G236" s="17"/>
      <c r="H236" s="19"/>
      <c r="I236" s="17"/>
      <c r="J236" s="20"/>
      <c r="K236" s="20"/>
    </row>
    <row r="237" spans="1:11" s="6" customFormat="1" x14ac:dyDescent="0.3">
      <c r="A237" s="16"/>
      <c r="B237" s="17"/>
      <c r="C237" s="17"/>
      <c r="D237" s="17"/>
      <c r="E237" s="18"/>
      <c r="F237" s="18"/>
      <c r="G237" s="17"/>
      <c r="H237" s="19"/>
      <c r="I237" s="17"/>
      <c r="J237" s="20"/>
      <c r="K237" s="20"/>
    </row>
    <row r="238" spans="1:11" s="6" customFormat="1" x14ac:dyDescent="0.3">
      <c r="A238" s="16"/>
      <c r="B238" s="17"/>
      <c r="C238" s="17"/>
      <c r="D238" s="17"/>
      <c r="E238" s="18"/>
      <c r="F238" s="18"/>
      <c r="G238" s="17"/>
      <c r="H238" s="19"/>
      <c r="I238" s="17"/>
      <c r="J238" s="20"/>
      <c r="K238" s="20"/>
    </row>
    <row r="239" spans="1:11" s="6" customFormat="1" x14ac:dyDescent="0.3">
      <c r="A239" s="16"/>
      <c r="B239" s="17"/>
      <c r="C239" s="17"/>
      <c r="D239" s="17"/>
      <c r="E239" s="18"/>
      <c r="F239" s="18"/>
      <c r="G239" s="17"/>
      <c r="H239" s="19"/>
      <c r="I239" s="17"/>
      <c r="J239" s="20"/>
      <c r="K239" s="20"/>
    </row>
    <row r="240" spans="1:11" s="6" customFormat="1" x14ac:dyDescent="0.3">
      <c r="A240" s="16"/>
      <c r="B240" s="17"/>
      <c r="C240" s="17"/>
      <c r="D240" s="17"/>
      <c r="E240" s="18"/>
      <c r="F240" s="18"/>
      <c r="G240" s="17"/>
      <c r="H240" s="19"/>
      <c r="I240" s="17"/>
      <c r="J240" s="20"/>
      <c r="K240" s="20"/>
    </row>
    <row r="241" spans="1:11" s="6" customFormat="1" x14ac:dyDescent="0.3">
      <c r="A241" s="16"/>
      <c r="B241" s="17"/>
      <c r="C241" s="17"/>
      <c r="D241" s="17"/>
      <c r="E241" s="18"/>
      <c r="F241" s="18"/>
      <c r="G241" s="17"/>
      <c r="H241" s="19"/>
      <c r="I241" s="17"/>
      <c r="J241" s="20"/>
      <c r="K241" s="20"/>
    </row>
    <row r="242" spans="1:11" s="6" customFormat="1" x14ac:dyDescent="0.3">
      <c r="A242" s="16"/>
      <c r="B242" s="17"/>
      <c r="C242" s="17"/>
      <c r="D242" s="17"/>
      <c r="E242" s="18"/>
      <c r="F242" s="18"/>
      <c r="G242" s="17"/>
      <c r="H242" s="19"/>
      <c r="I242" s="17"/>
      <c r="J242" s="20"/>
      <c r="K242" s="20"/>
    </row>
    <row r="243" spans="1:11" s="6" customFormat="1" x14ac:dyDescent="0.3">
      <c r="A243" s="16"/>
      <c r="B243" s="17"/>
      <c r="C243" s="17"/>
      <c r="D243" s="17"/>
      <c r="E243" s="18"/>
      <c r="F243" s="18"/>
      <c r="G243" s="17"/>
      <c r="H243" s="19"/>
      <c r="I243" s="17"/>
      <c r="J243" s="20"/>
      <c r="K243" s="20"/>
    </row>
    <row r="244" spans="1:11" s="6" customFormat="1" x14ac:dyDescent="0.3">
      <c r="A244" s="16"/>
      <c r="B244" s="17"/>
      <c r="C244" s="17"/>
      <c r="D244" s="17"/>
      <c r="E244" s="18"/>
      <c r="F244" s="18"/>
      <c r="G244" s="17"/>
      <c r="H244" s="19"/>
      <c r="I244" s="17"/>
      <c r="J244" s="20"/>
      <c r="K244" s="20"/>
    </row>
    <row r="245" spans="1:11" s="6" customFormat="1" x14ac:dyDescent="0.3">
      <c r="A245" s="16"/>
      <c r="B245" s="17"/>
      <c r="C245" s="17"/>
      <c r="D245" s="17"/>
      <c r="E245" s="18"/>
      <c r="F245" s="18"/>
      <c r="G245" s="17"/>
      <c r="H245" s="19"/>
      <c r="I245" s="17"/>
      <c r="J245" s="20"/>
      <c r="K245" s="20"/>
    </row>
    <row r="246" spans="1:11" s="6" customFormat="1" x14ac:dyDescent="0.3">
      <c r="A246" s="16"/>
      <c r="B246" s="17"/>
      <c r="C246" s="17"/>
      <c r="D246" s="17"/>
      <c r="E246" s="18"/>
      <c r="F246" s="18"/>
      <c r="G246" s="17"/>
      <c r="H246" s="19"/>
      <c r="I246" s="17"/>
      <c r="J246" s="20"/>
      <c r="K246" s="20"/>
    </row>
    <row r="247" spans="1:11" s="6" customFormat="1" x14ac:dyDescent="0.3">
      <c r="A247" s="16"/>
      <c r="B247" s="17"/>
      <c r="C247" s="17"/>
      <c r="D247" s="17"/>
      <c r="E247" s="18"/>
      <c r="F247" s="18"/>
      <c r="G247" s="17"/>
      <c r="H247" s="19"/>
      <c r="I247" s="17"/>
      <c r="J247" s="20"/>
      <c r="K247" s="20"/>
    </row>
    <row r="248" spans="1:11" s="6" customFormat="1" x14ac:dyDescent="0.3">
      <c r="A248" s="16"/>
      <c r="B248" s="17"/>
      <c r="C248" s="17"/>
      <c r="D248" s="17"/>
      <c r="E248" s="18"/>
      <c r="F248" s="18"/>
      <c r="G248" s="17"/>
      <c r="H248" s="19"/>
      <c r="I248" s="17"/>
      <c r="J248" s="20"/>
      <c r="K248" s="20"/>
    </row>
    <row r="249" spans="1:11" s="6" customFormat="1" x14ac:dyDescent="0.3">
      <c r="A249" s="16"/>
      <c r="B249" s="17"/>
      <c r="C249" s="17"/>
      <c r="D249" s="17"/>
      <c r="E249" s="18"/>
      <c r="F249" s="18"/>
      <c r="G249" s="17"/>
      <c r="H249" s="19"/>
      <c r="I249" s="17"/>
      <c r="J249" s="20"/>
      <c r="K249" s="20"/>
    </row>
    <row r="250" spans="1:11" s="6" customFormat="1" x14ac:dyDescent="0.3">
      <c r="A250" s="16"/>
      <c r="B250" s="17"/>
      <c r="C250" s="17"/>
      <c r="D250" s="17"/>
      <c r="E250" s="18"/>
      <c r="F250" s="18"/>
      <c r="G250" s="17"/>
      <c r="H250" s="19"/>
      <c r="I250" s="17"/>
      <c r="J250" s="20"/>
      <c r="K250" s="20"/>
    </row>
    <row r="251" spans="1:11" s="6" customFormat="1" x14ac:dyDescent="0.3">
      <c r="A251" s="16"/>
      <c r="B251" s="17"/>
      <c r="C251" s="17"/>
      <c r="D251" s="17"/>
      <c r="E251" s="18"/>
      <c r="F251" s="18"/>
      <c r="G251" s="17"/>
      <c r="H251" s="19"/>
      <c r="I251" s="17"/>
      <c r="J251" s="20"/>
      <c r="K251" s="20"/>
    </row>
    <row r="252" spans="1:11" s="6" customFormat="1" x14ac:dyDescent="0.3">
      <c r="A252" s="16"/>
      <c r="B252" s="17"/>
      <c r="C252" s="17"/>
      <c r="D252" s="17"/>
      <c r="E252" s="18"/>
      <c r="F252" s="18"/>
      <c r="G252" s="17"/>
      <c r="H252" s="19"/>
      <c r="I252" s="17"/>
      <c r="J252" s="20"/>
      <c r="K252" s="20"/>
    </row>
    <row r="253" spans="1:11" s="6" customFormat="1" x14ac:dyDescent="0.3">
      <c r="A253" s="16"/>
      <c r="B253" s="17"/>
      <c r="C253" s="17"/>
      <c r="D253" s="17"/>
      <c r="E253" s="18"/>
      <c r="F253" s="18"/>
      <c r="G253" s="17"/>
      <c r="H253" s="19"/>
      <c r="I253" s="17"/>
      <c r="J253" s="20"/>
      <c r="K253" s="20"/>
    </row>
    <row r="254" spans="1:11" s="6" customFormat="1" x14ac:dyDescent="0.3">
      <c r="A254" s="16"/>
      <c r="B254" s="17"/>
      <c r="C254" s="17"/>
      <c r="D254" s="17"/>
      <c r="E254" s="18"/>
      <c r="F254" s="18"/>
      <c r="G254" s="17"/>
      <c r="H254" s="19"/>
      <c r="I254" s="17"/>
      <c r="J254" s="20"/>
      <c r="K254" s="20"/>
    </row>
    <row r="255" spans="1:11" s="6" customFormat="1" x14ac:dyDescent="0.3">
      <c r="A255" s="16"/>
      <c r="B255" s="17"/>
      <c r="C255" s="17"/>
      <c r="D255" s="17"/>
      <c r="E255" s="18"/>
      <c r="F255" s="18"/>
      <c r="G255" s="17"/>
      <c r="H255" s="19"/>
      <c r="I255" s="17"/>
      <c r="J255" s="20"/>
      <c r="K255" s="20"/>
    </row>
    <row r="256" spans="1:11" s="6" customFormat="1" x14ac:dyDescent="0.3">
      <c r="A256" s="16"/>
      <c r="B256" s="17"/>
      <c r="C256" s="17"/>
      <c r="D256" s="17"/>
      <c r="E256" s="18"/>
      <c r="F256" s="18"/>
      <c r="G256" s="17"/>
      <c r="H256" s="19"/>
      <c r="I256" s="17"/>
      <c r="J256" s="20"/>
      <c r="K256" s="20"/>
    </row>
    <row r="257" spans="1:11" s="6" customFormat="1" x14ac:dyDescent="0.3">
      <c r="A257" s="16"/>
      <c r="B257" s="17"/>
      <c r="C257" s="17"/>
      <c r="D257" s="17"/>
      <c r="E257" s="18"/>
      <c r="F257" s="18"/>
      <c r="G257" s="17"/>
      <c r="H257" s="19"/>
      <c r="I257" s="17"/>
      <c r="J257" s="20"/>
      <c r="K257" s="20"/>
    </row>
    <row r="258" spans="1:11" s="6" customFormat="1" x14ac:dyDescent="0.3">
      <c r="A258" s="16"/>
      <c r="B258" s="17"/>
      <c r="C258" s="17"/>
      <c r="D258" s="17"/>
      <c r="E258" s="18"/>
      <c r="F258" s="18"/>
      <c r="G258" s="17"/>
      <c r="H258" s="19"/>
      <c r="I258" s="17"/>
      <c r="J258" s="20"/>
      <c r="K258" s="20"/>
    </row>
    <row r="259" spans="1:11" s="6" customFormat="1" x14ac:dyDescent="0.3">
      <c r="A259" s="16"/>
      <c r="B259" s="17"/>
      <c r="C259" s="17"/>
      <c r="D259" s="17"/>
      <c r="E259" s="18"/>
      <c r="F259" s="18"/>
      <c r="G259" s="17"/>
      <c r="H259" s="19"/>
      <c r="I259" s="17"/>
      <c r="J259" s="20"/>
      <c r="K259" s="20"/>
    </row>
    <row r="260" spans="1:11" s="6" customFormat="1" x14ac:dyDescent="0.3">
      <c r="A260" s="16"/>
      <c r="B260" s="17"/>
      <c r="C260" s="17"/>
      <c r="D260" s="17"/>
      <c r="E260" s="18"/>
      <c r="F260" s="18"/>
      <c r="G260" s="17"/>
      <c r="H260" s="19"/>
      <c r="I260" s="17"/>
      <c r="J260" s="20"/>
      <c r="K260" s="20"/>
    </row>
    <row r="261" spans="1:11" s="6" customFormat="1" x14ac:dyDescent="0.3">
      <c r="A261" s="16"/>
      <c r="B261" s="17"/>
      <c r="C261" s="17"/>
      <c r="D261" s="17"/>
      <c r="E261" s="18"/>
      <c r="F261" s="18"/>
      <c r="G261" s="17"/>
      <c r="H261" s="19"/>
      <c r="I261" s="17"/>
      <c r="J261" s="20"/>
      <c r="K261" s="20"/>
    </row>
    <row r="262" spans="1:11" s="6" customFormat="1" x14ac:dyDescent="0.3">
      <c r="A262" s="16"/>
      <c r="B262" s="17"/>
      <c r="C262" s="17"/>
      <c r="D262" s="17"/>
      <c r="E262" s="18"/>
      <c r="F262" s="18"/>
      <c r="G262" s="17"/>
      <c r="H262" s="19"/>
      <c r="I262" s="17"/>
      <c r="J262" s="20"/>
      <c r="K262" s="20"/>
    </row>
    <row r="263" spans="1:11" s="6" customFormat="1" x14ac:dyDescent="0.3">
      <c r="A263" s="16"/>
      <c r="B263" s="17"/>
      <c r="C263" s="17"/>
      <c r="D263" s="17"/>
      <c r="E263" s="18"/>
      <c r="F263" s="18"/>
      <c r="G263" s="17"/>
      <c r="H263" s="19"/>
      <c r="I263" s="17"/>
      <c r="J263" s="20"/>
      <c r="K263" s="20"/>
    </row>
    <row r="264" spans="1:11" s="6" customFormat="1" x14ac:dyDescent="0.3">
      <c r="A264" s="16"/>
      <c r="B264" s="17"/>
      <c r="C264" s="17"/>
      <c r="D264" s="17"/>
      <c r="E264" s="18"/>
      <c r="F264" s="18"/>
      <c r="G264" s="17"/>
      <c r="H264" s="19"/>
      <c r="I264" s="17"/>
      <c r="J264" s="20"/>
      <c r="K264" s="20"/>
    </row>
    <row r="265" spans="1:11" s="6" customFormat="1" x14ac:dyDescent="0.3">
      <c r="A265" s="16"/>
      <c r="B265" s="17"/>
      <c r="C265" s="17"/>
      <c r="D265" s="17"/>
      <c r="E265" s="18"/>
      <c r="F265" s="18"/>
      <c r="G265" s="17"/>
      <c r="H265" s="19"/>
      <c r="I265" s="17"/>
      <c r="J265" s="20"/>
      <c r="K265" s="20"/>
    </row>
    <row r="266" spans="1:11" s="6" customFormat="1" x14ac:dyDescent="0.3">
      <c r="A266" s="16"/>
      <c r="B266" s="17"/>
      <c r="C266" s="17"/>
      <c r="D266" s="17"/>
      <c r="E266" s="18"/>
      <c r="F266" s="18"/>
      <c r="G266" s="17"/>
      <c r="H266" s="19"/>
      <c r="I266" s="17"/>
      <c r="J266" s="20"/>
      <c r="K266" s="20"/>
    </row>
    <row r="267" spans="1:11" s="6" customFormat="1" x14ac:dyDescent="0.3">
      <c r="A267" s="16"/>
      <c r="B267" s="17"/>
      <c r="C267" s="17"/>
      <c r="D267" s="17"/>
      <c r="E267" s="18"/>
      <c r="F267" s="18"/>
      <c r="G267" s="17"/>
      <c r="H267" s="19"/>
      <c r="I267" s="17"/>
      <c r="J267" s="20"/>
      <c r="K267" s="20"/>
    </row>
    <row r="268" spans="1:11" s="6" customFormat="1" x14ac:dyDescent="0.3">
      <c r="A268" s="16"/>
      <c r="B268" s="17"/>
      <c r="C268" s="17"/>
      <c r="D268" s="17"/>
      <c r="E268" s="18"/>
      <c r="F268" s="18"/>
      <c r="G268" s="17"/>
      <c r="H268" s="19"/>
      <c r="I268" s="17"/>
      <c r="J268" s="20"/>
      <c r="K268" s="20"/>
    </row>
    <row r="269" spans="1:11" s="6" customFormat="1" x14ac:dyDescent="0.3">
      <c r="A269" s="16"/>
      <c r="B269" s="17"/>
      <c r="C269" s="17"/>
      <c r="D269" s="17"/>
      <c r="E269" s="18"/>
      <c r="F269" s="18"/>
      <c r="G269" s="17"/>
      <c r="H269" s="19"/>
      <c r="I269" s="17"/>
      <c r="J269" s="20"/>
      <c r="K269" s="20"/>
    </row>
    <row r="270" spans="1:11" s="6" customFormat="1" x14ac:dyDescent="0.3">
      <c r="A270" s="16"/>
      <c r="B270" s="17"/>
      <c r="C270" s="17"/>
      <c r="D270" s="17"/>
      <c r="E270" s="18"/>
      <c r="F270" s="18"/>
      <c r="G270" s="17"/>
      <c r="H270" s="19"/>
      <c r="I270" s="17"/>
      <c r="J270" s="20"/>
      <c r="K270" s="20"/>
    </row>
    <row r="271" spans="1:11" s="6" customFormat="1" x14ac:dyDescent="0.3">
      <c r="A271" s="16"/>
      <c r="B271" s="17"/>
      <c r="C271" s="17"/>
      <c r="D271" s="17"/>
      <c r="E271" s="18"/>
      <c r="F271" s="18"/>
      <c r="G271" s="17"/>
      <c r="H271" s="19"/>
      <c r="I271" s="17"/>
      <c r="J271" s="20"/>
      <c r="K271" s="20"/>
    </row>
    <row r="272" spans="1:11" s="6" customFormat="1" x14ac:dyDescent="0.3">
      <c r="A272" s="7"/>
      <c r="E272" s="8"/>
      <c r="F272" s="8"/>
      <c r="H272" s="9"/>
      <c r="J272" s="10"/>
      <c r="K272" s="10"/>
    </row>
    <row r="273" spans="1:11" s="6" customFormat="1" x14ac:dyDescent="0.3">
      <c r="A273" s="7"/>
      <c r="E273" s="8"/>
      <c r="F273" s="8"/>
      <c r="H273" s="9"/>
      <c r="J273" s="10"/>
      <c r="K273" s="10"/>
    </row>
    <row r="274" spans="1:11" s="6" customFormat="1" x14ac:dyDescent="0.3">
      <c r="A274" s="7"/>
      <c r="E274" s="8"/>
      <c r="F274" s="8"/>
      <c r="H274" s="9"/>
      <c r="J274" s="10"/>
      <c r="K274" s="10"/>
    </row>
    <row r="275" spans="1:11" s="6" customFormat="1" x14ac:dyDescent="0.3">
      <c r="A275" s="7"/>
      <c r="E275" s="8"/>
      <c r="F275" s="8"/>
      <c r="H275" s="9"/>
      <c r="J275" s="10"/>
      <c r="K275" s="10"/>
    </row>
    <row r="276" spans="1:11" s="6" customFormat="1" x14ac:dyDescent="0.3">
      <c r="A276" s="7"/>
      <c r="E276" s="8"/>
      <c r="F276" s="8"/>
      <c r="H276" s="9"/>
      <c r="J276" s="10"/>
      <c r="K276" s="10"/>
    </row>
    <row r="277" spans="1:11" s="6" customFormat="1" x14ac:dyDescent="0.3">
      <c r="A277" s="7"/>
      <c r="E277" s="8"/>
      <c r="F277" s="8"/>
      <c r="H277" s="9"/>
      <c r="J277" s="10"/>
      <c r="K277" s="10"/>
    </row>
    <row r="278" spans="1:11" s="6" customFormat="1" x14ac:dyDescent="0.3">
      <c r="A278" s="7"/>
      <c r="E278" s="8"/>
      <c r="F278" s="8"/>
      <c r="H278" s="9"/>
      <c r="J278" s="10"/>
      <c r="K278" s="10"/>
    </row>
    <row r="279" spans="1:11" s="6" customFormat="1" x14ac:dyDescent="0.3">
      <c r="A279" s="7"/>
      <c r="E279" s="8"/>
      <c r="F279" s="8"/>
      <c r="H279" s="9"/>
      <c r="J279" s="10"/>
      <c r="K279" s="10"/>
    </row>
    <row r="280" spans="1:11" s="6" customFormat="1" x14ac:dyDescent="0.3">
      <c r="A280" s="7"/>
      <c r="E280" s="8"/>
      <c r="F280" s="8"/>
      <c r="H280" s="9"/>
      <c r="J280" s="10"/>
      <c r="K280" s="10"/>
    </row>
    <row r="281" spans="1:11" s="6" customFormat="1" x14ac:dyDescent="0.3">
      <c r="A281" s="7"/>
      <c r="E281" s="8"/>
      <c r="F281" s="8"/>
      <c r="H281" s="9"/>
      <c r="J281" s="10"/>
      <c r="K281" s="10"/>
    </row>
    <row r="282" spans="1:11" s="6" customFormat="1" x14ac:dyDescent="0.3">
      <c r="A282" s="7"/>
      <c r="E282" s="8"/>
      <c r="F282" s="8"/>
      <c r="H282" s="9"/>
      <c r="J282" s="10"/>
      <c r="K282" s="10"/>
    </row>
    <row r="283" spans="1:11" s="6" customFormat="1" x14ac:dyDescent="0.3">
      <c r="A283" s="7"/>
      <c r="E283" s="8"/>
      <c r="F283" s="8"/>
      <c r="H283" s="9"/>
      <c r="J283" s="10"/>
      <c r="K283" s="10"/>
    </row>
    <row r="284" spans="1:11" s="6" customFormat="1" x14ac:dyDescent="0.3">
      <c r="A284" s="7"/>
      <c r="E284" s="8"/>
      <c r="F284" s="8"/>
      <c r="H284" s="9"/>
      <c r="J284" s="10"/>
      <c r="K284" s="10"/>
    </row>
    <row r="285" spans="1:11" s="6" customFormat="1" x14ac:dyDescent="0.3">
      <c r="A285" s="7"/>
      <c r="E285" s="8"/>
      <c r="F285" s="8"/>
      <c r="H285" s="9"/>
      <c r="J285" s="10"/>
      <c r="K285" s="10"/>
    </row>
    <row r="286" spans="1:11" s="6" customFormat="1" x14ac:dyDescent="0.3">
      <c r="A286" s="7"/>
      <c r="E286" s="8"/>
      <c r="F286" s="8"/>
      <c r="H286" s="9"/>
      <c r="J286" s="10"/>
      <c r="K286" s="10"/>
    </row>
    <row r="287" spans="1:11" s="6" customFormat="1" x14ac:dyDescent="0.3">
      <c r="A287" s="7"/>
      <c r="E287" s="8"/>
      <c r="F287" s="8"/>
      <c r="H287" s="9"/>
      <c r="J287" s="10"/>
      <c r="K287" s="10"/>
    </row>
    <row r="288" spans="1:11" s="6" customFormat="1" x14ac:dyDescent="0.3">
      <c r="A288" s="7"/>
      <c r="E288" s="8"/>
      <c r="F288" s="8"/>
      <c r="H288" s="9"/>
      <c r="J288" s="10"/>
      <c r="K288" s="10"/>
    </row>
    <row r="289" spans="1:11" s="6" customFormat="1" x14ac:dyDescent="0.3">
      <c r="A289" s="7"/>
      <c r="E289" s="8"/>
      <c r="F289" s="8"/>
      <c r="H289" s="9"/>
      <c r="J289" s="10"/>
      <c r="K289" s="10"/>
    </row>
    <row r="290" spans="1:11" s="6" customFormat="1" x14ac:dyDescent="0.3">
      <c r="A290" s="7"/>
      <c r="E290" s="8"/>
      <c r="F290" s="8"/>
      <c r="H290" s="9"/>
      <c r="J290" s="10"/>
      <c r="K290" s="10"/>
    </row>
    <row r="291" spans="1:11" s="6" customFormat="1" x14ac:dyDescent="0.3">
      <c r="A291" s="7"/>
      <c r="E291" s="8"/>
      <c r="F291" s="8"/>
      <c r="H291" s="9"/>
      <c r="J291" s="10"/>
      <c r="K291" s="10"/>
    </row>
    <row r="292" spans="1:11" s="6" customFormat="1" x14ac:dyDescent="0.3">
      <c r="A292" s="7"/>
      <c r="E292" s="8"/>
      <c r="F292" s="8"/>
      <c r="H292" s="9"/>
      <c r="J292" s="10"/>
      <c r="K292" s="10"/>
    </row>
    <row r="293" spans="1:11" s="6" customFormat="1" x14ac:dyDescent="0.3">
      <c r="A293" s="7"/>
      <c r="E293" s="8"/>
      <c r="F293" s="8"/>
      <c r="H293" s="9"/>
      <c r="J293" s="10"/>
      <c r="K293" s="10"/>
    </row>
    <row r="294" spans="1:11" s="6" customFormat="1" x14ac:dyDescent="0.3">
      <c r="A294" s="7"/>
      <c r="E294" s="8"/>
      <c r="F294" s="8"/>
      <c r="H294" s="9"/>
      <c r="J294" s="10"/>
      <c r="K294" s="10"/>
    </row>
    <row r="295" spans="1:11" s="6" customFormat="1" x14ac:dyDescent="0.3">
      <c r="A295" s="7"/>
      <c r="E295" s="8"/>
      <c r="F295" s="8"/>
      <c r="H295" s="9"/>
      <c r="J295" s="10"/>
      <c r="K295" s="10"/>
    </row>
    <row r="296" spans="1:11" s="6" customFormat="1" x14ac:dyDescent="0.3">
      <c r="A296" s="7"/>
      <c r="E296" s="8"/>
      <c r="F296" s="8"/>
      <c r="H296" s="9"/>
      <c r="J296" s="10"/>
      <c r="K296" s="10"/>
    </row>
    <row r="297" spans="1:11" s="6" customFormat="1" x14ac:dyDescent="0.3">
      <c r="A297" s="7"/>
      <c r="E297" s="8"/>
      <c r="F297" s="8"/>
      <c r="H297" s="9"/>
      <c r="J297" s="10"/>
      <c r="K297" s="10"/>
    </row>
    <row r="298" spans="1:11" s="6" customFormat="1" x14ac:dyDescent="0.3">
      <c r="A298" s="7"/>
      <c r="E298" s="8"/>
      <c r="F298" s="8"/>
      <c r="H298" s="9"/>
      <c r="J298" s="10"/>
      <c r="K298" s="10"/>
    </row>
    <row r="299" spans="1:11" s="6" customFormat="1" x14ac:dyDescent="0.3">
      <c r="A299" s="7"/>
      <c r="E299" s="8"/>
      <c r="F299" s="8"/>
      <c r="H299" s="9"/>
      <c r="J299" s="10"/>
      <c r="K299" s="10"/>
    </row>
    <row r="300" spans="1:11" s="6" customFormat="1" x14ac:dyDescent="0.3">
      <c r="A300" s="7"/>
      <c r="E300" s="8"/>
      <c r="F300" s="8"/>
      <c r="H300" s="9"/>
      <c r="J300" s="10"/>
      <c r="K300" s="10"/>
    </row>
    <row r="301" spans="1:11" s="6" customFormat="1" x14ac:dyDescent="0.3">
      <c r="A301" s="7"/>
      <c r="E301" s="8"/>
      <c r="F301" s="8"/>
      <c r="H301" s="9"/>
      <c r="J301" s="10"/>
      <c r="K301" s="10"/>
    </row>
    <row r="302" spans="1:11" s="6" customFormat="1" x14ac:dyDescent="0.3">
      <c r="A302" s="7"/>
      <c r="E302" s="8"/>
      <c r="F302" s="8"/>
      <c r="H302" s="9"/>
      <c r="J302" s="10"/>
      <c r="K302" s="10"/>
    </row>
    <row r="303" spans="1:11" s="6" customFormat="1" x14ac:dyDescent="0.3">
      <c r="A303" s="7"/>
      <c r="E303" s="8"/>
      <c r="F303" s="8"/>
      <c r="H303" s="9"/>
      <c r="J303" s="10"/>
      <c r="K303" s="10"/>
    </row>
    <row r="304" spans="1:11" s="6" customFormat="1" x14ac:dyDescent="0.3">
      <c r="A304" s="7"/>
      <c r="E304" s="8"/>
      <c r="F304" s="8"/>
      <c r="H304" s="9"/>
      <c r="J304" s="10"/>
      <c r="K304" s="10"/>
    </row>
    <row r="305" spans="1:11" s="6" customFormat="1" x14ac:dyDescent="0.3">
      <c r="A305" s="7"/>
      <c r="E305" s="8"/>
      <c r="F305" s="8"/>
      <c r="H305" s="9"/>
      <c r="J305" s="10"/>
      <c r="K305" s="10"/>
    </row>
    <row r="306" spans="1:11" s="6" customFormat="1" x14ac:dyDescent="0.3">
      <c r="A306" s="7"/>
      <c r="E306" s="8"/>
      <c r="F306" s="8"/>
      <c r="H306" s="9"/>
      <c r="J306" s="10"/>
      <c r="K306" s="10"/>
    </row>
    <row r="307" spans="1:11" s="6" customFormat="1" x14ac:dyDescent="0.3">
      <c r="A307" s="7"/>
      <c r="E307" s="8"/>
      <c r="F307" s="8"/>
      <c r="H307" s="9"/>
      <c r="J307" s="10"/>
      <c r="K307" s="10"/>
    </row>
    <row r="308" spans="1:11" s="6" customFormat="1" x14ac:dyDescent="0.3">
      <c r="A308" s="7"/>
      <c r="E308" s="8"/>
      <c r="F308" s="8"/>
      <c r="H308" s="9"/>
      <c r="J308" s="10"/>
      <c r="K308" s="10"/>
    </row>
    <row r="309" spans="1:11" s="6" customFormat="1" x14ac:dyDescent="0.3">
      <c r="A309" s="7"/>
      <c r="E309" s="8"/>
      <c r="F309" s="8"/>
      <c r="H309" s="9"/>
      <c r="J309" s="10"/>
      <c r="K309" s="10"/>
    </row>
    <row r="310" spans="1:11" s="6" customFormat="1" x14ac:dyDescent="0.3">
      <c r="A310" s="7"/>
      <c r="E310" s="8"/>
      <c r="F310" s="8"/>
      <c r="H310" s="9"/>
      <c r="J310" s="10"/>
      <c r="K310" s="10"/>
    </row>
    <row r="311" spans="1:11" s="6" customFormat="1" x14ac:dyDescent="0.3">
      <c r="A311" s="7"/>
      <c r="E311" s="8"/>
      <c r="F311" s="8"/>
      <c r="H311" s="9"/>
      <c r="J311" s="10"/>
      <c r="K311" s="10"/>
    </row>
    <row r="312" spans="1:11" s="6" customFormat="1" x14ac:dyDescent="0.3">
      <c r="A312" s="7"/>
      <c r="E312" s="8"/>
      <c r="F312" s="8"/>
      <c r="H312" s="9"/>
      <c r="J312" s="10"/>
      <c r="K312" s="10"/>
    </row>
    <row r="313" spans="1:11" s="6" customFormat="1" x14ac:dyDescent="0.3">
      <c r="A313" s="7"/>
      <c r="E313" s="8"/>
      <c r="F313" s="8"/>
      <c r="H313" s="9"/>
      <c r="J313" s="10"/>
      <c r="K313" s="10"/>
    </row>
    <row r="314" spans="1:11" s="6" customFormat="1" x14ac:dyDescent="0.3">
      <c r="A314" s="7"/>
      <c r="E314" s="8"/>
      <c r="F314" s="8"/>
      <c r="H314" s="9"/>
      <c r="J314" s="10"/>
      <c r="K314" s="10"/>
    </row>
    <row r="315" spans="1:11" s="6" customFormat="1" x14ac:dyDescent="0.3">
      <c r="A315" s="7"/>
      <c r="E315" s="8"/>
      <c r="F315" s="8"/>
      <c r="H315" s="9"/>
      <c r="J315" s="10"/>
      <c r="K315" s="10"/>
    </row>
    <row r="316" spans="1:11" s="6" customFormat="1" x14ac:dyDescent="0.3">
      <c r="A316" s="7"/>
      <c r="E316" s="8"/>
      <c r="F316" s="8"/>
      <c r="H316" s="9"/>
      <c r="J316" s="10"/>
      <c r="K316" s="10"/>
    </row>
    <row r="317" spans="1:11" s="6" customFormat="1" x14ac:dyDescent="0.3">
      <c r="A317" s="7"/>
      <c r="E317" s="8"/>
      <c r="F317" s="8"/>
      <c r="H317" s="9"/>
      <c r="J317" s="10"/>
      <c r="K317" s="10"/>
    </row>
    <row r="318" spans="1:11" s="6" customFormat="1" x14ac:dyDescent="0.3">
      <c r="A318" s="7"/>
      <c r="E318" s="8"/>
      <c r="F318" s="8"/>
      <c r="H318" s="9"/>
      <c r="J318" s="10"/>
      <c r="K318" s="10"/>
    </row>
    <row r="319" spans="1:11" s="6" customFormat="1" x14ac:dyDescent="0.3">
      <c r="A319" s="7"/>
      <c r="E319" s="8"/>
      <c r="F319" s="8"/>
      <c r="H319" s="9"/>
      <c r="J319" s="10"/>
      <c r="K319" s="10"/>
    </row>
    <row r="320" spans="1:11" s="6" customFormat="1" x14ac:dyDescent="0.3">
      <c r="A320" s="7"/>
      <c r="E320" s="8"/>
      <c r="F320" s="8"/>
      <c r="H320" s="9"/>
      <c r="J320" s="10"/>
      <c r="K320" s="10"/>
    </row>
    <row r="321" spans="1:11" s="6" customFormat="1" x14ac:dyDescent="0.3">
      <c r="A321" s="7"/>
      <c r="E321" s="8"/>
      <c r="F321" s="8"/>
      <c r="H321" s="9"/>
      <c r="J321" s="10"/>
      <c r="K321" s="10"/>
    </row>
    <row r="322" spans="1:11" s="6" customFormat="1" x14ac:dyDescent="0.3">
      <c r="A322" s="7"/>
      <c r="E322" s="8"/>
      <c r="F322" s="8"/>
      <c r="H322" s="9"/>
      <c r="J322" s="10"/>
      <c r="K322" s="10"/>
    </row>
    <row r="323" spans="1:11" s="6" customFormat="1" x14ac:dyDescent="0.3">
      <c r="A323" s="7"/>
      <c r="E323" s="8"/>
      <c r="F323" s="8"/>
      <c r="H323" s="9"/>
      <c r="J323" s="10"/>
      <c r="K323" s="10"/>
    </row>
    <row r="324" spans="1:11" s="6" customFormat="1" x14ac:dyDescent="0.3">
      <c r="A324" s="7"/>
      <c r="E324" s="8"/>
      <c r="F324" s="8"/>
      <c r="H324" s="9"/>
      <c r="J324" s="10"/>
      <c r="K324" s="10"/>
    </row>
    <row r="325" spans="1:11" s="6" customFormat="1" x14ac:dyDescent="0.3">
      <c r="A325" s="7"/>
      <c r="E325" s="8"/>
      <c r="F325" s="8"/>
      <c r="H325" s="9"/>
      <c r="J325" s="10"/>
      <c r="K325" s="10"/>
    </row>
    <row r="326" spans="1:11" s="6" customFormat="1" x14ac:dyDescent="0.3">
      <c r="A326" s="7"/>
      <c r="E326" s="8"/>
      <c r="F326" s="8"/>
      <c r="H326" s="9"/>
      <c r="J326" s="10"/>
      <c r="K326" s="10"/>
    </row>
    <row r="327" spans="1:11" s="6" customFormat="1" x14ac:dyDescent="0.3">
      <c r="A327" s="7"/>
      <c r="E327" s="8"/>
      <c r="F327" s="8"/>
      <c r="H327" s="9"/>
      <c r="J327" s="10"/>
      <c r="K327" s="10"/>
    </row>
    <row r="328" spans="1:11" s="6" customFormat="1" x14ac:dyDescent="0.3">
      <c r="A328" s="7"/>
      <c r="E328" s="8"/>
      <c r="F328" s="8"/>
      <c r="H328" s="9"/>
      <c r="J328" s="10"/>
      <c r="K328" s="10"/>
    </row>
    <row r="329" spans="1:11" s="6" customFormat="1" x14ac:dyDescent="0.3">
      <c r="A329" s="7"/>
      <c r="E329" s="8"/>
      <c r="F329" s="8"/>
      <c r="H329" s="9"/>
      <c r="J329" s="10"/>
      <c r="K329" s="10"/>
    </row>
    <row r="330" spans="1:11" s="6" customFormat="1" x14ac:dyDescent="0.3">
      <c r="A330" s="7"/>
      <c r="E330" s="8"/>
      <c r="F330" s="8"/>
      <c r="H330" s="9"/>
      <c r="J330" s="10"/>
      <c r="K330" s="10"/>
    </row>
    <row r="331" spans="1:11" s="6" customFormat="1" x14ac:dyDescent="0.3">
      <c r="A331" s="7"/>
      <c r="E331" s="8"/>
      <c r="F331" s="8"/>
      <c r="H331" s="9"/>
      <c r="J331" s="10"/>
      <c r="K331" s="10"/>
    </row>
    <row r="332" spans="1:11" s="6" customFormat="1" x14ac:dyDescent="0.3">
      <c r="A332" s="7"/>
      <c r="E332" s="8"/>
      <c r="F332" s="8"/>
      <c r="H332" s="9"/>
      <c r="J332" s="10"/>
      <c r="K332" s="10"/>
    </row>
    <row r="333" spans="1:11" s="6" customFormat="1" x14ac:dyDescent="0.3">
      <c r="A333" s="7"/>
      <c r="E333" s="8"/>
      <c r="F333" s="8"/>
      <c r="H333" s="9"/>
      <c r="J333" s="10"/>
      <c r="K333" s="10"/>
    </row>
    <row r="334" spans="1:11" s="6" customFormat="1" x14ac:dyDescent="0.3">
      <c r="A334" s="7"/>
      <c r="E334" s="8"/>
      <c r="F334" s="8"/>
      <c r="H334" s="9"/>
      <c r="J334" s="10"/>
      <c r="K334" s="10"/>
    </row>
    <row r="335" spans="1:11" s="6" customFormat="1" x14ac:dyDescent="0.3">
      <c r="A335" s="7"/>
      <c r="E335" s="8"/>
      <c r="F335" s="8"/>
      <c r="H335" s="9"/>
      <c r="J335" s="10"/>
      <c r="K335" s="10"/>
    </row>
    <row r="336" spans="1:11" s="6" customFormat="1" x14ac:dyDescent="0.3">
      <c r="A336" s="7"/>
      <c r="E336" s="8"/>
      <c r="F336" s="8"/>
      <c r="H336" s="9"/>
      <c r="J336" s="10"/>
      <c r="K336" s="10"/>
    </row>
    <row r="337" spans="1:11" s="6" customFormat="1" x14ac:dyDescent="0.3">
      <c r="A337" s="7"/>
      <c r="E337" s="8"/>
      <c r="F337" s="8"/>
      <c r="H337" s="9"/>
      <c r="J337" s="10"/>
      <c r="K337" s="10"/>
    </row>
    <row r="338" spans="1:11" s="6" customFormat="1" x14ac:dyDescent="0.3">
      <c r="A338" s="7"/>
      <c r="E338" s="8"/>
      <c r="F338" s="8"/>
      <c r="H338" s="9"/>
      <c r="J338" s="10"/>
      <c r="K338" s="10"/>
    </row>
    <row r="339" spans="1:11" s="6" customFormat="1" x14ac:dyDescent="0.3">
      <c r="A339" s="7"/>
      <c r="E339" s="8"/>
      <c r="F339" s="8"/>
      <c r="H339" s="9"/>
      <c r="J339" s="10"/>
      <c r="K339" s="10"/>
    </row>
    <row r="340" spans="1:11" s="6" customFormat="1" x14ac:dyDescent="0.3">
      <c r="A340" s="7"/>
      <c r="E340" s="8"/>
      <c r="F340" s="8"/>
      <c r="H340" s="9"/>
      <c r="J340" s="10"/>
      <c r="K340" s="10"/>
    </row>
    <row r="341" spans="1:11" s="6" customFormat="1" x14ac:dyDescent="0.3">
      <c r="A341" s="7"/>
      <c r="E341" s="8"/>
      <c r="F341" s="8"/>
      <c r="H341" s="9"/>
      <c r="J341" s="10"/>
      <c r="K341" s="10"/>
    </row>
    <row r="342" spans="1:11" s="6" customFormat="1" x14ac:dyDescent="0.3">
      <c r="A342" s="7"/>
      <c r="E342" s="8"/>
      <c r="F342" s="8"/>
      <c r="H342" s="9"/>
      <c r="J342" s="10"/>
      <c r="K342" s="10"/>
    </row>
    <row r="343" spans="1:11" s="6" customFormat="1" x14ac:dyDescent="0.3">
      <c r="A343" s="7"/>
      <c r="E343" s="8"/>
      <c r="F343" s="8"/>
      <c r="H343" s="9"/>
      <c r="J343" s="10"/>
      <c r="K343" s="10"/>
    </row>
    <row r="344" spans="1:11" s="6" customFormat="1" x14ac:dyDescent="0.3">
      <c r="A344" s="7"/>
      <c r="E344" s="8"/>
      <c r="F344" s="8"/>
      <c r="H344" s="9"/>
      <c r="J344" s="10"/>
      <c r="K344" s="10"/>
    </row>
    <row r="345" spans="1:11" s="6" customFormat="1" x14ac:dyDescent="0.3">
      <c r="A345" s="7"/>
      <c r="E345" s="8"/>
      <c r="F345" s="8"/>
      <c r="H345" s="9"/>
      <c r="J345" s="10"/>
      <c r="K345" s="10"/>
    </row>
    <row r="346" spans="1:11" s="6" customFormat="1" x14ac:dyDescent="0.3">
      <c r="A346" s="7"/>
      <c r="E346" s="8"/>
      <c r="F346" s="8"/>
      <c r="H346" s="9"/>
      <c r="J346" s="10"/>
      <c r="K346" s="10"/>
    </row>
    <row r="347" spans="1:11" s="6" customFormat="1" x14ac:dyDescent="0.3">
      <c r="A347" s="7"/>
      <c r="E347" s="8"/>
      <c r="F347" s="8"/>
      <c r="H347" s="9"/>
      <c r="J347" s="10"/>
      <c r="K347" s="10"/>
    </row>
    <row r="348" spans="1:11" s="6" customFormat="1" x14ac:dyDescent="0.3">
      <c r="A348" s="7"/>
      <c r="E348" s="8"/>
      <c r="F348" s="8"/>
      <c r="H348" s="9"/>
      <c r="J348" s="10"/>
      <c r="K348" s="10"/>
    </row>
    <row r="349" spans="1:11" s="6" customFormat="1" x14ac:dyDescent="0.3">
      <c r="A349" s="7"/>
      <c r="E349" s="8"/>
      <c r="F349" s="8"/>
      <c r="H349" s="9"/>
      <c r="J349" s="10"/>
      <c r="K349" s="10"/>
    </row>
    <row r="350" spans="1:11" s="6" customFormat="1" x14ac:dyDescent="0.3">
      <c r="A350" s="7"/>
      <c r="E350" s="8"/>
      <c r="F350" s="8"/>
      <c r="H350" s="9"/>
      <c r="J350" s="10"/>
      <c r="K350" s="10"/>
    </row>
    <row r="351" spans="1:11" s="6" customFormat="1" x14ac:dyDescent="0.3">
      <c r="A351" s="7"/>
      <c r="E351" s="8"/>
      <c r="F351" s="8"/>
      <c r="H351" s="9"/>
      <c r="J351" s="10"/>
      <c r="K351" s="10"/>
    </row>
    <row r="352" spans="1:11" s="6" customFormat="1" x14ac:dyDescent="0.3">
      <c r="A352" s="7"/>
      <c r="E352" s="8"/>
      <c r="F352" s="8"/>
      <c r="H352" s="9"/>
      <c r="J352" s="10"/>
      <c r="K352" s="10"/>
    </row>
    <row r="353" spans="1:11" s="6" customFormat="1" x14ac:dyDescent="0.3">
      <c r="A353" s="7"/>
      <c r="E353" s="8"/>
      <c r="F353" s="8"/>
      <c r="H353" s="9"/>
      <c r="J353" s="10"/>
      <c r="K353" s="10"/>
    </row>
    <row r="354" spans="1:11" s="6" customFormat="1" x14ac:dyDescent="0.3">
      <c r="A354" s="7"/>
      <c r="E354" s="8"/>
      <c r="F354" s="8"/>
      <c r="H354" s="9"/>
      <c r="J354" s="10"/>
      <c r="K354" s="10"/>
    </row>
    <row r="355" spans="1:11" s="6" customFormat="1" x14ac:dyDescent="0.3">
      <c r="A355" s="7"/>
      <c r="E355" s="8"/>
      <c r="F355" s="8"/>
      <c r="H355" s="9"/>
      <c r="J355" s="10"/>
      <c r="K355" s="10"/>
    </row>
    <row r="356" spans="1:11" s="6" customFormat="1" x14ac:dyDescent="0.3">
      <c r="A356" s="7"/>
      <c r="E356" s="8"/>
      <c r="F356" s="8"/>
      <c r="H356" s="9"/>
      <c r="J356" s="10"/>
      <c r="K356" s="10"/>
    </row>
    <row r="357" spans="1:11" s="6" customFormat="1" x14ac:dyDescent="0.3">
      <c r="A357" s="7"/>
      <c r="E357" s="8"/>
      <c r="F357" s="8"/>
      <c r="H357" s="9"/>
      <c r="J357" s="10"/>
      <c r="K357" s="10"/>
    </row>
    <row r="358" spans="1:11" s="6" customFormat="1" x14ac:dyDescent="0.3">
      <c r="A358" s="7"/>
      <c r="E358" s="8"/>
      <c r="F358" s="8"/>
      <c r="H358" s="9"/>
      <c r="J358" s="10"/>
      <c r="K358" s="10"/>
    </row>
    <row r="359" spans="1:11" s="6" customFormat="1" x14ac:dyDescent="0.3">
      <c r="A359" s="7"/>
      <c r="E359" s="8"/>
      <c r="F359" s="8"/>
      <c r="H359" s="9"/>
      <c r="J359" s="10"/>
      <c r="K359" s="10"/>
    </row>
    <row r="360" spans="1:11" s="6" customFormat="1" x14ac:dyDescent="0.3">
      <c r="A360" s="7"/>
      <c r="E360" s="8"/>
      <c r="F360" s="8"/>
      <c r="H360" s="9"/>
      <c r="J360" s="10"/>
      <c r="K360" s="10"/>
    </row>
    <row r="361" spans="1:11" s="6" customFormat="1" x14ac:dyDescent="0.3">
      <c r="A361" s="7"/>
      <c r="E361" s="8"/>
      <c r="F361" s="8"/>
      <c r="H361" s="9"/>
      <c r="J361" s="10"/>
      <c r="K361" s="10"/>
    </row>
    <row r="362" spans="1:11" s="6" customFormat="1" x14ac:dyDescent="0.3">
      <c r="A362" s="7"/>
      <c r="E362" s="8"/>
      <c r="F362" s="8"/>
      <c r="H362" s="9"/>
      <c r="J362" s="10"/>
      <c r="K362" s="10"/>
    </row>
    <row r="363" spans="1:11" s="6" customFormat="1" x14ac:dyDescent="0.3">
      <c r="A363" s="7"/>
      <c r="E363" s="8"/>
      <c r="F363" s="8"/>
      <c r="H363" s="9"/>
      <c r="J363" s="10"/>
      <c r="K363" s="10"/>
    </row>
    <row r="364" spans="1:11" s="6" customFormat="1" x14ac:dyDescent="0.3">
      <c r="A364" s="7"/>
      <c r="E364" s="8"/>
      <c r="F364" s="8"/>
      <c r="H364" s="9"/>
      <c r="J364" s="10"/>
      <c r="K364" s="10"/>
    </row>
    <row r="365" spans="1:11" s="6" customFormat="1" x14ac:dyDescent="0.3">
      <c r="A365" s="7"/>
      <c r="E365" s="8"/>
      <c r="F365" s="8"/>
      <c r="H365" s="9"/>
      <c r="J365" s="10"/>
      <c r="K365" s="10"/>
    </row>
    <row r="366" spans="1:11" s="6" customFormat="1" x14ac:dyDescent="0.3">
      <c r="A366" s="7"/>
      <c r="E366" s="8"/>
      <c r="F366" s="8"/>
      <c r="H366" s="9"/>
      <c r="J366" s="10"/>
      <c r="K366" s="10"/>
    </row>
    <row r="367" spans="1:11" s="6" customFormat="1" x14ac:dyDescent="0.3">
      <c r="A367" s="7"/>
      <c r="E367" s="8"/>
      <c r="F367" s="8"/>
      <c r="H367" s="9"/>
      <c r="J367" s="10"/>
      <c r="K367" s="10"/>
    </row>
    <row r="368" spans="1:11" s="6" customFormat="1" x14ac:dyDescent="0.3">
      <c r="A368" s="7"/>
      <c r="E368" s="8"/>
      <c r="F368" s="8"/>
      <c r="H368" s="9"/>
      <c r="J368" s="10"/>
      <c r="K368" s="10"/>
    </row>
    <row r="369" spans="1:11" s="6" customFormat="1" x14ac:dyDescent="0.3">
      <c r="A369" s="7"/>
      <c r="E369" s="8"/>
      <c r="F369" s="8"/>
      <c r="H369" s="9"/>
      <c r="J369" s="10"/>
      <c r="K369" s="10"/>
    </row>
    <row r="370" spans="1:11" s="6" customFormat="1" x14ac:dyDescent="0.3">
      <c r="A370" s="7"/>
      <c r="E370" s="8"/>
      <c r="F370" s="8"/>
      <c r="H370" s="9"/>
      <c r="J370" s="10"/>
      <c r="K370" s="10"/>
    </row>
    <row r="371" spans="1:11" s="6" customFormat="1" x14ac:dyDescent="0.3">
      <c r="A371" s="7"/>
      <c r="E371" s="8"/>
      <c r="F371" s="8"/>
      <c r="H371" s="9"/>
      <c r="J371" s="10"/>
      <c r="K371" s="10"/>
    </row>
    <row r="372" spans="1:11" s="6" customFormat="1" x14ac:dyDescent="0.3">
      <c r="A372" s="7"/>
      <c r="E372" s="8"/>
      <c r="F372" s="8"/>
      <c r="H372" s="9"/>
      <c r="J372" s="10"/>
      <c r="K372" s="10"/>
    </row>
    <row r="373" spans="1:11" s="6" customFormat="1" x14ac:dyDescent="0.3">
      <c r="A373" s="7"/>
      <c r="E373" s="8"/>
      <c r="F373" s="8"/>
      <c r="H373" s="9"/>
      <c r="J373" s="10"/>
      <c r="K373" s="10"/>
    </row>
    <row r="374" spans="1:11" s="6" customFormat="1" x14ac:dyDescent="0.3">
      <c r="A374" s="7"/>
      <c r="E374" s="8"/>
      <c r="F374" s="8"/>
      <c r="H374" s="9"/>
      <c r="J374" s="10"/>
      <c r="K374" s="10"/>
    </row>
    <row r="375" spans="1:11" s="6" customFormat="1" x14ac:dyDescent="0.3">
      <c r="A375" s="7"/>
      <c r="E375" s="8"/>
      <c r="F375" s="8"/>
      <c r="H375" s="9"/>
      <c r="J375" s="10"/>
      <c r="K375" s="10"/>
    </row>
    <row r="376" spans="1:11" s="6" customFormat="1" x14ac:dyDescent="0.3">
      <c r="A376" s="7"/>
      <c r="E376" s="8"/>
      <c r="F376" s="8"/>
      <c r="H376" s="9"/>
      <c r="J376" s="10"/>
      <c r="K376" s="10"/>
    </row>
    <row r="377" spans="1:11" s="6" customFormat="1" x14ac:dyDescent="0.3">
      <c r="A377" s="7"/>
      <c r="E377" s="8"/>
      <c r="F377" s="8"/>
      <c r="H377" s="9"/>
      <c r="J377" s="10"/>
      <c r="K377" s="10"/>
    </row>
    <row r="378" spans="1:11" s="6" customFormat="1" x14ac:dyDescent="0.3">
      <c r="A378" s="7"/>
      <c r="E378" s="8"/>
      <c r="F378" s="8"/>
      <c r="H378" s="9"/>
      <c r="J378" s="10"/>
      <c r="K378" s="10"/>
    </row>
    <row r="379" spans="1:11" s="6" customFormat="1" x14ac:dyDescent="0.3">
      <c r="A379" s="7"/>
      <c r="E379" s="8"/>
      <c r="F379" s="8"/>
      <c r="H379" s="9"/>
      <c r="J379" s="10"/>
      <c r="K379" s="10"/>
    </row>
    <row r="380" spans="1:11" s="6" customFormat="1" x14ac:dyDescent="0.3">
      <c r="A380" s="7"/>
      <c r="E380" s="8"/>
      <c r="F380" s="8"/>
      <c r="H380" s="9"/>
      <c r="J380" s="10"/>
      <c r="K380" s="10"/>
    </row>
    <row r="381" spans="1:11" s="6" customFormat="1" x14ac:dyDescent="0.3">
      <c r="A381" s="7"/>
      <c r="E381" s="8"/>
      <c r="F381" s="8"/>
      <c r="H381" s="9"/>
      <c r="J381" s="10"/>
      <c r="K381" s="10"/>
    </row>
    <row r="382" spans="1:11" s="6" customFormat="1" x14ac:dyDescent="0.3">
      <c r="A382" s="7"/>
      <c r="E382" s="8"/>
      <c r="F382" s="8"/>
      <c r="H382" s="9"/>
      <c r="J382" s="10"/>
      <c r="K382" s="1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21"/>
      <c r="B550" s="22"/>
      <c r="C550" s="22"/>
      <c r="D550" s="22"/>
      <c r="E550" s="23"/>
      <c r="F550" s="23"/>
      <c r="G550" s="22"/>
      <c r="H550" s="24"/>
      <c r="I550" s="22"/>
      <c r="J550" s="25"/>
      <c r="K550" s="25"/>
    </row>
    <row r="551" spans="1:11" s="6" customFormat="1" x14ac:dyDescent="0.3">
      <c r="A551" s="21"/>
      <c r="B551" s="22"/>
      <c r="C551" s="22"/>
      <c r="D551" s="22"/>
      <c r="E551" s="23"/>
      <c r="F551" s="23"/>
      <c r="G551" s="22"/>
      <c r="H551" s="24"/>
      <c r="I551" s="22"/>
      <c r="J551" s="25"/>
      <c r="K551" s="25"/>
    </row>
    <row r="552" spans="1:11" s="6" customFormat="1" x14ac:dyDescent="0.3">
      <c r="A552" s="21"/>
      <c r="B552" s="22"/>
      <c r="C552" s="22"/>
      <c r="D552" s="22"/>
      <c r="E552" s="23"/>
      <c r="F552" s="23"/>
      <c r="G552" s="22"/>
      <c r="H552" s="24"/>
      <c r="I552" s="22"/>
      <c r="J552" s="25"/>
      <c r="K552" s="25"/>
    </row>
    <row r="553" spans="1:11" s="6" customFormat="1" x14ac:dyDescent="0.3">
      <c r="A553" s="21"/>
      <c r="B553" s="22"/>
      <c r="C553" s="22"/>
      <c r="D553" s="22"/>
      <c r="E553" s="23"/>
      <c r="F553" s="23"/>
      <c r="G553" s="22"/>
      <c r="H553" s="24"/>
      <c r="I553" s="22"/>
      <c r="J553" s="25"/>
      <c r="K553" s="25"/>
    </row>
    <row r="554" spans="1:11" s="6" customFormat="1" x14ac:dyDescent="0.3">
      <c r="A554" s="21"/>
      <c r="B554" s="22"/>
      <c r="C554" s="22"/>
      <c r="D554" s="22"/>
      <c r="E554" s="23"/>
      <c r="F554" s="23"/>
      <c r="G554" s="22"/>
      <c r="H554" s="24"/>
      <c r="I554" s="22"/>
      <c r="J554" s="25"/>
      <c r="K554" s="25"/>
    </row>
    <row r="555" spans="1:11" s="6" customFormat="1" x14ac:dyDescent="0.3">
      <c r="A555" s="21"/>
      <c r="B555" s="22"/>
      <c r="C555" s="22"/>
      <c r="D555" s="22"/>
      <c r="E555" s="23"/>
      <c r="F555" s="23"/>
      <c r="G555" s="22"/>
      <c r="H555" s="24"/>
      <c r="I555" s="22"/>
      <c r="J555" s="25"/>
      <c r="K555" s="25"/>
    </row>
    <row r="556" spans="1:11" s="6" customFormat="1" x14ac:dyDescent="0.3">
      <c r="A556" s="21"/>
      <c r="B556" s="22"/>
      <c r="C556" s="22"/>
      <c r="D556" s="22"/>
      <c r="E556" s="23"/>
      <c r="F556" s="23"/>
      <c r="G556" s="22"/>
      <c r="H556" s="24"/>
      <c r="I556" s="22"/>
      <c r="J556" s="25"/>
      <c r="K556" s="25"/>
    </row>
    <row r="557" spans="1:11" s="6" customFormat="1" x14ac:dyDescent="0.3">
      <c r="A557" s="21"/>
      <c r="B557" s="22"/>
      <c r="C557" s="22"/>
      <c r="D557" s="22"/>
      <c r="E557" s="23"/>
      <c r="F557" s="23"/>
      <c r="G557" s="22"/>
      <c r="H557" s="24"/>
      <c r="I557" s="22"/>
      <c r="J557" s="25"/>
      <c r="K557" s="25"/>
    </row>
    <row r="558" spans="1:11" s="6" customFormat="1" x14ac:dyDescent="0.3">
      <c r="A558" s="21"/>
      <c r="B558" s="22"/>
      <c r="C558" s="22"/>
      <c r="D558" s="22"/>
      <c r="E558" s="23"/>
      <c r="F558" s="23"/>
      <c r="G558" s="22"/>
      <c r="H558" s="24"/>
      <c r="I558" s="22"/>
      <c r="J558" s="25"/>
      <c r="K558" s="25"/>
    </row>
    <row r="559" spans="1:11" s="6" customFormat="1" x14ac:dyDescent="0.3">
      <c r="A559" s="21"/>
      <c r="B559" s="22"/>
      <c r="C559" s="22"/>
      <c r="D559" s="22"/>
      <c r="E559" s="23"/>
      <c r="F559" s="23"/>
      <c r="G559" s="22"/>
      <c r="H559" s="24"/>
      <c r="I559" s="22"/>
      <c r="J559" s="25"/>
      <c r="K559" s="25"/>
    </row>
    <row r="560" spans="1:11" s="6" customFormat="1" x14ac:dyDescent="0.3">
      <c r="A560" s="21"/>
      <c r="B560" s="22"/>
      <c r="C560" s="22"/>
      <c r="D560" s="22"/>
      <c r="E560" s="23"/>
      <c r="F560" s="23"/>
      <c r="G560" s="22"/>
      <c r="H560" s="24"/>
      <c r="I560" s="22"/>
      <c r="J560" s="25"/>
      <c r="K560" s="25"/>
    </row>
    <row r="561" spans="1:11" s="6" customFormat="1" x14ac:dyDescent="0.3">
      <c r="A561" s="21"/>
      <c r="B561" s="22"/>
      <c r="C561" s="22"/>
      <c r="D561" s="22"/>
      <c r="E561" s="23"/>
      <c r="F561" s="23"/>
      <c r="G561" s="22"/>
      <c r="H561" s="24"/>
      <c r="I561" s="22"/>
      <c r="J561" s="25"/>
      <c r="K561" s="25"/>
    </row>
    <row r="562" spans="1:11" s="6" customFormat="1" x14ac:dyDescent="0.3">
      <c r="A562" s="21"/>
      <c r="B562" s="22"/>
      <c r="C562" s="22"/>
      <c r="D562" s="22"/>
      <c r="E562" s="23"/>
      <c r="F562" s="23"/>
      <c r="G562" s="22"/>
      <c r="H562" s="24"/>
      <c r="I562" s="22"/>
      <c r="J562" s="25"/>
      <c r="K562" s="25"/>
    </row>
    <row r="563" spans="1:11" s="6" customFormat="1" x14ac:dyDescent="0.3">
      <c r="A563" s="21"/>
      <c r="B563" s="22"/>
      <c r="C563" s="22"/>
      <c r="D563" s="22"/>
      <c r="E563" s="23"/>
      <c r="F563" s="23"/>
      <c r="G563" s="22"/>
      <c r="H563" s="24"/>
      <c r="I563" s="22"/>
      <c r="J563" s="25"/>
      <c r="K563" s="25"/>
    </row>
    <row r="564" spans="1:11" s="6" customFormat="1" x14ac:dyDescent="0.3">
      <c r="A564" s="21"/>
      <c r="B564" s="22"/>
      <c r="C564" s="22"/>
      <c r="D564" s="22"/>
      <c r="E564" s="23"/>
      <c r="F564" s="23"/>
      <c r="G564" s="22"/>
      <c r="H564" s="24"/>
      <c r="I564" s="22"/>
      <c r="J564" s="25"/>
      <c r="K564" s="25"/>
    </row>
    <row r="565" spans="1:11" s="6" customFormat="1" x14ac:dyDescent="0.3">
      <c r="A565" s="21"/>
      <c r="B565" s="22"/>
      <c r="C565" s="22"/>
      <c r="D565" s="22"/>
      <c r="E565" s="23"/>
      <c r="F565" s="23"/>
      <c r="G565" s="22"/>
      <c r="H565" s="24"/>
      <c r="I565" s="22"/>
      <c r="J565" s="25"/>
      <c r="K565" s="25"/>
    </row>
    <row r="566" spans="1:11" s="6" customFormat="1" x14ac:dyDescent="0.3">
      <c r="A566" s="21"/>
      <c r="B566" s="22"/>
      <c r="C566" s="22"/>
      <c r="D566" s="22"/>
      <c r="E566" s="23"/>
      <c r="F566" s="23"/>
      <c r="G566" s="22"/>
      <c r="H566" s="24"/>
      <c r="I566" s="22"/>
      <c r="J566" s="25"/>
      <c r="K566" s="25"/>
    </row>
    <row r="567" spans="1:11" s="6" customFormat="1" x14ac:dyDescent="0.3">
      <c r="A567" s="21"/>
      <c r="B567" s="22"/>
      <c r="C567" s="22"/>
      <c r="D567" s="22"/>
      <c r="E567" s="23"/>
      <c r="F567" s="23"/>
      <c r="G567" s="22"/>
      <c r="H567" s="24"/>
      <c r="I567" s="22"/>
      <c r="J567" s="25"/>
      <c r="K567" s="25"/>
    </row>
    <row r="568" spans="1:11" s="6" customFormat="1" x14ac:dyDescent="0.3">
      <c r="A568" s="21"/>
      <c r="B568" s="22"/>
      <c r="C568" s="22"/>
      <c r="D568" s="22"/>
      <c r="E568" s="23"/>
      <c r="F568" s="23"/>
      <c r="G568" s="22"/>
      <c r="H568" s="24"/>
      <c r="I568" s="22"/>
      <c r="J568" s="25"/>
      <c r="K568" s="25"/>
    </row>
    <row r="569" spans="1:11" s="6" customFormat="1" x14ac:dyDescent="0.3">
      <c r="A569" s="21"/>
      <c r="B569" s="22"/>
      <c r="C569" s="22"/>
      <c r="D569" s="22"/>
      <c r="E569" s="23"/>
      <c r="F569" s="23"/>
      <c r="G569" s="22"/>
      <c r="H569" s="24"/>
      <c r="I569" s="22"/>
      <c r="J569" s="25"/>
      <c r="K569" s="25"/>
    </row>
    <row r="570" spans="1:11" s="6" customFormat="1" x14ac:dyDescent="0.3">
      <c r="A570" s="21"/>
      <c r="B570" s="22"/>
      <c r="C570" s="22"/>
      <c r="D570" s="22"/>
      <c r="E570" s="23"/>
      <c r="F570" s="23"/>
      <c r="G570" s="22"/>
      <c r="H570" s="24"/>
      <c r="I570" s="22"/>
      <c r="J570" s="25"/>
      <c r="K570" s="25"/>
    </row>
    <row r="571" spans="1:11" s="6" customFormat="1" x14ac:dyDescent="0.3">
      <c r="A571" s="21"/>
      <c r="B571" s="22"/>
      <c r="C571" s="22"/>
      <c r="D571" s="22"/>
      <c r="E571" s="23"/>
      <c r="F571" s="23"/>
      <c r="G571" s="22"/>
      <c r="H571" s="24"/>
      <c r="I571" s="22"/>
      <c r="J571" s="25"/>
      <c r="K571" s="25"/>
    </row>
    <row r="572" spans="1:11" s="6" customFormat="1" x14ac:dyDescent="0.3">
      <c r="A572" s="21"/>
      <c r="B572" s="22"/>
      <c r="C572" s="22"/>
      <c r="D572" s="22"/>
      <c r="E572" s="23"/>
      <c r="F572" s="23"/>
      <c r="G572" s="22"/>
      <c r="H572" s="24"/>
      <c r="I572" s="22"/>
      <c r="J572" s="25"/>
      <c r="K572" s="25"/>
    </row>
    <row r="573" spans="1:11" s="6" customFormat="1" x14ac:dyDescent="0.3">
      <c r="A573" s="21"/>
      <c r="B573" s="22"/>
      <c r="C573" s="22"/>
      <c r="D573" s="22"/>
      <c r="E573" s="23"/>
      <c r="F573" s="23"/>
      <c r="G573" s="22"/>
      <c r="H573" s="24"/>
      <c r="I573" s="22"/>
      <c r="J573" s="25"/>
      <c r="K573" s="25"/>
    </row>
    <row r="574" spans="1:11" s="6" customFormat="1" x14ac:dyDescent="0.3">
      <c r="A574" s="21"/>
      <c r="B574" s="22"/>
      <c r="C574" s="22"/>
      <c r="D574" s="22"/>
      <c r="E574" s="23"/>
      <c r="F574" s="23"/>
      <c r="G574" s="22"/>
      <c r="H574" s="24"/>
      <c r="I574" s="22"/>
      <c r="J574" s="25"/>
      <c r="K574" s="25"/>
    </row>
    <row r="575" spans="1:11" s="6" customFormat="1" x14ac:dyDescent="0.3">
      <c r="A575" s="21"/>
      <c r="B575" s="22"/>
      <c r="C575" s="22"/>
      <c r="D575" s="22"/>
      <c r="E575" s="23"/>
      <c r="F575" s="23"/>
      <c r="G575" s="22"/>
      <c r="H575" s="24"/>
      <c r="I575" s="22"/>
      <c r="J575" s="25"/>
      <c r="K575" s="25"/>
    </row>
    <row r="576" spans="1:11" s="6" customFormat="1" x14ac:dyDescent="0.3">
      <c r="A576" s="21"/>
      <c r="B576" s="22"/>
      <c r="C576" s="22"/>
      <c r="D576" s="22"/>
      <c r="E576" s="23"/>
      <c r="F576" s="23"/>
      <c r="G576" s="22"/>
      <c r="H576" s="24"/>
      <c r="I576" s="22"/>
      <c r="J576" s="25"/>
      <c r="K576" s="25"/>
    </row>
    <row r="577" spans="1:11" s="6" customFormat="1" x14ac:dyDescent="0.3">
      <c r="A577" s="21"/>
      <c r="B577" s="22"/>
      <c r="C577" s="22"/>
      <c r="D577" s="22"/>
      <c r="E577" s="23"/>
      <c r="F577" s="23"/>
      <c r="G577" s="22"/>
      <c r="H577" s="24"/>
      <c r="I577" s="22"/>
      <c r="J577" s="25"/>
      <c r="K577" s="25"/>
    </row>
    <row r="578" spans="1:11" s="6" customFormat="1" x14ac:dyDescent="0.3">
      <c r="A578" s="21"/>
      <c r="B578" s="22"/>
      <c r="C578" s="22"/>
      <c r="D578" s="22"/>
      <c r="E578" s="23"/>
      <c r="F578" s="23"/>
      <c r="G578" s="22"/>
      <c r="H578" s="24"/>
      <c r="I578" s="22"/>
      <c r="J578" s="25"/>
      <c r="K578" s="25"/>
    </row>
    <row r="579" spans="1:11" s="6" customFormat="1" x14ac:dyDescent="0.3">
      <c r="A579" s="21"/>
      <c r="B579" s="22"/>
      <c r="C579" s="22"/>
      <c r="D579" s="22"/>
      <c r="E579" s="23"/>
      <c r="F579" s="23"/>
      <c r="G579" s="22"/>
      <c r="H579" s="24"/>
      <c r="I579" s="22"/>
      <c r="J579" s="25"/>
      <c r="K579" s="25"/>
    </row>
    <row r="580" spans="1:11" s="6" customFormat="1" x14ac:dyDescent="0.3">
      <c r="A580" s="21"/>
      <c r="B580" s="22"/>
      <c r="C580" s="22"/>
      <c r="D580" s="22"/>
      <c r="E580" s="23"/>
      <c r="F580" s="23"/>
      <c r="G580" s="22"/>
      <c r="H580" s="24"/>
      <c r="I580" s="22"/>
      <c r="J580" s="25"/>
      <c r="K580" s="25"/>
    </row>
    <row r="581" spans="1:11" s="6" customFormat="1" x14ac:dyDescent="0.3">
      <c r="A581" s="21"/>
      <c r="B581" s="22"/>
      <c r="C581" s="22"/>
      <c r="D581" s="22"/>
      <c r="E581" s="23"/>
      <c r="F581" s="23"/>
      <c r="G581" s="22"/>
      <c r="H581" s="24"/>
      <c r="I581" s="22"/>
      <c r="J581" s="25"/>
      <c r="K581" s="25"/>
    </row>
    <row r="582" spans="1:11" s="6" customFormat="1" x14ac:dyDescent="0.3">
      <c r="A582" s="21"/>
      <c r="B582" s="22"/>
      <c r="C582" s="22"/>
      <c r="D582" s="22"/>
      <c r="E582" s="23"/>
      <c r="F582" s="23"/>
      <c r="G582" s="22"/>
      <c r="H582" s="24"/>
      <c r="I582" s="22"/>
      <c r="J582" s="25"/>
      <c r="K582" s="25"/>
    </row>
    <row r="583" spans="1:11" s="6" customFormat="1" x14ac:dyDescent="0.3">
      <c r="A583" s="21"/>
      <c r="B583" s="22"/>
      <c r="C583" s="22"/>
      <c r="D583" s="22"/>
      <c r="E583" s="23"/>
      <c r="F583" s="23"/>
      <c r="G583" s="22"/>
      <c r="H583" s="24"/>
      <c r="I583" s="22"/>
      <c r="J583" s="25"/>
      <c r="K583" s="25"/>
    </row>
    <row r="584" spans="1:11" s="6" customFormat="1" x14ac:dyDescent="0.3">
      <c r="A584" s="21"/>
      <c r="B584" s="22"/>
      <c r="C584" s="22"/>
      <c r="D584" s="22"/>
      <c r="E584" s="23"/>
      <c r="F584" s="23"/>
      <c r="G584" s="22"/>
      <c r="H584" s="24"/>
      <c r="I584" s="22"/>
      <c r="J584" s="25"/>
      <c r="K584" s="25"/>
    </row>
    <row r="585" spans="1:11" s="6" customFormat="1" x14ac:dyDescent="0.3">
      <c r="A585" s="21"/>
      <c r="B585" s="22"/>
      <c r="C585" s="22"/>
      <c r="D585" s="22"/>
      <c r="E585" s="23"/>
      <c r="F585" s="23"/>
      <c r="G585" s="22"/>
      <c r="H585" s="24"/>
      <c r="I585" s="22"/>
      <c r="J585" s="25"/>
      <c r="K585" s="25"/>
    </row>
    <row r="586" spans="1:11" s="6" customFormat="1" x14ac:dyDescent="0.3">
      <c r="A586" s="21"/>
      <c r="B586" s="22"/>
      <c r="C586" s="22"/>
      <c r="D586" s="22"/>
      <c r="E586" s="23"/>
      <c r="F586" s="23"/>
      <c r="G586" s="22"/>
      <c r="H586" s="24"/>
      <c r="I586" s="22"/>
      <c r="J586" s="25"/>
      <c r="K586" s="25"/>
    </row>
    <row r="587" spans="1:11" s="6" customFormat="1" x14ac:dyDescent="0.3">
      <c r="A587" s="21"/>
      <c r="B587" s="22"/>
      <c r="C587" s="22"/>
      <c r="D587" s="22"/>
      <c r="E587" s="23"/>
      <c r="F587" s="23"/>
      <c r="G587" s="22"/>
      <c r="H587" s="24"/>
      <c r="I587" s="22"/>
      <c r="J587" s="25"/>
      <c r="K587" s="25"/>
    </row>
    <row r="588" spans="1:11" s="6" customFormat="1" x14ac:dyDescent="0.3">
      <c r="A588" s="21"/>
      <c r="B588" s="22"/>
      <c r="C588" s="22"/>
      <c r="D588" s="22"/>
      <c r="E588" s="23"/>
      <c r="F588" s="23"/>
      <c r="G588" s="22"/>
      <c r="H588" s="24"/>
      <c r="I588" s="22"/>
      <c r="J588" s="25"/>
      <c r="K588" s="25"/>
    </row>
    <row r="589" spans="1:11" s="6" customFormat="1" x14ac:dyDescent="0.3">
      <c r="A589" s="21"/>
      <c r="B589" s="22"/>
      <c r="C589" s="22"/>
      <c r="D589" s="22"/>
      <c r="E589" s="23"/>
      <c r="F589" s="23"/>
      <c r="G589" s="22"/>
      <c r="H589" s="24"/>
      <c r="I589" s="22"/>
      <c r="J589" s="25"/>
      <c r="K589" s="25"/>
    </row>
    <row r="590" spans="1:11" s="6" customFormat="1" x14ac:dyDescent="0.3">
      <c r="A590" s="21"/>
      <c r="B590" s="22"/>
      <c r="C590" s="22"/>
      <c r="D590" s="22"/>
      <c r="E590" s="23"/>
      <c r="F590" s="23"/>
      <c r="G590" s="22"/>
      <c r="H590" s="24"/>
      <c r="I590" s="22"/>
      <c r="J590" s="25"/>
      <c r="K590" s="25"/>
    </row>
    <row r="591" spans="1:11" s="6" customFormat="1" x14ac:dyDescent="0.3">
      <c r="A591" s="21"/>
      <c r="B591" s="22"/>
      <c r="C591" s="22"/>
      <c r="D591" s="22"/>
      <c r="E591" s="23"/>
      <c r="F591" s="23"/>
      <c r="G591" s="22"/>
      <c r="H591" s="24"/>
      <c r="I591" s="22"/>
      <c r="J591" s="25"/>
      <c r="K591" s="25"/>
    </row>
    <row r="592" spans="1:11" s="6" customFormat="1" x14ac:dyDescent="0.3">
      <c r="A592" s="21"/>
      <c r="B592" s="22"/>
      <c r="C592" s="22"/>
      <c r="D592" s="22"/>
      <c r="E592" s="23"/>
      <c r="F592" s="23"/>
      <c r="G592" s="22"/>
      <c r="H592" s="24"/>
      <c r="I592" s="22"/>
      <c r="J592" s="25"/>
      <c r="K592" s="25"/>
    </row>
    <row r="593" spans="1:11" s="6" customFormat="1" x14ac:dyDescent="0.3">
      <c r="A593" s="21"/>
      <c r="B593" s="22"/>
      <c r="C593" s="22"/>
      <c r="D593" s="22"/>
      <c r="E593" s="23"/>
      <c r="F593" s="23"/>
      <c r="G593" s="22"/>
      <c r="H593" s="24"/>
      <c r="I593" s="22"/>
      <c r="J593" s="25"/>
      <c r="K593" s="25"/>
    </row>
    <row r="594" spans="1:11" s="6" customFormat="1" x14ac:dyDescent="0.3">
      <c r="A594" s="21"/>
      <c r="B594" s="22"/>
      <c r="C594" s="22"/>
      <c r="D594" s="22"/>
      <c r="E594" s="23"/>
      <c r="F594" s="23"/>
      <c r="G594" s="22"/>
      <c r="H594" s="24"/>
      <c r="I594" s="22"/>
      <c r="J594" s="25"/>
      <c r="K594" s="25"/>
    </row>
    <row r="595" spans="1:11" s="6" customFormat="1" x14ac:dyDescent="0.3">
      <c r="A595" s="21"/>
      <c r="B595" s="22"/>
      <c r="C595" s="22"/>
      <c r="D595" s="22"/>
      <c r="E595" s="23"/>
      <c r="F595" s="23"/>
      <c r="G595" s="22"/>
      <c r="H595" s="24"/>
      <c r="I595" s="22"/>
      <c r="J595" s="25"/>
      <c r="K595" s="25"/>
    </row>
    <row r="596" spans="1:11" s="6" customFormat="1" x14ac:dyDescent="0.3">
      <c r="A596" s="21"/>
      <c r="B596" s="22"/>
      <c r="C596" s="22"/>
      <c r="D596" s="22"/>
      <c r="E596" s="23"/>
      <c r="F596" s="23"/>
      <c r="G596" s="22"/>
      <c r="H596" s="24"/>
      <c r="I596" s="22"/>
      <c r="J596" s="25"/>
      <c r="K596" s="25"/>
    </row>
    <row r="597" spans="1:11" s="6" customFormat="1" x14ac:dyDescent="0.3">
      <c r="A597" s="21"/>
      <c r="B597" s="22"/>
      <c r="C597" s="22"/>
      <c r="D597" s="22"/>
      <c r="E597" s="23"/>
      <c r="F597" s="23"/>
      <c r="G597" s="22"/>
      <c r="H597" s="24"/>
      <c r="I597" s="22"/>
      <c r="J597" s="25"/>
      <c r="K597" s="25"/>
    </row>
    <row r="598" spans="1:11" s="6" customFormat="1" x14ac:dyDescent="0.3">
      <c r="A598" s="21"/>
      <c r="B598" s="22"/>
      <c r="C598" s="22"/>
      <c r="D598" s="22"/>
      <c r="E598" s="23"/>
      <c r="F598" s="23"/>
      <c r="G598" s="22"/>
      <c r="H598" s="24"/>
      <c r="I598" s="22"/>
      <c r="J598" s="25"/>
      <c r="K598" s="25"/>
    </row>
    <row r="599" spans="1:11" s="6" customFormat="1" x14ac:dyDescent="0.3">
      <c r="A599" s="21"/>
      <c r="B599" s="22"/>
      <c r="C599" s="22"/>
      <c r="D599" s="22"/>
      <c r="E599" s="23"/>
      <c r="F599" s="23"/>
      <c r="G599" s="22"/>
      <c r="H599" s="24"/>
      <c r="I599" s="22"/>
      <c r="J599" s="25"/>
      <c r="K599" s="25"/>
    </row>
    <row r="600" spans="1:11" s="6" customFormat="1" x14ac:dyDescent="0.3">
      <c r="A600" s="21"/>
      <c r="B600" s="22"/>
      <c r="C600" s="22"/>
      <c r="D600" s="22"/>
      <c r="E600" s="23"/>
      <c r="F600" s="23"/>
      <c r="G600" s="22"/>
      <c r="H600" s="24"/>
      <c r="I600" s="22"/>
      <c r="J600" s="25"/>
      <c r="K600" s="25"/>
    </row>
    <row r="601" spans="1:11" s="6" customFormat="1" x14ac:dyDescent="0.3">
      <c r="A601" s="21"/>
      <c r="B601" s="22"/>
      <c r="C601" s="22"/>
      <c r="D601" s="22"/>
      <c r="E601" s="23"/>
      <c r="F601" s="23"/>
      <c r="G601" s="22"/>
      <c r="H601" s="24"/>
      <c r="I601" s="22"/>
      <c r="J601" s="25"/>
      <c r="K601" s="25"/>
    </row>
    <row r="602" spans="1:11" s="6" customFormat="1" x14ac:dyDescent="0.3">
      <c r="A602" s="21"/>
      <c r="B602" s="22"/>
      <c r="C602" s="22"/>
      <c r="D602" s="22"/>
      <c r="E602" s="23"/>
      <c r="F602" s="23"/>
      <c r="G602" s="22"/>
      <c r="H602" s="24"/>
      <c r="I602" s="22"/>
      <c r="J602" s="25"/>
      <c r="K602" s="25"/>
    </row>
    <row r="603" spans="1:11" s="6" customFormat="1" x14ac:dyDescent="0.3">
      <c r="A603" s="21"/>
      <c r="B603" s="22"/>
      <c r="C603" s="22"/>
      <c r="D603" s="22"/>
      <c r="E603" s="23"/>
      <c r="F603" s="23"/>
      <c r="G603" s="22"/>
      <c r="H603" s="24"/>
      <c r="I603" s="22"/>
      <c r="J603" s="25"/>
      <c r="K603" s="25"/>
    </row>
    <row r="604" spans="1:11" s="6" customFormat="1" x14ac:dyDescent="0.3">
      <c r="A604" s="21"/>
      <c r="B604" s="22"/>
      <c r="C604" s="22"/>
      <c r="D604" s="22"/>
      <c r="E604" s="23"/>
      <c r="F604" s="23"/>
      <c r="G604" s="22"/>
      <c r="H604" s="24"/>
      <c r="I604" s="22"/>
      <c r="J604" s="25"/>
      <c r="K604" s="25"/>
    </row>
    <row r="605" spans="1:11" s="6" customFormat="1" x14ac:dyDescent="0.3">
      <c r="A605" s="21"/>
      <c r="B605" s="22"/>
      <c r="C605" s="22"/>
      <c r="D605" s="22"/>
      <c r="E605" s="23"/>
      <c r="F605" s="23"/>
      <c r="G605" s="22"/>
      <c r="H605" s="24"/>
      <c r="I605" s="22"/>
      <c r="J605" s="25"/>
      <c r="K605" s="25"/>
    </row>
    <row r="606" spans="1:11" s="6" customFormat="1" x14ac:dyDescent="0.3">
      <c r="A606" s="21"/>
      <c r="B606" s="22"/>
      <c r="C606" s="22"/>
      <c r="D606" s="22"/>
      <c r="E606" s="23"/>
      <c r="F606" s="23"/>
      <c r="G606" s="22"/>
      <c r="H606" s="24"/>
      <c r="I606" s="22"/>
      <c r="J606" s="25"/>
      <c r="K606" s="25"/>
    </row>
    <row r="607" spans="1:11" s="6" customFormat="1" x14ac:dyDescent="0.3">
      <c r="A607" s="21"/>
      <c r="B607" s="22"/>
      <c r="C607" s="22"/>
      <c r="D607" s="22"/>
      <c r="E607" s="23"/>
      <c r="F607" s="23"/>
      <c r="G607" s="22"/>
      <c r="H607" s="24"/>
      <c r="I607" s="22"/>
      <c r="J607" s="25"/>
      <c r="K607" s="25"/>
    </row>
    <row r="608" spans="1:11" s="6" customFormat="1" x14ac:dyDescent="0.3">
      <c r="A608" s="21"/>
      <c r="B608" s="22"/>
      <c r="C608" s="22"/>
      <c r="D608" s="22"/>
      <c r="E608" s="23"/>
      <c r="F608" s="23"/>
      <c r="G608" s="22"/>
      <c r="H608" s="24"/>
      <c r="I608" s="22"/>
      <c r="J608" s="25"/>
      <c r="K608" s="25"/>
    </row>
    <row r="609" spans="1:11" s="6" customFormat="1" x14ac:dyDescent="0.3">
      <c r="A609" s="21"/>
      <c r="B609" s="22"/>
      <c r="C609" s="22"/>
      <c r="D609" s="22"/>
      <c r="E609" s="23"/>
      <c r="F609" s="23"/>
      <c r="G609" s="22"/>
      <c r="H609" s="24"/>
      <c r="I609" s="22"/>
      <c r="J609" s="25"/>
      <c r="K609" s="25"/>
    </row>
    <row r="610" spans="1:11" s="6" customFormat="1" x14ac:dyDescent="0.3">
      <c r="A610" s="21"/>
      <c r="B610" s="22"/>
      <c r="C610" s="22"/>
      <c r="D610" s="22"/>
      <c r="E610" s="23"/>
      <c r="F610" s="23"/>
      <c r="G610" s="22"/>
      <c r="H610" s="24"/>
      <c r="I610" s="22"/>
      <c r="J610" s="25"/>
      <c r="K610" s="25"/>
    </row>
    <row r="611" spans="1:11" s="6" customFormat="1" x14ac:dyDescent="0.3">
      <c r="A611" s="21"/>
      <c r="B611" s="22"/>
      <c r="C611" s="22"/>
      <c r="D611" s="22"/>
      <c r="E611" s="23"/>
      <c r="F611" s="23"/>
      <c r="G611" s="22"/>
      <c r="H611" s="24"/>
      <c r="I611" s="22"/>
      <c r="J611" s="25"/>
      <c r="K611" s="25"/>
    </row>
    <row r="612" spans="1:11" s="6" customFormat="1" x14ac:dyDescent="0.3">
      <c r="A612" s="21"/>
      <c r="B612" s="22"/>
      <c r="C612" s="22"/>
      <c r="D612" s="22"/>
      <c r="E612" s="23"/>
      <c r="F612" s="23"/>
      <c r="G612" s="22"/>
      <c r="H612" s="24"/>
      <c r="I612" s="22"/>
      <c r="J612" s="25"/>
      <c r="K612" s="25"/>
    </row>
    <row r="613" spans="1:11" s="6" customFormat="1" x14ac:dyDescent="0.3">
      <c r="A613" s="21"/>
      <c r="B613" s="22"/>
      <c r="C613" s="22"/>
      <c r="D613" s="22"/>
      <c r="E613" s="23"/>
      <c r="F613" s="23"/>
      <c r="G613" s="22"/>
      <c r="H613" s="24"/>
      <c r="I613" s="22"/>
      <c r="J613" s="25"/>
      <c r="K613" s="25"/>
    </row>
    <row r="614" spans="1:11" s="6" customFormat="1" x14ac:dyDescent="0.3">
      <c r="A614" s="21"/>
      <c r="B614" s="22"/>
      <c r="C614" s="22"/>
      <c r="D614" s="22"/>
      <c r="E614" s="23"/>
      <c r="F614" s="23"/>
      <c r="G614" s="22"/>
      <c r="H614" s="24"/>
      <c r="I614" s="22"/>
      <c r="J614" s="25"/>
      <c r="K614" s="25"/>
    </row>
    <row r="615" spans="1:11" s="6" customFormat="1" x14ac:dyDescent="0.3">
      <c r="A615" s="21"/>
      <c r="B615" s="22"/>
      <c r="C615" s="22"/>
      <c r="D615" s="22"/>
      <c r="E615" s="23"/>
      <c r="F615" s="23"/>
      <c r="G615" s="22"/>
      <c r="H615" s="24"/>
      <c r="I615" s="22"/>
      <c r="J615" s="25"/>
      <c r="K615" s="25"/>
    </row>
    <row r="616" spans="1:11" s="6" customFormat="1" x14ac:dyDescent="0.3">
      <c r="A616" s="21"/>
      <c r="B616" s="22"/>
      <c r="C616" s="22"/>
      <c r="D616" s="22"/>
      <c r="E616" s="23"/>
      <c r="F616" s="23"/>
      <c r="G616" s="22"/>
      <c r="H616" s="24"/>
      <c r="I616" s="22"/>
      <c r="J616" s="25"/>
      <c r="K616" s="25"/>
    </row>
    <row r="617" spans="1:11" s="6" customFormat="1" x14ac:dyDescent="0.3">
      <c r="A617" s="21"/>
      <c r="B617" s="22"/>
      <c r="C617" s="22"/>
      <c r="D617" s="22"/>
      <c r="E617" s="23"/>
      <c r="F617" s="23"/>
      <c r="G617" s="22"/>
      <c r="H617" s="24"/>
      <c r="I617" s="22"/>
      <c r="J617" s="25"/>
      <c r="K617" s="25"/>
    </row>
    <row r="618" spans="1:11" s="6" customFormat="1" x14ac:dyDescent="0.3">
      <c r="A618" s="21"/>
      <c r="B618" s="22"/>
      <c r="C618" s="22"/>
      <c r="D618" s="22"/>
      <c r="E618" s="23"/>
      <c r="F618" s="23"/>
      <c r="G618" s="22"/>
      <c r="H618" s="24"/>
      <c r="I618" s="22"/>
      <c r="J618" s="25"/>
      <c r="K618" s="25"/>
    </row>
    <row r="619" spans="1:11" s="6" customFormat="1" x14ac:dyDescent="0.3">
      <c r="A619" s="21"/>
      <c r="B619" s="22"/>
      <c r="C619" s="22"/>
      <c r="D619" s="22"/>
      <c r="E619" s="23"/>
      <c r="F619" s="23"/>
      <c r="G619" s="22"/>
      <c r="H619" s="24"/>
      <c r="I619" s="22"/>
      <c r="J619" s="25"/>
      <c r="K619" s="25"/>
    </row>
    <row r="620" spans="1:11" s="6" customFormat="1" x14ac:dyDescent="0.3">
      <c r="A620" s="21"/>
      <c r="B620" s="22"/>
      <c r="C620" s="22"/>
      <c r="D620" s="22"/>
      <c r="E620" s="23"/>
      <c r="F620" s="23"/>
      <c r="G620" s="22"/>
      <c r="H620" s="24"/>
      <c r="I620" s="22"/>
      <c r="J620" s="25"/>
      <c r="K620" s="25"/>
    </row>
    <row r="621" spans="1:11" s="6" customFormat="1" x14ac:dyDescent="0.3">
      <c r="A621" s="21"/>
      <c r="B621" s="22"/>
      <c r="C621" s="22"/>
      <c r="D621" s="22"/>
      <c r="E621" s="23"/>
      <c r="F621" s="23"/>
      <c r="G621" s="22"/>
      <c r="H621" s="24"/>
      <c r="I621" s="22"/>
      <c r="J621" s="25"/>
      <c r="K621" s="25"/>
    </row>
    <row r="622" spans="1:11" s="6" customFormat="1" x14ac:dyDescent="0.3">
      <c r="A622" s="21"/>
      <c r="B622" s="22"/>
      <c r="C622" s="22"/>
      <c r="D622" s="22"/>
      <c r="E622" s="23"/>
      <c r="F622" s="23"/>
      <c r="G622" s="22"/>
      <c r="H622" s="24"/>
      <c r="I622" s="22"/>
      <c r="J622" s="25"/>
      <c r="K622" s="25"/>
    </row>
    <row r="623" spans="1:11" s="6" customFormat="1" x14ac:dyDescent="0.3">
      <c r="A623" s="21"/>
      <c r="B623" s="22"/>
      <c r="C623" s="22"/>
      <c r="D623" s="22"/>
      <c r="E623" s="23"/>
      <c r="F623" s="23"/>
      <c r="G623" s="22"/>
      <c r="H623" s="24"/>
      <c r="I623" s="22"/>
      <c r="J623" s="25"/>
      <c r="K623" s="25"/>
    </row>
    <row r="624" spans="1:11" s="6" customFormat="1" x14ac:dyDescent="0.3">
      <c r="A624" s="21"/>
      <c r="B624" s="22"/>
      <c r="C624" s="22"/>
      <c r="D624" s="22"/>
      <c r="E624" s="23"/>
      <c r="F624" s="23"/>
      <c r="G624" s="22"/>
      <c r="H624" s="24"/>
      <c r="I624" s="22"/>
      <c r="J624" s="25"/>
      <c r="K624" s="25"/>
    </row>
    <row r="625" spans="1:11" s="6" customFormat="1" x14ac:dyDescent="0.3">
      <c r="A625" s="21"/>
      <c r="B625" s="22"/>
      <c r="C625" s="22"/>
      <c r="D625" s="22"/>
      <c r="E625" s="23"/>
      <c r="F625" s="23"/>
      <c r="G625" s="22"/>
      <c r="H625" s="24"/>
      <c r="I625" s="22"/>
      <c r="J625" s="25"/>
      <c r="K625" s="25"/>
    </row>
    <row r="626" spans="1:11" s="6" customFormat="1" x14ac:dyDescent="0.3">
      <c r="A626" s="21"/>
      <c r="B626" s="22"/>
      <c r="C626" s="22"/>
      <c r="D626" s="22"/>
      <c r="E626" s="23"/>
      <c r="F626" s="23"/>
      <c r="G626" s="22"/>
      <c r="H626" s="24"/>
      <c r="I626" s="22"/>
      <c r="J626" s="25"/>
      <c r="K626" s="25"/>
    </row>
    <row r="627" spans="1:11" s="6" customFormat="1" x14ac:dyDescent="0.3">
      <c r="A627" s="21"/>
      <c r="B627" s="22"/>
      <c r="C627" s="22"/>
      <c r="D627" s="22"/>
      <c r="E627" s="23"/>
      <c r="F627" s="23"/>
      <c r="G627" s="22"/>
      <c r="H627" s="24"/>
      <c r="I627" s="22"/>
      <c r="J627" s="25"/>
      <c r="K627" s="25"/>
    </row>
    <row r="628" spans="1:11" s="6" customFormat="1" x14ac:dyDescent="0.3">
      <c r="A628" s="21"/>
      <c r="B628" s="22"/>
      <c r="C628" s="22"/>
      <c r="D628" s="22"/>
      <c r="E628" s="23"/>
      <c r="F628" s="23"/>
      <c r="G628" s="22"/>
      <c r="H628" s="24"/>
      <c r="I628" s="22"/>
      <c r="J628" s="25"/>
      <c r="K628" s="25"/>
    </row>
    <row r="629" spans="1:11" s="6" customFormat="1" x14ac:dyDescent="0.3">
      <c r="A629" s="21"/>
      <c r="B629" s="22"/>
      <c r="C629" s="22"/>
      <c r="D629" s="22"/>
      <c r="E629" s="23"/>
      <c r="F629" s="23"/>
      <c r="G629" s="22"/>
      <c r="H629" s="24"/>
      <c r="I629" s="22"/>
      <c r="J629" s="25"/>
      <c r="K629" s="25"/>
    </row>
    <row r="630" spans="1:11" s="6" customFormat="1" x14ac:dyDescent="0.3">
      <c r="A630" s="21"/>
      <c r="B630" s="22"/>
      <c r="C630" s="22"/>
      <c r="D630" s="22"/>
      <c r="E630" s="23"/>
      <c r="F630" s="23"/>
      <c r="G630" s="22"/>
      <c r="H630" s="24"/>
      <c r="I630" s="22"/>
      <c r="J630" s="25"/>
      <c r="K630" s="25"/>
    </row>
    <row r="631" spans="1:11" s="6" customFormat="1" x14ac:dyDescent="0.3">
      <c r="A631" s="21"/>
      <c r="B631" s="22"/>
      <c r="C631" s="22"/>
      <c r="D631" s="22"/>
      <c r="E631" s="23"/>
      <c r="F631" s="23"/>
      <c r="G631" s="22"/>
      <c r="H631" s="24"/>
      <c r="I631" s="22"/>
      <c r="J631" s="25"/>
      <c r="K631" s="25"/>
    </row>
    <row r="632" spans="1:11" s="6" customFormat="1" x14ac:dyDescent="0.3">
      <c r="A632" s="21"/>
      <c r="B632" s="22"/>
      <c r="C632" s="22"/>
      <c r="D632" s="22"/>
      <c r="E632" s="23"/>
      <c r="F632" s="23"/>
      <c r="G632" s="22"/>
      <c r="H632" s="24"/>
      <c r="I632" s="22"/>
      <c r="J632" s="25"/>
      <c r="K632" s="25"/>
    </row>
    <row r="633" spans="1:11" s="6" customFormat="1" x14ac:dyDescent="0.3">
      <c r="A633" s="21"/>
      <c r="B633" s="22"/>
      <c r="C633" s="22"/>
      <c r="D633" s="22"/>
      <c r="E633" s="23"/>
      <c r="F633" s="23"/>
      <c r="G633" s="22"/>
      <c r="H633" s="24"/>
      <c r="I633" s="22"/>
      <c r="J633" s="25"/>
      <c r="K633" s="25"/>
    </row>
    <row r="634" spans="1:11" s="6" customFormat="1" x14ac:dyDescent="0.3">
      <c r="A634" s="21"/>
      <c r="B634" s="22"/>
      <c r="C634" s="22"/>
      <c r="D634" s="22"/>
      <c r="E634" s="23"/>
      <c r="F634" s="23"/>
      <c r="G634" s="22"/>
      <c r="H634" s="24"/>
      <c r="I634" s="22"/>
      <c r="J634" s="25"/>
      <c r="K634" s="25"/>
    </row>
    <row r="635" spans="1:11" s="6" customFormat="1" x14ac:dyDescent="0.3">
      <c r="A635" s="21"/>
      <c r="B635" s="22"/>
      <c r="C635" s="22"/>
      <c r="D635" s="22"/>
      <c r="E635" s="23"/>
      <c r="F635" s="23"/>
      <c r="G635" s="22"/>
      <c r="H635" s="24"/>
      <c r="I635" s="22"/>
      <c r="J635" s="25"/>
      <c r="K635" s="25"/>
    </row>
    <row r="636" spans="1:11" s="6" customFormat="1" x14ac:dyDescent="0.3">
      <c r="A636" s="21"/>
      <c r="B636" s="22"/>
      <c r="C636" s="22"/>
      <c r="D636" s="22"/>
      <c r="E636" s="23"/>
      <c r="F636" s="23"/>
      <c r="G636" s="22"/>
      <c r="H636" s="24"/>
      <c r="I636" s="22"/>
      <c r="J636" s="25"/>
      <c r="K636" s="25"/>
    </row>
    <row r="637" spans="1:11" s="6" customFormat="1" x14ac:dyDescent="0.3">
      <c r="A637" s="21"/>
      <c r="B637" s="22"/>
      <c r="C637" s="22"/>
      <c r="D637" s="22"/>
      <c r="E637" s="23"/>
      <c r="F637" s="23"/>
      <c r="G637" s="22"/>
      <c r="H637" s="24"/>
      <c r="I637" s="22"/>
      <c r="J637" s="25"/>
      <c r="K637" s="25"/>
    </row>
    <row r="638" spans="1:11" s="6" customFormat="1" x14ac:dyDescent="0.3">
      <c r="A638" s="21"/>
      <c r="B638" s="22"/>
      <c r="C638" s="22"/>
      <c r="D638" s="22"/>
      <c r="E638" s="23"/>
      <c r="F638" s="23"/>
      <c r="G638" s="22"/>
      <c r="H638" s="24"/>
      <c r="I638" s="22"/>
      <c r="J638" s="25"/>
      <c r="K638" s="25"/>
    </row>
    <row r="639" spans="1:11" s="6" customFormat="1" x14ac:dyDescent="0.3">
      <c r="A639" s="21"/>
      <c r="B639" s="22"/>
      <c r="C639" s="22"/>
      <c r="D639" s="22"/>
      <c r="E639" s="23"/>
      <c r="F639" s="23"/>
      <c r="G639" s="22"/>
      <c r="H639" s="24"/>
      <c r="I639" s="22"/>
      <c r="J639" s="25"/>
      <c r="K639" s="25"/>
    </row>
    <row r="640" spans="1:11" s="6" customFormat="1" x14ac:dyDescent="0.3">
      <c r="A640" s="21"/>
      <c r="B640" s="22"/>
      <c r="C640" s="22"/>
      <c r="D640" s="22"/>
      <c r="E640" s="23"/>
      <c r="F640" s="23"/>
      <c r="G640" s="22"/>
      <c r="H640" s="24"/>
      <c r="I640" s="22"/>
      <c r="J640" s="25"/>
      <c r="K640" s="25"/>
    </row>
    <row r="641" spans="1:11" s="6" customFormat="1" x14ac:dyDescent="0.3">
      <c r="A641" s="21"/>
      <c r="B641" s="22"/>
      <c r="C641" s="22"/>
      <c r="D641" s="22"/>
      <c r="E641" s="23"/>
      <c r="F641" s="23"/>
      <c r="G641" s="22"/>
      <c r="H641" s="24"/>
      <c r="I641" s="22"/>
      <c r="J641" s="25"/>
      <c r="K641" s="25"/>
    </row>
    <row r="642" spans="1:11" s="6" customFormat="1" x14ac:dyDescent="0.3">
      <c r="A642" s="21"/>
      <c r="B642" s="22"/>
      <c r="C642" s="22"/>
      <c r="D642" s="22"/>
      <c r="E642" s="23"/>
      <c r="F642" s="23"/>
      <c r="G642" s="22"/>
      <c r="H642" s="24"/>
      <c r="I642" s="22"/>
      <c r="J642" s="25"/>
      <c r="K642" s="25"/>
    </row>
    <row r="643" spans="1:11" s="6" customFormat="1" x14ac:dyDescent="0.3">
      <c r="A643" s="21"/>
      <c r="B643" s="22"/>
      <c r="C643" s="22"/>
      <c r="D643" s="22"/>
      <c r="E643" s="23"/>
      <c r="F643" s="23"/>
      <c r="G643" s="22"/>
      <c r="H643" s="24"/>
      <c r="I643" s="22"/>
      <c r="J643" s="25"/>
      <c r="K643" s="25"/>
    </row>
    <row r="644" spans="1:11" s="6" customFormat="1" x14ac:dyDescent="0.3">
      <c r="A644" s="21"/>
      <c r="B644" s="22"/>
      <c r="C644" s="22"/>
      <c r="D644" s="22"/>
      <c r="E644" s="23"/>
      <c r="F644" s="23"/>
      <c r="G644" s="22"/>
      <c r="H644" s="24"/>
      <c r="I644" s="22"/>
      <c r="J644" s="25"/>
      <c r="K644" s="25"/>
    </row>
    <row r="645" spans="1:11" s="6" customFormat="1" x14ac:dyDescent="0.3">
      <c r="A645" s="21"/>
      <c r="B645" s="22"/>
      <c r="C645" s="22"/>
      <c r="D645" s="22"/>
      <c r="E645" s="23"/>
      <c r="F645" s="23"/>
      <c r="G645" s="22"/>
      <c r="H645" s="24"/>
      <c r="I645" s="22"/>
      <c r="J645" s="25"/>
      <c r="K645" s="25"/>
    </row>
    <row r="646" spans="1:11" s="6" customFormat="1" x14ac:dyDescent="0.3">
      <c r="A646" s="21"/>
      <c r="B646" s="22"/>
      <c r="C646" s="22"/>
      <c r="D646" s="22"/>
      <c r="E646" s="23"/>
      <c r="F646" s="23"/>
      <c r="G646" s="22"/>
      <c r="H646" s="24"/>
      <c r="I646" s="22"/>
      <c r="J646" s="25"/>
      <c r="K646" s="25"/>
    </row>
    <row r="647" spans="1:11" s="6" customFormat="1" x14ac:dyDescent="0.3">
      <c r="A647" s="21"/>
      <c r="B647" s="22"/>
      <c r="C647" s="22"/>
      <c r="D647" s="22"/>
      <c r="E647" s="23"/>
      <c r="F647" s="23"/>
      <c r="G647" s="22"/>
      <c r="H647" s="24"/>
      <c r="I647" s="22"/>
      <c r="J647" s="25"/>
      <c r="K647" s="25"/>
    </row>
    <row r="648" spans="1:11" s="6" customFormat="1" x14ac:dyDescent="0.3">
      <c r="A648" s="21"/>
      <c r="B648" s="22"/>
      <c r="C648" s="22"/>
      <c r="D648" s="22"/>
      <c r="E648" s="23"/>
      <c r="F648" s="23"/>
      <c r="G648" s="22"/>
      <c r="H648" s="24"/>
      <c r="I648" s="22"/>
      <c r="J648" s="25"/>
      <c r="K648" s="25"/>
    </row>
    <row r="649" spans="1:11" s="6" customFormat="1" x14ac:dyDescent="0.3">
      <c r="A649" s="21"/>
      <c r="B649" s="22"/>
      <c r="C649" s="22"/>
      <c r="D649" s="22"/>
      <c r="E649" s="23"/>
      <c r="F649" s="23"/>
      <c r="G649" s="22"/>
      <c r="H649" s="24"/>
      <c r="I649" s="22"/>
      <c r="J649" s="25"/>
      <c r="K649" s="25"/>
    </row>
    <row r="650" spans="1:11" s="6" customFormat="1" x14ac:dyDescent="0.3">
      <c r="A650" s="21"/>
      <c r="B650" s="22"/>
      <c r="C650" s="22"/>
      <c r="D650" s="22"/>
      <c r="E650" s="23"/>
      <c r="F650" s="23"/>
      <c r="G650" s="22"/>
      <c r="H650" s="24"/>
      <c r="I650" s="22"/>
      <c r="J650" s="25"/>
      <c r="K650" s="25"/>
    </row>
    <row r="651" spans="1:11" s="6" customFormat="1" x14ac:dyDescent="0.3">
      <c r="A651" s="21"/>
      <c r="B651" s="22"/>
      <c r="C651" s="22"/>
      <c r="D651" s="22"/>
      <c r="E651" s="23"/>
      <c r="F651" s="23"/>
      <c r="G651" s="22"/>
      <c r="H651" s="24"/>
      <c r="I651" s="22"/>
      <c r="J651" s="25"/>
      <c r="K651" s="25"/>
    </row>
    <row r="652" spans="1:11" s="6" customFormat="1" x14ac:dyDescent="0.3">
      <c r="A652" s="21"/>
      <c r="B652" s="22"/>
      <c r="C652" s="22"/>
      <c r="D652" s="22"/>
      <c r="E652" s="23"/>
      <c r="F652" s="23"/>
      <c r="G652" s="22"/>
      <c r="H652" s="24"/>
      <c r="I652" s="22"/>
      <c r="J652" s="25"/>
      <c r="K652" s="25"/>
    </row>
    <row r="653" spans="1:11" s="6" customFormat="1" x14ac:dyDescent="0.3">
      <c r="A653" s="21"/>
      <c r="B653" s="22"/>
      <c r="C653" s="22"/>
      <c r="D653" s="22"/>
      <c r="E653" s="23"/>
      <c r="F653" s="23"/>
      <c r="G653" s="22"/>
      <c r="H653" s="24"/>
      <c r="I653" s="22"/>
      <c r="J653" s="25"/>
      <c r="K653" s="25"/>
    </row>
    <row r="654" spans="1:11" s="6" customFormat="1" x14ac:dyDescent="0.3">
      <c r="A654" s="21"/>
      <c r="B654" s="22"/>
      <c r="C654" s="22"/>
      <c r="D654" s="22"/>
      <c r="E654" s="23"/>
      <c r="F654" s="23"/>
      <c r="G654" s="22"/>
      <c r="H654" s="24"/>
      <c r="I654" s="22"/>
      <c r="J654" s="25"/>
      <c r="K654" s="25"/>
    </row>
    <row r="655" spans="1:11" s="6" customFormat="1" x14ac:dyDescent="0.3">
      <c r="A655" s="21"/>
      <c r="B655" s="22"/>
      <c r="C655" s="22"/>
      <c r="D655" s="22"/>
      <c r="E655" s="23"/>
      <c r="F655" s="23"/>
      <c r="G655" s="22"/>
      <c r="H655" s="24"/>
      <c r="I655" s="22"/>
      <c r="J655" s="25"/>
      <c r="K655" s="25"/>
    </row>
    <row r="656" spans="1:11" s="6" customFormat="1" x14ac:dyDescent="0.3">
      <c r="A656" s="21"/>
      <c r="B656" s="22"/>
      <c r="C656" s="22"/>
      <c r="D656" s="22"/>
      <c r="E656" s="23"/>
      <c r="F656" s="23"/>
      <c r="G656" s="22"/>
      <c r="H656" s="24"/>
      <c r="I656" s="22"/>
      <c r="J656" s="25"/>
      <c r="K656" s="25"/>
    </row>
    <row r="657" spans="1:11" s="6" customFormat="1" x14ac:dyDescent="0.3">
      <c r="A657" s="21"/>
      <c r="B657" s="22"/>
      <c r="C657" s="22"/>
      <c r="D657" s="22"/>
      <c r="E657" s="23"/>
      <c r="F657" s="23"/>
      <c r="G657" s="22"/>
      <c r="H657" s="24"/>
      <c r="I657" s="22"/>
      <c r="J657" s="25"/>
      <c r="K657" s="25"/>
    </row>
    <row r="658" spans="1:11" s="6" customFormat="1" x14ac:dyDescent="0.3">
      <c r="A658" s="21"/>
      <c r="B658" s="22"/>
      <c r="C658" s="22"/>
      <c r="D658" s="22"/>
      <c r="E658" s="23"/>
      <c r="F658" s="23"/>
      <c r="G658" s="22"/>
      <c r="H658" s="24"/>
      <c r="I658" s="22"/>
      <c r="J658" s="25"/>
      <c r="K658" s="25"/>
    </row>
    <row r="659" spans="1:11" s="6" customFormat="1" x14ac:dyDescent="0.3">
      <c r="A659" s="21"/>
      <c r="B659" s="22"/>
      <c r="C659" s="22"/>
      <c r="D659" s="22"/>
      <c r="E659" s="23"/>
      <c r="F659" s="23"/>
      <c r="G659" s="22"/>
      <c r="H659" s="24"/>
      <c r="I659" s="22"/>
      <c r="J659" s="25"/>
      <c r="K659" s="25"/>
    </row>
    <row r="660" spans="1:11" s="6" customFormat="1" x14ac:dyDescent="0.3">
      <c r="A660" s="21"/>
      <c r="B660" s="22"/>
      <c r="C660" s="22"/>
      <c r="D660" s="22"/>
      <c r="E660" s="23"/>
      <c r="F660" s="23"/>
      <c r="G660" s="22"/>
      <c r="H660" s="24"/>
      <c r="I660" s="22"/>
      <c r="J660" s="25"/>
      <c r="K660" s="25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G17" sqref="G17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1</v>
      </c>
      <c r="D2" s="29">
        <f>SUM(B2:C2)</f>
        <v>1470</v>
      </c>
    </row>
    <row r="3" spans="1:4" x14ac:dyDescent="0.3">
      <c r="A3" s="32" t="s">
        <v>11</v>
      </c>
      <c r="B3" s="29">
        <v>8917</v>
      </c>
      <c r="C3" s="29">
        <v>136</v>
      </c>
      <c r="D3" s="29">
        <f t="shared" ref="D3:D8" si="0">SUM(B3:C3)</f>
        <v>9053</v>
      </c>
    </row>
    <row r="4" spans="1:4" x14ac:dyDescent="0.3">
      <c r="A4" s="32" t="s">
        <v>18</v>
      </c>
      <c r="B4" s="29">
        <v>970</v>
      </c>
      <c r="C4" s="29">
        <v>62</v>
      </c>
      <c r="D4" s="29">
        <f t="shared" si="0"/>
        <v>1032</v>
      </c>
    </row>
    <row r="5" spans="1:4" x14ac:dyDescent="0.3">
      <c r="A5" s="32" t="s">
        <v>16</v>
      </c>
      <c r="B5" s="29">
        <v>3118</v>
      </c>
      <c r="C5" s="29">
        <v>422</v>
      </c>
      <c r="D5" s="29">
        <f t="shared" si="0"/>
        <v>3540</v>
      </c>
    </row>
    <row r="6" spans="1:4" x14ac:dyDescent="0.3">
      <c r="A6" s="28" t="s">
        <v>15</v>
      </c>
      <c r="B6" s="29">
        <v>628</v>
      </c>
      <c r="C6" s="29">
        <v>29</v>
      </c>
      <c r="D6" s="29">
        <f t="shared" si="0"/>
        <v>657</v>
      </c>
    </row>
    <row r="7" spans="1:4" x14ac:dyDescent="0.3">
      <c r="A7" s="28" t="s">
        <v>17</v>
      </c>
      <c r="B7" s="29">
        <v>661</v>
      </c>
      <c r="C7" s="29">
        <v>8</v>
      </c>
      <c r="D7" s="29">
        <f t="shared" si="0"/>
        <v>669</v>
      </c>
    </row>
    <row r="8" spans="1:4" x14ac:dyDescent="0.3">
      <c r="A8" s="28" t="s">
        <v>13</v>
      </c>
      <c r="B8" s="29">
        <v>1020</v>
      </c>
      <c r="C8" s="29">
        <v>5</v>
      </c>
      <c r="D8" s="29">
        <f t="shared" si="0"/>
        <v>1025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2026-02-09T11:16:41Z</dcterms:modified>
</cp:coreProperties>
</file>